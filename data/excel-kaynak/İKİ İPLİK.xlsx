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ORGU TAKIP ORTAK\TAKİP PROGRAMLARI\KUMAŞ ORANLARI\"/>
    </mc:Choice>
  </mc:AlternateContent>
  <bookViews>
    <workbookView xWindow="0" yWindow="0" windowWidth="14175" windowHeight="6660" firstSheet="3" activeTab="6"/>
  </bookViews>
  <sheets>
    <sheet name="28 FAYN FULL LYC İKİ İPLK GRMAJ" sheetId="1" r:id="rId1"/>
    <sheet name="28 FAYN FULL LYC İKİ İPLK ENLER" sheetId="2" r:id="rId2"/>
    <sheet name="DÜZ İKİ İPLİK GRAMAJ" sheetId="3" r:id="rId3"/>
    <sheet name="DÜZ İKİ İPLİK ENLERİ" sheetId="4" r:id="rId4"/>
    <sheet name="İKİ İPLK ORTLMA İPLK VE LYC ORA" sheetId="5" r:id="rId5"/>
    <sheet name="150DN POLY İKİ İPLİK ORANLARI" sheetId="6" r:id="rId6"/>
    <sheet name="90DN POLY İKİ İPLİK ORANLARI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2" i="7" l="1"/>
  <c r="S82" i="7"/>
  <c r="R82" i="7"/>
  <c r="O82" i="7"/>
  <c r="N82" i="7"/>
  <c r="M82" i="7"/>
  <c r="J82" i="7"/>
  <c r="I82" i="7"/>
  <c r="H82" i="7"/>
  <c r="E82" i="7"/>
  <c r="D82" i="7"/>
  <c r="C82" i="7"/>
  <c r="Y69" i="7"/>
  <c r="X69" i="7"/>
  <c r="W69" i="7"/>
  <c r="T69" i="7"/>
  <c r="S69" i="7"/>
  <c r="R69" i="7"/>
  <c r="O69" i="7"/>
  <c r="N69" i="7"/>
  <c r="M69" i="7"/>
  <c r="J69" i="7"/>
  <c r="I69" i="7"/>
  <c r="H69" i="7"/>
  <c r="E69" i="7"/>
  <c r="D69" i="7"/>
  <c r="C69" i="7"/>
  <c r="T54" i="7"/>
  <c r="S54" i="7"/>
  <c r="R54" i="7"/>
  <c r="O54" i="7"/>
  <c r="N54" i="7"/>
  <c r="M54" i="7"/>
  <c r="J54" i="7"/>
  <c r="I54" i="7"/>
  <c r="H54" i="7"/>
  <c r="E54" i="7"/>
  <c r="D54" i="7"/>
  <c r="C54" i="7"/>
  <c r="Y41" i="7"/>
  <c r="X41" i="7"/>
  <c r="W41" i="7"/>
  <c r="T41" i="7"/>
  <c r="S41" i="7"/>
  <c r="R41" i="7"/>
  <c r="O41" i="7"/>
  <c r="N41" i="7"/>
  <c r="M41" i="7"/>
  <c r="J41" i="7"/>
  <c r="I41" i="7"/>
  <c r="H41" i="7"/>
  <c r="E41" i="7"/>
  <c r="D41" i="7"/>
  <c r="C41" i="7"/>
  <c r="T26" i="7"/>
  <c r="S26" i="7"/>
  <c r="R26" i="7"/>
  <c r="O26" i="7"/>
  <c r="N26" i="7"/>
  <c r="M26" i="7"/>
  <c r="J26" i="7"/>
  <c r="I26" i="7"/>
  <c r="H26" i="7"/>
  <c r="E26" i="7"/>
  <c r="D26" i="7"/>
  <c r="C26" i="7"/>
  <c r="Y13" i="7"/>
  <c r="X13" i="7"/>
  <c r="W13" i="7"/>
  <c r="T13" i="7"/>
  <c r="S13" i="7"/>
  <c r="R13" i="7"/>
  <c r="O13" i="7"/>
  <c r="N13" i="7"/>
  <c r="M13" i="7"/>
  <c r="J13" i="7"/>
  <c r="I13" i="7"/>
  <c r="H13" i="7"/>
  <c r="E13" i="7"/>
  <c r="D13" i="7"/>
  <c r="C13" i="7"/>
  <c r="T82" i="6"/>
  <c r="S82" i="6"/>
  <c r="R82" i="6"/>
  <c r="O82" i="6"/>
  <c r="N82" i="6"/>
  <c r="M82" i="6"/>
  <c r="J82" i="6"/>
  <c r="I82" i="6"/>
  <c r="H82" i="6"/>
  <c r="E82" i="6"/>
  <c r="D82" i="6"/>
  <c r="C82" i="6"/>
  <c r="Y69" i="6"/>
  <c r="X69" i="6"/>
  <c r="W69" i="6"/>
  <c r="T69" i="6"/>
  <c r="S69" i="6"/>
  <c r="R69" i="6"/>
  <c r="O69" i="6"/>
  <c r="N69" i="6"/>
  <c r="M69" i="6"/>
  <c r="J69" i="6"/>
  <c r="I69" i="6"/>
  <c r="H69" i="6"/>
  <c r="E69" i="6"/>
  <c r="D69" i="6"/>
  <c r="C69" i="6"/>
  <c r="T54" i="6"/>
  <c r="S54" i="6"/>
  <c r="R54" i="6"/>
  <c r="O54" i="6"/>
  <c r="N54" i="6"/>
  <c r="M54" i="6"/>
  <c r="J54" i="6"/>
  <c r="I54" i="6"/>
  <c r="H54" i="6"/>
  <c r="E54" i="6"/>
  <c r="D54" i="6"/>
  <c r="C54" i="6"/>
  <c r="Y41" i="6"/>
  <c r="X41" i="6"/>
  <c r="W41" i="6"/>
  <c r="T41" i="6"/>
  <c r="S41" i="6"/>
  <c r="R41" i="6"/>
  <c r="O41" i="6"/>
  <c r="N41" i="6"/>
  <c r="M41" i="6"/>
  <c r="J41" i="6"/>
  <c r="I41" i="6"/>
  <c r="H41" i="6"/>
  <c r="E41" i="6"/>
  <c r="D41" i="6"/>
  <c r="C41" i="6"/>
  <c r="T26" i="6"/>
  <c r="S26" i="6"/>
  <c r="R26" i="6"/>
  <c r="O26" i="6"/>
  <c r="N26" i="6"/>
  <c r="M26" i="6"/>
  <c r="J26" i="6"/>
  <c r="I26" i="6"/>
  <c r="H26" i="6"/>
  <c r="E26" i="6"/>
  <c r="D26" i="6"/>
  <c r="C26" i="6"/>
  <c r="Y13" i="6"/>
  <c r="X13" i="6"/>
  <c r="W13" i="6"/>
  <c r="T13" i="6"/>
  <c r="S13" i="6"/>
  <c r="R13" i="6"/>
  <c r="O13" i="6"/>
  <c r="N13" i="6"/>
  <c r="M13" i="6"/>
  <c r="J13" i="6"/>
  <c r="I13" i="6"/>
  <c r="H13" i="6"/>
  <c r="E13" i="6"/>
  <c r="D13" i="6"/>
  <c r="C13" i="6"/>
  <c r="AB76" i="4" l="1"/>
  <c r="X76" i="4"/>
  <c r="T76" i="4"/>
  <c r="P76" i="4"/>
  <c r="L76" i="4"/>
  <c r="H76" i="4"/>
  <c r="D76" i="4"/>
  <c r="AB75" i="4"/>
  <c r="X75" i="4"/>
  <c r="T75" i="4"/>
  <c r="P75" i="4"/>
  <c r="L75" i="4"/>
  <c r="H75" i="4"/>
  <c r="D75" i="4"/>
  <c r="AB74" i="4"/>
  <c r="X74" i="4"/>
  <c r="T74" i="4"/>
  <c r="P74" i="4"/>
  <c r="L74" i="4"/>
  <c r="H74" i="4"/>
  <c r="D74" i="4"/>
  <c r="AB73" i="4"/>
  <c r="X73" i="4"/>
  <c r="T73" i="4"/>
  <c r="P73" i="4"/>
  <c r="L73" i="4"/>
  <c r="H73" i="4"/>
  <c r="D73" i="4"/>
  <c r="AB72" i="4"/>
  <c r="X72" i="4"/>
  <c r="T72" i="4"/>
  <c r="P72" i="4"/>
  <c r="L72" i="4"/>
  <c r="H72" i="4"/>
  <c r="D72" i="4"/>
  <c r="AB71" i="4"/>
  <c r="X71" i="4"/>
  <c r="T71" i="4"/>
  <c r="P71" i="4"/>
  <c r="L71" i="4"/>
  <c r="H71" i="4"/>
  <c r="D71" i="4"/>
  <c r="AB70" i="4"/>
  <c r="X70" i="4"/>
  <c r="T70" i="4"/>
  <c r="P70" i="4"/>
  <c r="L70" i="4"/>
  <c r="H70" i="4"/>
  <c r="D70" i="4"/>
  <c r="AB69" i="4"/>
  <c r="X69" i="4"/>
  <c r="T69" i="4"/>
  <c r="P69" i="4"/>
  <c r="L69" i="4"/>
  <c r="H69" i="4"/>
  <c r="D69" i="4"/>
  <c r="AB68" i="4"/>
  <c r="X68" i="4"/>
  <c r="T68" i="4"/>
  <c r="P68" i="4"/>
  <c r="L68" i="4"/>
  <c r="H68" i="4"/>
  <c r="D68" i="4"/>
  <c r="AB67" i="4"/>
  <c r="X67" i="4"/>
  <c r="T67" i="4"/>
  <c r="P67" i="4"/>
  <c r="L67" i="4"/>
  <c r="H67" i="4"/>
  <c r="D67" i="4"/>
  <c r="AB66" i="4"/>
  <c r="X66" i="4"/>
  <c r="T66" i="4"/>
  <c r="P66" i="4"/>
  <c r="L66" i="4"/>
  <c r="H66" i="4"/>
  <c r="D66" i="4"/>
  <c r="AB61" i="4"/>
  <c r="X61" i="4"/>
  <c r="T61" i="4"/>
  <c r="P61" i="4"/>
  <c r="L61" i="4"/>
  <c r="H61" i="4"/>
  <c r="D61" i="4"/>
  <c r="AB60" i="4"/>
  <c r="X60" i="4"/>
  <c r="T60" i="4"/>
  <c r="P60" i="4"/>
  <c r="L60" i="4"/>
  <c r="H60" i="4"/>
  <c r="D60" i="4"/>
  <c r="AB59" i="4"/>
  <c r="X59" i="4"/>
  <c r="T59" i="4"/>
  <c r="P59" i="4"/>
  <c r="L59" i="4"/>
  <c r="H59" i="4"/>
  <c r="D59" i="4"/>
  <c r="AB58" i="4"/>
  <c r="X58" i="4"/>
  <c r="T58" i="4"/>
  <c r="P58" i="4"/>
  <c r="L58" i="4"/>
  <c r="H58" i="4"/>
  <c r="D58" i="4"/>
  <c r="AB57" i="4"/>
  <c r="X57" i="4"/>
  <c r="T57" i="4"/>
  <c r="P57" i="4"/>
  <c r="L57" i="4"/>
  <c r="H57" i="4"/>
  <c r="D57" i="4"/>
  <c r="AB56" i="4"/>
  <c r="X56" i="4"/>
  <c r="T56" i="4"/>
  <c r="P56" i="4"/>
  <c r="L56" i="4"/>
  <c r="H56" i="4"/>
  <c r="D56" i="4"/>
  <c r="AB55" i="4"/>
  <c r="X55" i="4"/>
  <c r="T55" i="4"/>
  <c r="P55" i="4"/>
  <c r="L55" i="4"/>
  <c r="H55" i="4"/>
  <c r="D55" i="4"/>
  <c r="AB54" i="4"/>
  <c r="X54" i="4"/>
  <c r="T54" i="4"/>
  <c r="P54" i="4"/>
  <c r="L54" i="4"/>
  <c r="H54" i="4"/>
  <c r="D54" i="4"/>
  <c r="AB53" i="4"/>
  <c r="X53" i="4"/>
  <c r="T53" i="4"/>
  <c r="P53" i="4"/>
  <c r="L53" i="4"/>
  <c r="H53" i="4"/>
  <c r="D53" i="4"/>
  <c r="AB52" i="4"/>
  <c r="X52" i="4"/>
  <c r="T52" i="4"/>
  <c r="P52" i="4"/>
  <c r="L52" i="4"/>
  <c r="H52" i="4"/>
  <c r="D52" i="4"/>
  <c r="AB51" i="4"/>
  <c r="X51" i="4"/>
  <c r="T51" i="4"/>
  <c r="P51" i="4"/>
  <c r="L51" i="4"/>
  <c r="H51" i="4"/>
  <c r="D51" i="4"/>
  <c r="AB46" i="4"/>
  <c r="X46" i="4"/>
  <c r="T46" i="4"/>
  <c r="P46" i="4"/>
  <c r="L46" i="4"/>
  <c r="H46" i="4"/>
  <c r="D46" i="4"/>
  <c r="AB45" i="4"/>
  <c r="X45" i="4"/>
  <c r="T45" i="4"/>
  <c r="P45" i="4"/>
  <c r="L45" i="4"/>
  <c r="H45" i="4"/>
  <c r="D45" i="4"/>
  <c r="AB44" i="4"/>
  <c r="X44" i="4"/>
  <c r="T44" i="4"/>
  <c r="P44" i="4"/>
  <c r="L44" i="4"/>
  <c r="H44" i="4"/>
  <c r="D44" i="4"/>
  <c r="AB43" i="4"/>
  <c r="X43" i="4"/>
  <c r="T43" i="4"/>
  <c r="P43" i="4"/>
  <c r="L43" i="4"/>
  <c r="H43" i="4"/>
  <c r="D43" i="4"/>
  <c r="AB42" i="4"/>
  <c r="X42" i="4"/>
  <c r="T42" i="4"/>
  <c r="P42" i="4"/>
  <c r="L42" i="4"/>
  <c r="H42" i="4"/>
  <c r="D42" i="4"/>
  <c r="AB41" i="4"/>
  <c r="X41" i="4"/>
  <c r="T41" i="4"/>
  <c r="P41" i="4"/>
  <c r="L41" i="4"/>
  <c r="H41" i="4"/>
  <c r="D41" i="4"/>
  <c r="AB40" i="4"/>
  <c r="X40" i="4"/>
  <c r="T40" i="4"/>
  <c r="P40" i="4"/>
  <c r="L40" i="4"/>
  <c r="H40" i="4"/>
  <c r="D40" i="4"/>
  <c r="AB39" i="4"/>
  <c r="X39" i="4"/>
  <c r="T39" i="4"/>
  <c r="P39" i="4"/>
  <c r="L39" i="4"/>
  <c r="H39" i="4"/>
  <c r="D39" i="4"/>
  <c r="AB38" i="4"/>
  <c r="X38" i="4"/>
  <c r="T38" i="4"/>
  <c r="P38" i="4"/>
  <c r="L38" i="4"/>
  <c r="H38" i="4"/>
  <c r="D38" i="4"/>
  <c r="AB37" i="4"/>
  <c r="X37" i="4"/>
  <c r="T37" i="4"/>
  <c r="P37" i="4"/>
  <c r="L37" i="4"/>
  <c r="H37" i="4"/>
  <c r="D37" i="4"/>
  <c r="AB36" i="4"/>
  <c r="X36" i="4"/>
  <c r="T36" i="4"/>
  <c r="P36" i="4"/>
  <c r="L36" i="4"/>
  <c r="H36" i="4"/>
  <c r="D36" i="4"/>
  <c r="AB31" i="4"/>
  <c r="X31" i="4"/>
  <c r="T31" i="4"/>
  <c r="P31" i="4"/>
  <c r="L31" i="4"/>
  <c r="H31" i="4"/>
  <c r="D31" i="4"/>
  <c r="AB30" i="4"/>
  <c r="X30" i="4"/>
  <c r="T30" i="4"/>
  <c r="P30" i="4"/>
  <c r="L30" i="4"/>
  <c r="H30" i="4"/>
  <c r="D30" i="4"/>
  <c r="AB29" i="4"/>
  <c r="X29" i="4"/>
  <c r="T29" i="4"/>
  <c r="P29" i="4"/>
  <c r="L29" i="4"/>
  <c r="H29" i="4"/>
  <c r="D29" i="4"/>
  <c r="AB28" i="4"/>
  <c r="X28" i="4"/>
  <c r="T28" i="4"/>
  <c r="P28" i="4"/>
  <c r="L28" i="4"/>
  <c r="H28" i="4"/>
  <c r="D28" i="4"/>
  <c r="AB27" i="4"/>
  <c r="X27" i="4"/>
  <c r="T27" i="4"/>
  <c r="P27" i="4"/>
  <c r="L27" i="4"/>
  <c r="H27" i="4"/>
  <c r="D27" i="4"/>
  <c r="AB26" i="4"/>
  <c r="X26" i="4"/>
  <c r="T26" i="4"/>
  <c r="P26" i="4"/>
  <c r="L26" i="4"/>
  <c r="H26" i="4"/>
  <c r="D26" i="4"/>
  <c r="AB25" i="4"/>
  <c r="X25" i="4"/>
  <c r="T25" i="4"/>
  <c r="P25" i="4"/>
  <c r="L25" i="4"/>
  <c r="H25" i="4"/>
  <c r="D25" i="4"/>
  <c r="AB24" i="4"/>
  <c r="X24" i="4"/>
  <c r="T24" i="4"/>
  <c r="P24" i="4"/>
  <c r="L24" i="4"/>
  <c r="H24" i="4"/>
  <c r="D24" i="4"/>
  <c r="AB23" i="4"/>
  <c r="X23" i="4"/>
  <c r="T23" i="4"/>
  <c r="P23" i="4"/>
  <c r="L23" i="4"/>
  <c r="H23" i="4"/>
  <c r="D23" i="4"/>
  <c r="AB22" i="4"/>
  <c r="X22" i="4"/>
  <c r="T22" i="4"/>
  <c r="P22" i="4"/>
  <c r="L22" i="4"/>
  <c r="H22" i="4"/>
  <c r="D22" i="4"/>
  <c r="AB21" i="4"/>
  <c r="X21" i="4"/>
  <c r="T21" i="4"/>
  <c r="P21" i="4"/>
  <c r="L21" i="4"/>
  <c r="H21" i="4"/>
  <c r="D21" i="4"/>
  <c r="AB16" i="4"/>
  <c r="X16" i="4"/>
  <c r="T16" i="4"/>
  <c r="P16" i="4"/>
  <c r="L16" i="4"/>
  <c r="H16" i="4"/>
  <c r="D16" i="4"/>
  <c r="AB15" i="4"/>
  <c r="X15" i="4"/>
  <c r="T15" i="4"/>
  <c r="P15" i="4"/>
  <c r="L15" i="4"/>
  <c r="H15" i="4"/>
  <c r="D15" i="4"/>
  <c r="AB14" i="4"/>
  <c r="X14" i="4"/>
  <c r="T14" i="4"/>
  <c r="P14" i="4"/>
  <c r="L14" i="4"/>
  <c r="H14" i="4"/>
  <c r="D14" i="4"/>
  <c r="AB13" i="4"/>
  <c r="X13" i="4"/>
  <c r="T13" i="4"/>
  <c r="P13" i="4"/>
  <c r="L13" i="4"/>
  <c r="H13" i="4"/>
  <c r="D13" i="4"/>
  <c r="AB12" i="4"/>
  <c r="X12" i="4"/>
  <c r="T12" i="4"/>
  <c r="P12" i="4"/>
  <c r="L12" i="4"/>
  <c r="H12" i="4"/>
  <c r="D12" i="4"/>
  <c r="AB11" i="4"/>
  <c r="X11" i="4"/>
  <c r="T11" i="4"/>
  <c r="P11" i="4"/>
  <c r="L11" i="4"/>
  <c r="H11" i="4"/>
  <c r="D11" i="4"/>
  <c r="AB10" i="4"/>
  <c r="X10" i="4"/>
  <c r="T10" i="4"/>
  <c r="P10" i="4"/>
  <c r="L10" i="4"/>
  <c r="H10" i="4"/>
  <c r="D10" i="4"/>
  <c r="AB9" i="4"/>
  <c r="X9" i="4"/>
  <c r="T9" i="4"/>
  <c r="P9" i="4"/>
  <c r="L9" i="4"/>
  <c r="H9" i="4"/>
  <c r="D9" i="4"/>
  <c r="AB8" i="4"/>
  <c r="X8" i="4"/>
  <c r="T8" i="4"/>
  <c r="P8" i="4"/>
  <c r="L8" i="4"/>
  <c r="H8" i="4"/>
  <c r="D8" i="4"/>
  <c r="AB7" i="4"/>
  <c r="X7" i="4"/>
  <c r="T7" i="4"/>
  <c r="P7" i="4"/>
  <c r="L7" i="4"/>
  <c r="H7" i="4"/>
  <c r="D7" i="4"/>
  <c r="AB6" i="4"/>
  <c r="X6" i="4"/>
  <c r="T6" i="4"/>
  <c r="P6" i="4"/>
  <c r="L6" i="4"/>
  <c r="H6" i="4"/>
  <c r="D6" i="4"/>
  <c r="BH71" i="2"/>
  <c r="BG71" i="2"/>
  <c r="BF71" i="2"/>
  <c r="BE71" i="2"/>
  <c r="AX71" i="2"/>
  <c r="AW71" i="2"/>
  <c r="AV71" i="2"/>
  <c r="AU71" i="2"/>
  <c r="AN71" i="2"/>
  <c r="AM71" i="2"/>
  <c r="AL71" i="2"/>
  <c r="AK71" i="2"/>
  <c r="AD71" i="2"/>
  <c r="AC71" i="2"/>
  <c r="AB71" i="2"/>
  <c r="AA71" i="2"/>
  <c r="T71" i="2"/>
  <c r="S71" i="2"/>
  <c r="R71" i="2"/>
  <c r="Q71" i="2"/>
  <c r="J71" i="2"/>
  <c r="I71" i="2"/>
  <c r="H71" i="2"/>
  <c r="G71" i="2"/>
  <c r="BH70" i="2"/>
  <c r="BG70" i="2"/>
  <c r="BF70" i="2"/>
  <c r="BE70" i="2"/>
  <c r="AX70" i="2"/>
  <c r="AW70" i="2"/>
  <c r="AV70" i="2"/>
  <c r="AU70" i="2"/>
  <c r="AN70" i="2"/>
  <c r="AM70" i="2"/>
  <c r="AL70" i="2"/>
  <c r="AK70" i="2"/>
  <c r="AD70" i="2"/>
  <c r="AC70" i="2"/>
  <c r="AB70" i="2"/>
  <c r="AA70" i="2"/>
  <c r="T70" i="2"/>
  <c r="S70" i="2"/>
  <c r="R70" i="2"/>
  <c r="Q70" i="2"/>
  <c r="J70" i="2"/>
  <c r="I70" i="2"/>
  <c r="H70" i="2"/>
  <c r="G70" i="2"/>
  <c r="BH69" i="2"/>
  <c r="BG69" i="2"/>
  <c r="BF69" i="2"/>
  <c r="BE69" i="2"/>
  <c r="AX69" i="2"/>
  <c r="AW69" i="2"/>
  <c r="AV69" i="2"/>
  <c r="AU69" i="2"/>
  <c r="AN69" i="2"/>
  <c r="AM69" i="2"/>
  <c r="AL69" i="2"/>
  <c r="AK69" i="2"/>
  <c r="AD69" i="2"/>
  <c r="AC69" i="2"/>
  <c r="AB69" i="2"/>
  <c r="AA69" i="2"/>
  <c r="T69" i="2"/>
  <c r="S69" i="2"/>
  <c r="R69" i="2"/>
  <c r="Q69" i="2"/>
  <c r="J69" i="2"/>
  <c r="I69" i="2"/>
  <c r="H69" i="2"/>
  <c r="G69" i="2"/>
  <c r="BH68" i="2"/>
  <c r="BG68" i="2"/>
  <c r="BF68" i="2"/>
  <c r="BE68" i="2"/>
  <c r="AX68" i="2"/>
  <c r="AW68" i="2"/>
  <c r="AV68" i="2"/>
  <c r="AU68" i="2"/>
  <c r="AN68" i="2"/>
  <c r="AM68" i="2"/>
  <c r="AL68" i="2"/>
  <c r="AK68" i="2"/>
  <c r="AD68" i="2"/>
  <c r="AC68" i="2"/>
  <c r="AB68" i="2"/>
  <c r="AA68" i="2"/>
  <c r="T68" i="2"/>
  <c r="S68" i="2"/>
  <c r="R68" i="2"/>
  <c r="Q68" i="2"/>
  <c r="J68" i="2"/>
  <c r="I68" i="2"/>
  <c r="H68" i="2"/>
  <c r="G68" i="2"/>
  <c r="BH67" i="2"/>
  <c r="BG67" i="2"/>
  <c r="BF67" i="2"/>
  <c r="BE67" i="2"/>
  <c r="AX67" i="2"/>
  <c r="AW67" i="2"/>
  <c r="AV67" i="2"/>
  <c r="AU67" i="2"/>
  <c r="AN67" i="2"/>
  <c r="AM67" i="2"/>
  <c r="AL67" i="2"/>
  <c r="AK67" i="2"/>
  <c r="AD67" i="2"/>
  <c r="AC67" i="2"/>
  <c r="AB67" i="2"/>
  <c r="AA67" i="2"/>
  <c r="T67" i="2"/>
  <c r="S67" i="2"/>
  <c r="R67" i="2"/>
  <c r="Q67" i="2"/>
  <c r="J67" i="2"/>
  <c r="I67" i="2"/>
  <c r="H67" i="2"/>
  <c r="G67" i="2"/>
  <c r="BH66" i="2"/>
  <c r="BG66" i="2"/>
  <c r="BF66" i="2"/>
  <c r="BE66" i="2"/>
  <c r="AX66" i="2"/>
  <c r="AW66" i="2"/>
  <c r="AV66" i="2"/>
  <c r="AU66" i="2"/>
  <c r="AN66" i="2"/>
  <c r="AM66" i="2"/>
  <c r="AL66" i="2"/>
  <c r="AK66" i="2"/>
  <c r="AD66" i="2"/>
  <c r="AC66" i="2"/>
  <c r="AB66" i="2"/>
  <c r="AA66" i="2"/>
  <c r="T66" i="2"/>
  <c r="S66" i="2"/>
  <c r="R66" i="2"/>
  <c r="Q66" i="2"/>
  <c r="J66" i="2"/>
  <c r="I66" i="2"/>
  <c r="H66" i="2"/>
  <c r="G66" i="2"/>
  <c r="BH65" i="2"/>
  <c r="BG65" i="2"/>
  <c r="BF65" i="2"/>
  <c r="BE65" i="2"/>
  <c r="AX65" i="2"/>
  <c r="AW65" i="2"/>
  <c r="AV65" i="2"/>
  <c r="AU65" i="2"/>
  <c r="AN65" i="2"/>
  <c r="AM65" i="2"/>
  <c r="AL65" i="2"/>
  <c r="AK65" i="2"/>
  <c r="AD65" i="2"/>
  <c r="AC65" i="2"/>
  <c r="AB65" i="2"/>
  <c r="AA65" i="2"/>
  <c r="T65" i="2"/>
  <c r="S65" i="2"/>
  <c r="R65" i="2"/>
  <c r="Q65" i="2"/>
  <c r="J65" i="2"/>
  <c r="I65" i="2"/>
  <c r="H65" i="2"/>
  <c r="G65" i="2"/>
  <c r="BH64" i="2"/>
  <c r="BG64" i="2"/>
  <c r="BF64" i="2"/>
  <c r="BE64" i="2"/>
  <c r="AX64" i="2"/>
  <c r="AW64" i="2"/>
  <c r="AV64" i="2"/>
  <c r="AU64" i="2"/>
  <c r="AN64" i="2"/>
  <c r="AM64" i="2"/>
  <c r="AL64" i="2"/>
  <c r="AK64" i="2"/>
  <c r="AD64" i="2"/>
  <c r="AC64" i="2"/>
  <c r="AB64" i="2"/>
  <c r="AA64" i="2"/>
  <c r="T64" i="2"/>
  <c r="S64" i="2"/>
  <c r="R64" i="2"/>
  <c r="Q64" i="2"/>
  <c r="J64" i="2"/>
  <c r="I64" i="2"/>
  <c r="H64" i="2"/>
  <c r="G64" i="2"/>
  <c r="BH63" i="2"/>
  <c r="BG63" i="2"/>
  <c r="BF63" i="2"/>
  <c r="BE63" i="2"/>
  <c r="AX63" i="2"/>
  <c r="AW63" i="2"/>
  <c r="AV63" i="2"/>
  <c r="AU63" i="2"/>
  <c r="AN63" i="2"/>
  <c r="AM63" i="2"/>
  <c r="AL63" i="2"/>
  <c r="AK63" i="2"/>
  <c r="AD63" i="2"/>
  <c r="AC63" i="2"/>
  <c r="AB63" i="2"/>
  <c r="AA63" i="2"/>
  <c r="T63" i="2"/>
  <c r="S63" i="2"/>
  <c r="R63" i="2"/>
  <c r="Q63" i="2"/>
  <c r="J63" i="2"/>
  <c r="I63" i="2"/>
  <c r="H63" i="2"/>
  <c r="G63" i="2"/>
  <c r="BH62" i="2"/>
  <c r="BG62" i="2"/>
  <c r="BF62" i="2"/>
  <c r="BE62" i="2"/>
  <c r="AX62" i="2"/>
  <c r="AW62" i="2"/>
  <c r="AV62" i="2"/>
  <c r="AU62" i="2"/>
  <c r="AN62" i="2"/>
  <c r="AM62" i="2"/>
  <c r="AL62" i="2"/>
  <c r="AK62" i="2"/>
  <c r="AD62" i="2"/>
  <c r="AC62" i="2"/>
  <c r="AB62" i="2"/>
  <c r="AA62" i="2"/>
  <c r="T62" i="2"/>
  <c r="S62" i="2"/>
  <c r="R62" i="2"/>
  <c r="Q62" i="2"/>
  <c r="J62" i="2"/>
  <c r="I62" i="2"/>
  <c r="H62" i="2"/>
  <c r="G62" i="2"/>
  <c r="BH57" i="2"/>
  <c r="BG57" i="2"/>
  <c r="BF57" i="2"/>
  <c r="BE57" i="2"/>
  <c r="AX57" i="2"/>
  <c r="AW57" i="2"/>
  <c r="AV57" i="2"/>
  <c r="AU57" i="2"/>
  <c r="AN57" i="2"/>
  <c r="AM57" i="2"/>
  <c r="AL57" i="2"/>
  <c r="AK57" i="2"/>
  <c r="AD57" i="2"/>
  <c r="AC57" i="2"/>
  <c r="AB57" i="2"/>
  <c r="AA57" i="2"/>
  <c r="T57" i="2"/>
  <c r="S57" i="2"/>
  <c r="R57" i="2"/>
  <c r="Q57" i="2"/>
  <c r="J57" i="2"/>
  <c r="I57" i="2"/>
  <c r="H57" i="2"/>
  <c r="G57" i="2"/>
  <c r="BH56" i="2"/>
  <c r="BG56" i="2"/>
  <c r="BF56" i="2"/>
  <c r="BE56" i="2"/>
  <c r="AX56" i="2"/>
  <c r="AW56" i="2"/>
  <c r="AV56" i="2"/>
  <c r="AU56" i="2"/>
  <c r="AN56" i="2"/>
  <c r="AM56" i="2"/>
  <c r="AL56" i="2"/>
  <c r="AK56" i="2"/>
  <c r="AD56" i="2"/>
  <c r="AC56" i="2"/>
  <c r="AB56" i="2"/>
  <c r="AA56" i="2"/>
  <c r="T56" i="2"/>
  <c r="S56" i="2"/>
  <c r="R56" i="2"/>
  <c r="Q56" i="2"/>
  <c r="J56" i="2"/>
  <c r="I56" i="2"/>
  <c r="H56" i="2"/>
  <c r="G56" i="2"/>
  <c r="BH55" i="2"/>
  <c r="BG55" i="2"/>
  <c r="BF55" i="2"/>
  <c r="BE55" i="2"/>
  <c r="AX55" i="2"/>
  <c r="AW55" i="2"/>
  <c r="AV55" i="2"/>
  <c r="AU55" i="2"/>
  <c r="AN55" i="2"/>
  <c r="AM55" i="2"/>
  <c r="AL55" i="2"/>
  <c r="AK55" i="2"/>
  <c r="AD55" i="2"/>
  <c r="AC55" i="2"/>
  <c r="AB55" i="2"/>
  <c r="AA55" i="2"/>
  <c r="T55" i="2"/>
  <c r="S55" i="2"/>
  <c r="R55" i="2"/>
  <c r="Q55" i="2"/>
  <c r="J55" i="2"/>
  <c r="I55" i="2"/>
  <c r="H55" i="2"/>
  <c r="G55" i="2"/>
  <c r="BH54" i="2"/>
  <c r="BG54" i="2"/>
  <c r="BF54" i="2"/>
  <c r="BE54" i="2"/>
  <c r="AX54" i="2"/>
  <c r="AW54" i="2"/>
  <c r="AV54" i="2"/>
  <c r="AU54" i="2"/>
  <c r="AN54" i="2"/>
  <c r="AM54" i="2"/>
  <c r="AL54" i="2"/>
  <c r="AK54" i="2"/>
  <c r="AD54" i="2"/>
  <c r="AC54" i="2"/>
  <c r="AB54" i="2"/>
  <c r="AA54" i="2"/>
  <c r="T54" i="2"/>
  <c r="S54" i="2"/>
  <c r="R54" i="2"/>
  <c r="Q54" i="2"/>
  <c r="J54" i="2"/>
  <c r="I54" i="2"/>
  <c r="H54" i="2"/>
  <c r="G54" i="2"/>
  <c r="BH53" i="2"/>
  <c r="BG53" i="2"/>
  <c r="BF53" i="2"/>
  <c r="BE53" i="2"/>
  <c r="AX53" i="2"/>
  <c r="AW53" i="2"/>
  <c r="AV53" i="2"/>
  <c r="AU53" i="2"/>
  <c r="AN53" i="2"/>
  <c r="AM53" i="2"/>
  <c r="AL53" i="2"/>
  <c r="AK53" i="2"/>
  <c r="AD53" i="2"/>
  <c r="AC53" i="2"/>
  <c r="AB53" i="2"/>
  <c r="AA53" i="2"/>
  <c r="T53" i="2"/>
  <c r="S53" i="2"/>
  <c r="R53" i="2"/>
  <c r="Q53" i="2"/>
  <c r="J53" i="2"/>
  <c r="I53" i="2"/>
  <c r="H53" i="2"/>
  <c r="G53" i="2"/>
  <c r="BH52" i="2"/>
  <c r="BG52" i="2"/>
  <c r="BF52" i="2"/>
  <c r="BE52" i="2"/>
  <c r="AX52" i="2"/>
  <c r="AW52" i="2"/>
  <c r="AV52" i="2"/>
  <c r="AU52" i="2"/>
  <c r="AN52" i="2"/>
  <c r="AM52" i="2"/>
  <c r="AL52" i="2"/>
  <c r="AK52" i="2"/>
  <c r="AD52" i="2"/>
  <c r="AC52" i="2"/>
  <c r="AB52" i="2"/>
  <c r="AA52" i="2"/>
  <c r="T52" i="2"/>
  <c r="S52" i="2"/>
  <c r="R52" i="2"/>
  <c r="Q52" i="2"/>
  <c r="J52" i="2"/>
  <c r="I52" i="2"/>
  <c r="H52" i="2"/>
  <c r="G52" i="2"/>
  <c r="BH51" i="2"/>
  <c r="BG51" i="2"/>
  <c r="BF51" i="2"/>
  <c r="BE51" i="2"/>
  <c r="AX51" i="2"/>
  <c r="AW51" i="2"/>
  <c r="AV51" i="2"/>
  <c r="AU51" i="2"/>
  <c r="AN51" i="2"/>
  <c r="AM51" i="2"/>
  <c r="AL51" i="2"/>
  <c r="AK51" i="2"/>
  <c r="AD51" i="2"/>
  <c r="AC51" i="2"/>
  <c r="AB51" i="2"/>
  <c r="AA51" i="2"/>
  <c r="T51" i="2"/>
  <c r="S51" i="2"/>
  <c r="R51" i="2"/>
  <c r="Q51" i="2"/>
  <c r="J51" i="2"/>
  <c r="I51" i="2"/>
  <c r="H51" i="2"/>
  <c r="G51" i="2"/>
  <c r="BH50" i="2"/>
  <c r="BG50" i="2"/>
  <c r="BF50" i="2"/>
  <c r="BE50" i="2"/>
  <c r="AX50" i="2"/>
  <c r="AW50" i="2"/>
  <c r="AV50" i="2"/>
  <c r="AU50" i="2"/>
  <c r="AN50" i="2"/>
  <c r="AM50" i="2"/>
  <c r="AL50" i="2"/>
  <c r="AK50" i="2"/>
  <c r="AD50" i="2"/>
  <c r="AC50" i="2"/>
  <c r="AB50" i="2"/>
  <c r="AA50" i="2"/>
  <c r="T50" i="2"/>
  <c r="S50" i="2"/>
  <c r="R50" i="2"/>
  <c r="Q50" i="2"/>
  <c r="J50" i="2"/>
  <c r="I50" i="2"/>
  <c r="H50" i="2"/>
  <c r="G50" i="2"/>
  <c r="BH49" i="2"/>
  <c r="BG49" i="2"/>
  <c r="BF49" i="2"/>
  <c r="BE49" i="2"/>
  <c r="AX49" i="2"/>
  <c r="AW49" i="2"/>
  <c r="AV49" i="2"/>
  <c r="AU49" i="2"/>
  <c r="AN49" i="2"/>
  <c r="AM49" i="2"/>
  <c r="AL49" i="2"/>
  <c r="AK49" i="2"/>
  <c r="AD49" i="2"/>
  <c r="AC49" i="2"/>
  <c r="AB49" i="2"/>
  <c r="AA49" i="2"/>
  <c r="T49" i="2"/>
  <c r="S49" i="2"/>
  <c r="R49" i="2"/>
  <c r="Q49" i="2"/>
  <c r="J49" i="2"/>
  <c r="I49" i="2"/>
  <c r="H49" i="2"/>
  <c r="G49" i="2"/>
  <c r="BH48" i="2"/>
  <c r="BG48" i="2"/>
  <c r="BF48" i="2"/>
  <c r="BE48" i="2"/>
  <c r="AX48" i="2"/>
  <c r="AW48" i="2"/>
  <c r="AV48" i="2"/>
  <c r="AU48" i="2"/>
  <c r="AN48" i="2"/>
  <c r="AM48" i="2"/>
  <c r="AL48" i="2"/>
  <c r="AK48" i="2"/>
  <c r="AD48" i="2"/>
  <c r="AC48" i="2"/>
  <c r="AB48" i="2"/>
  <c r="AA48" i="2"/>
  <c r="T48" i="2"/>
  <c r="S48" i="2"/>
  <c r="R48" i="2"/>
  <c r="Q48" i="2"/>
  <c r="J48" i="2"/>
  <c r="I48" i="2"/>
  <c r="H48" i="2"/>
  <c r="G48" i="2"/>
  <c r="BH43" i="2"/>
  <c r="BG43" i="2"/>
  <c r="BF43" i="2"/>
  <c r="BE43" i="2"/>
  <c r="AX43" i="2"/>
  <c r="AW43" i="2"/>
  <c r="AV43" i="2"/>
  <c r="AU43" i="2"/>
  <c r="AN43" i="2"/>
  <c r="AM43" i="2"/>
  <c r="AL43" i="2"/>
  <c r="AK43" i="2"/>
  <c r="AD43" i="2"/>
  <c r="AC43" i="2"/>
  <c r="AB43" i="2"/>
  <c r="AA43" i="2"/>
  <c r="T43" i="2"/>
  <c r="S43" i="2"/>
  <c r="R43" i="2"/>
  <c r="Q43" i="2"/>
  <c r="J43" i="2"/>
  <c r="I43" i="2"/>
  <c r="H43" i="2"/>
  <c r="G43" i="2"/>
  <c r="BH42" i="2"/>
  <c r="BG42" i="2"/>
  <c r="BF42" i="2"/>
  <c r="BE42" i="2"/>
  <c r="AX42" i="2"/>
  <c r="AW42" i="2"/>
  <c r="AV42" i="2"/>
  <c r="AU42" i="2"/>
  <c r="AN42" i="2"/>
  <c r="AM42" i="2"/>
  <c r="AL42" i="2"/>
  <c r="AK42" i="2"/>
  <c r="AD42" i="2"/>
  <c r="AC42" i="2"/>
  <c r="AB42" i="2"/>
  <c r="AA42" i="2"/>
  <c r="T42" i="2"/>
  <c r="S42" i="2"/>
  <c r="R42" i="2"/>
  <c r="Q42" i="2"/>
  <c r="J42" i="2"/>
  <c r="I42" i="2"/>
  <c r="H42" i="2"/>
  <c r="G42" i="2"/>
  <c r="BH41" i="2"/>
  <c r="BG41" i="2"/>
  <c r="BF41" i="2"/>
  <c r="BE41" i="2"/>
  <c r="AX41" i="2"/>
  <c r="AW41" i="2"/>
  <c r="AV41" i="2"/>
  <c r="AU41" i="2"/>
  <c r="AN41" i="2"/>
  <c r="AM41" i="2"/>
  <c r="AL41" i="2"/>
  <c r="AK41" i="2"/>
  <c r="AD41" i="2"/>
  <c r="AC41" i="2"/>
  <c r="AB41" i="2"/>
  <c r="AA41" i="2"/>
  <c r="T41" i="2"/>
  <c r="S41" i="2"/>
  <c r="R41" i="2"/>
  <c r="Q41" i="2"/>
  <c r="J41" i="2"/>
  <c r="I41" i="2"/>
  <c r="H41" i="2"/>
  <c r="G41" i="2"/>
  <c r="BH40" i="2"/>
  <c r="BG40" i="2"/>
  <c r="BF40" i="2"/>
  <c r="BE40" i="2"/>
  <c r="AX40" i="2"/>
  <c r="AW40" i="2"/>
  <c r="AV40" i="2"/>
  <c r="AU40" i="2"/>
  <c r="AN40" i="2"/>
  <c r="AM40" i="2"/>
  <c r="AL40" i="2"/>
  <c r="AK40" i="2"/>
  <c r="AD40" i="2"/>
  <c r="AC40" i="2"/>
  <c r="AB40" i="2"/>
  <c r="AA40" i="2"/>
  <c r="T40" i="2"/>
  <c r="S40" i="2"/>
  <c r="R40" i="2"/>
  <c r="Q40" i="2"/>
  <c r="J40" i="2"/>
  <c r="I40" i="2"/>
  <c r="H40" i="2"/>
  <c r="G40" i="2"/>
  <c r="BH39" i="2"/>
  <c r="BG39" i="2"/>
  <c r="BF39" i="2"/>
  <c r="BE39" i="2"/>
  <c r="AX39" i="2"/>
  <c r="AW39" i="2"/>
  <c r="AV39" i="2"/>
  <c r="AU39" i="2"/>
  <c r="AN39" i="2"/>
  <c r="AM39" i="2"/>
  <c r="AL39" i="2"/>
  <c r="AK39" i="2"/>
  <c r="AD39" i="2"/>
  <c r="AC39" i="2"/>
  <c r="AB39" i="2"/>
  <c r="AA39" i="2"/>
  <c r="T39" i="2"/>
  <c r="S39" i="2"/>
  <c r="R39" i="2"/>
  <c r="Q39" i="2"/>
  <c r="J39" i="2"/>
  <c r="I39" i="2"/>
  <c r="H39" i="2"/>
  <c r="G39" i="2"/>
  <c r="BH38" i="2"/>
  <c r="BG38" i="2"/>
  <c r="BF38" i="2"/>
  <c r="BE38" i="2"/>
  <c r="AX38" i="2"/>
  <c r="AW38" i="2"/>
  <c r="AV38" i="2"/>
  <c r="AU38" i="2"/>
  <c r="AN38" i="2"/>
  <c r="AM38" i="2"/>
  <c r="AL38" i="2"/>
  <c r="AK38" i="2"/>
  <c r="AD38" i="2"/>
  <c r="AC38" i="2"/>
  <c r="AB38" i="2"/>
  <c r="AA38" i="2"/>
  <c r="T38" i="2"/>
  <c r="S38" i="2"/>
  <c r="R38" i="2"/>
  <c r="Q38" i="2"/>
  <c r="J38" i="2"/>
  <c r="I38" i="2"/>
  <c r="H38" i="2"/>
  <c r="G38" i="2"/>
  <c r="BH37" i="2"/>
  <c r="BG37" i="2"/>
  <c r="BF37" i="2"/>
  <c r="BE37" i="2"/>
  <c r="AX37" i="2"/>
  <c r="AW37" i="2"/>
  <c r="AV37" i="2"/>
  <c r="AU37" i="2"/>
  <c r="AN37" i="2"/>
  <c r="AM37" i="2"/>
  <c r="AL37" i="2"/>
  <c r="AK37" i="2"/>
  <c r="AD37" i="2"/>
  <c r="AC37" i="2"/>
  <c r="AB37" i="2"/>
  <c r="AA37" i="2"/>
  <c r="T37" i="2"/>
  <c r="S37" i="2"/>
  <c r="R37" i="2"/>
  <c r="Q37" i="2"/>
  <c r="J37" i="2"/>
  <c r="I37" i="2"/>
  <c r="H37" i="2"/>
  <c r="G37" i="2"/>
  <c r="BH36" i="2"/>
  <c r="BG36" i="2"/>
  <c r="BF36" i="2"/>
  <c r="BE36" i="2"/>
  <c r="AX36" i="2"/>
  <c r="AW36" i="2"/>
  <c r="AV36" i="2"/>
  <c r="AU36" i="2"/>
  <c r="AN36" i="2"/>
  <c r="AM36" i="2"/>
  <c r="AL36" i="2"/>
  <c r="AK36" i="2"/>
  <c r="AD36" i="2"/>
  <c r="AC36" i="2"/>
  <c r="AB36" i="2"/>
  <c r="AA36" i="2"/>
  <c r="T36" i="2"/>
  <c r="S36" i="2"/>
  <c r="R36" i="2"/>
  <c r="Q36" i="2"/>
  <c r="J36" i="2"/>
  <c r="I36" i="2"/>
  <c r="H36" i="2"/>
  <c r="G36" i="2"/>
  <c r="BH35" i="2"/>
  <c r="BG35" i="2"/>
  <c r="BF35" i="2"/>
  <c r="BE35" i="2"/>
  <c r="AX35" i="2"/>
  <c r="AW35" i="2"/>
  <c r="AV35" i="2"/>
  <c r="AU35" i="2"/>
  <c r="AN35" i="2"/>
  <c r="AM35" i="2"/>
  <c r="AL35" i="2"/>
  <c r="AK35" i="2"/>
  <c r="AD35" i="2"/>
  <c r="AC35" i="2"/>
  <c r="AB35" i="2"/>
  <c r="AA35" i="2"/>
  <c r="T35" i="2"/>
  <c r="S35" i="2"/>
  <c r="R35" i="2"/>
  <c r="Q35" i="2"/>
  <c r="J35" i="2"/>
  <c r="I35" i="2"/>
  <c r="H35" i="2"/>
  <c r="G35" i="2"/>
  <c r="BH34" i="2"/>
  <c r="BG34" i="2"/>
  <c r="BF34" i="2"/>
  <c r="BE34" i="2"/>
  <c r="AX34" i="2"/>
  <c r="AW34" i="2"/>
  <c r="AV34" i="2"/>
  <c r="AU34" i="2"/>
  <c r="AN34" i="2"/>
  <c r="AM34" i="2"/>
  <c r="AL34" i="2"/>
  <c r="AK34" i="2"/>
  <c r="AD34" i="2"/>
  <c r="AC34" i="2"/>
  <c r="AB34" i="2"/>
  <c r="AA34" i="2"/>
  <c r="T34" i="2"/>
  <c r="S34" i="2"/>
  <c r="R34" i="2"/>
  <c r="Q34" i="2"/>
  <c r="J34" i="2"/>
  <c r="I34" i="2"/>
  <c r="H34" i="2"/>
  <c r="G34" i="2"/>
  <c r="BH29" i="2"/>
  <c r="BG29" i="2"/>
  <c r="BF29" i="2"/>
  <c r="BE29" i="2"/>
  <c r="AX29" i="2"/>
  <c r="AW29" i="2"/>
  <c r="AV29" i="2"/>
  <c r="AU29" i="2"/>
  <c r="AN29" i="2"/>
  <c r="AM29" i="2"/>
  <c r="AL29" i="2"/>
  <c r="AK29" i="2"/>
  <c r="AD29" i="2"/>
  <c r="AC29" i="2"/>
  <c r="AB29" i="2"/>
  <c r="AA29" i="2"/>
  <c r="T29" i="2"/>
  <c r="S29" i="2"/>
  <c r="R29" i="2"/>
  <c r="Q29" i="2"/>
  <c r="J29" i="2"/>
  <c r="I29" i="2"/>
  <c r="H29" i="2"/>
  <c r="G29" i="2"/>
  <c r="BH28" i="2"/>
  <c r="BG28" i="2"/>
  <c r="BF28" i="2"/>
  <c r="BE28" i="2"/>
  <c r="AX28" i="2"/>
  <c r="AW28" i="2"/>
  <c r="AV28" i="2"/>
  <c r="AU28" i="2"/>
  <c r="AN28" i="2"/>
  <c r="AM28" i="2"/>
  <c r="AL28" i="2"/>
  <c r="AK28" i="2"/>
  <c r="AD28" i="2"/>
  <c r="AC28" i="2"/>
  <c r="AB28" i="2"/>
  <c r="AA28" i="2"/>
  <c r="T28" i="2"/>
  <c r="S28" i="2"/>
  <c r="R28" i="2"/>
  <c r="Q28" i="2"/>
  <c r="J28" i="2"/>
  <c r="I28" i="2"/>
  <c r="H28" i="2"/>
  <c r="G28" i="2"/>
  <c r="BH27" i="2"/>
  <c r="BG27" i="2"/>
  <c r="BF27" i="2"/>
  <c r="BE27" i="2"/>
  <c r="AX27" i="2"/>
  <c r="AW27" i="2"/>
  <c r="AV27" i="2"/>
  <c r="AU27" i="2"/>
  <c r="AN27" i="2"/>
  <c r="AM27" i="2"/>
  <c r="AL27" i="2"/>
  <c r="AK27" i="2"/>
  <c r="AD27" i="2"/>
  <c r="AC27" i="2"/>
  <c r="AB27" i="2"/>
  <c r="AA27" i="2"/>
  <c r="T27" i="2"/>
  <c r="S27" i="2"/>
  <c r="R27" i="2"/>
  <c r="Q27" i="2"/>
  <c r="J27" i="2"/>
  <c r="I27" i="2"/>
  <c r="H27" i="2"/>
  <c r="G27" i="2"/>
  <c r="BH26" i="2"/>
  <c r="BG26" i="2"/>
  <c r="BF26" i="2"/>
  <c r="BE26" i="2"/>
  <c r="AX26" i="2"/>
  <c r="AW26" i="2"/>
  <c r="AV26" i="2"/>
  <c r="AU26" i="2"/>
  <c r="AN26" i="2"/>
  <c r="AM26" i="2"/>
  <c r="AL26" i="2"/>
  <c r="AK26" i="2"/>
  <c r="AD26" i="2"/>
  <c r="AC26" i="2"/>
  <c r="AB26" i="2"/>
  <c r="AA26" i="2"/>
  <c r="T26" i="2"/>
  <c r="S26" i="2"/>
  <c r="R26" i="2"/>
  <c r="Q26" i="2"/>
  <c r="J26" i="2"/>
  <c r="I26" i="2"/>
  <c r="H26" i="2"/>
  <c r="G26" i="2"/>
  <c r="BH25" i="2"/>
  <c r="BG25" i="2"/>
  <c r="BF25" i="2"/>
  <c r="BE25" i="2"/>
  <c r="AX25" i="2"/>
  <c r="AW25" i="2"/>
  <c r="AV25" i="2"/>
  <c r="AU25" i="2"/>
  <c r="AN25" i="2"/>
  <c r="AM25" i="2"/>
  <c r="AL25" i="2"/>
  <c r="AK25" i="2"/>
  <c r="AD25" i="2"/>
  <c r="AC25" i="2"/>
  <c r="AB25" i="2"/>
  <c r="AA25" i="2"/>
  <c r="T25" i="2"/>
  <c r="S25" i="2"/>
  <c r="R25" i="2"/>
  <c r="Q25" i="2"/>
  <c r="J25" i="2"/>
  <c r="I25" i="2"/>
  <c r="H25" i="2"/>
  <c r="G25" i="2"/>
  <c r="BH24" i="2"/>
  <c r="BG24" i="2"/>
  <c r="BF24" i="2"/>
  <c r="BE24" i="2"/>
  <c r="AX24" i="2"/>
  <c r="AW24" i="2"/>
  <c r="AV24" i="2"/>
  <c r="AU24" i="2"/>
  <c r="AN24" i="2"/>
  <c r="AM24" i="2"/>
  <c r="AL24" i="2"/>
  <c r="AK24" i="2"/>
  <c r="AD24" i="2"/>
  <c r="AC24" i="2"/>
  <c r="AB24" i="2"/>
  <c r="AA24" i="2"/>
  <c r="T24" i="2"/>
  <c r="S24" i="2"/>
  <c r="R24" i="2"/>
  <c r="Q24" i="2"/>
  <c r="J24" i="2"/>
  <c r="I24" i="2"/>
  <c r="H24" i="2"/>
  <c r="G24" i="2"/>
  <c r="BH23" i="2"/>
  <c r="BG23" i="2"/>
  <c r="BF23" i="2"/>
  <c r="BE23" i="2"/>
  <c r="AX23" i="2"/>
  <c r="AW23" i="2"/>
  <c r="AV23" i="2"/>
  <c r="AU23" i="2"/>
  <c r="AN23" i="2"/>
  <c r="AM23" i="2"/>
  <c r="AL23" i="2"/>
  <c r="AK23" i="2"/>
  <c r="AD23" i="2"/>
  <c r="AC23" i="2"/>
  <c r="AB23" i="2"/>
  <c r="AA23" i="2"/>
  <c r="T23" i="2"/>
  <c r="S23" i="2"/>
  <c r="R23" i="2"/>
  <c r="Q23" i="2"/>
  <c r="J23" i="2"/>
  <c r="I23" i="2"/>
  <c r="H23" i="2"/>
  <c r="G23" i="2"/>
  <c r="BH22" i="2"/>
  <c r="BG22" i="2"/>
  <c r="BF22" i="2"/>
  <c r="BE22" i="2"/>
  <c r="AX22" i="2"/>
  <c r="AW22" i="2"/>
  <c r="AV22" i="2"/>
  <c r="AU22" i="2"/>
  <c r="AN22" i="2"/>
  <c r="AM22" i="2"/>
  <c r="AL22" i="2"/>
  <c r="AK22" i="2"/>
  <c r="AD22" i="2"/>
  <c r="AC22" i="2"/>
  <c r="AB22" i="2"/>
  <c r="AA22" i="2"/>
  <c r="T22" i="2"/>
  <c r="S22" i="2"/>
  <c r="R22" i="2"/>
  <c r="Q22" i="2"/>
  <c r="J22" i="2"/>
  <c r="I22" i="2"/>
  <c r="H22" i="2"/>
  <c r="G22" i="2"/>
  <c r="BH21" i="2"/>
  <c r="BG21" i="2"/>
  <c r="BF21" i="2"/>
  <c r="BE21" i="2"/>
  <c r="AX21" i="2"/>
  <c r="AW21" i="2"/>
  <c r="AV21" i="2"/>
  <c r="AU21" i="2"/>
  <c r="AN21" i="2"/>
  <c r="AM21" i="2"/>
  <c r="AL21" i="2"/>
  <c r="AK21" i="2"/>
  <c r="AD21" i="2"/>
  <c r="AC21" i="2"/>
  <c r="AB21" i="2"/>
  <c r="AA21" i="2"/>
  <c r="T21" i="2"/>
  <c r="S21" i="2"/>
  <c r="R21" i="2"/>
  <c r="Q21" i="2"/>
  <c r="J21" i="2"/>
  <c r="I21" i="2"/>
  <c r="H21" i="2"/>
  <c r="G21" i="2"/>
  <c r="BH20" i="2"/>
  <c r="BG20" i="2"/>
  <c r="BF20" i="2"/>
  <c r="BE20" i="2"/>
  <c r="AX20" i="2"/>
  <c r="AW20" i="2"/>
  <c r="AV20" i="2"/>
  <c r="AU20" i="2"/>
  <c r="AN20" i="2"/>
  <c r="AM20" i="2"/>
  <c r="AL20" i="2"/>
  <c r="AK20" i="2"/>
  <c r="AD20" i="2"/>
  <c r="AC20" i="2"/>
  <c r="AB20" i="2"/>
  <c r="AA20" i="2"/>
  <c r="T20" i="2"/>
  <c r="S20" i="2"/>
  <c r="R20" i="2"/>
  <c r="Q20" i="2"/>
  <c r="J20" i="2"/>
  <c r="I20" i="2"/>
  <c r="H20" i="2"/>
  <c r="G20" i="2"/>
  <c r="BH15" i="2"/>
  <c r="BG15" i="2"/>
  <c r="BF15" i="2"/>
  <c r="BE15" i="2"/>
  <c r="AX15" i="2"/>
  <c r="AW15" i="2"/>
  <c r="AV15" i="2"/>
  <c r="AU15" i="2"/>
  <c r="AN15" i="2"/>
  <c r="AM15" i="2"/>
  <c r="AL15" i="2"/>
  <c r="AK15" i="2"/>
  <c r="AD15" i="2"/>
  <c r="AC15" i="2"/>
  <c r="AB15" i="2"/>
  <c r="AA15" i="2"/>
  <c r="T15" i="2"/>
  <c r="S15" i="2"/>
  <c r="R15" i="2"/>
  <c r="Q15" i="2"/>
  <c r="J15" i="2"/>
  <c r="I15" i="2"/>
  <c r="H15" i="2"/>
  <c r="G15" i="2"/>
  <c r="BH14" i="2"/>
  <c r="BG14" i="2"/>
  <c r="BF14" i="2"/>
  <c r="BE14" i="2"/>
  <c r="AX14" i="2"/>
  <c r="AW14" i="2"/>
  <c r="AV14" i="2"/>
  <c r="AU14" i="2"/>
  <c r="AN14" i="2"/>
  <c r="AM14" i="2"/>
  <c r="AL14" i="2"/>
  <c r="AK14" i="2"/>
  <c r="AD14" i="2"/>
  <c r="AC14" i="2"/>
  <c r="AB14" i="2"/>
  <c r="AA14" i="2"/>
  <c r="T14" i="2"/>
  <c r="S14" i="2"/>
  <c r="R14" i="2"/>
  <c r="Q14" i="2"/>
  <c r="J14" i="2"/>
  <c r="I14" i="2"/>
  <c r="H14" i="2"/>
  <c r="G14" i="2"/>
  <c r="BH13" i="2"/>
  <c r="BG13" i="2"/>
  <c r="BF13" i="2"/>
  <c r="BE13" i="2"/>
  <c r="AX13" i="2"/>
  <c r="AW13" i="2"/>
  <c r="AV13" i="2"/>
  <c r="AU13" i="2"/>
  <c r="AN13" i="2"/>
  <c r="AM13" i="2"/>
  <c r="AL13" i="2"/>
  <c r="AK13" i="2"/>
  <c r="AD13" i="2"/>
  <c r="AC13" i="2"/>
  <c r="AB13" i="2"/>
  <c r="AA13" i="2"/>
  <c r="T13" i="2"/>
  <c r="S13" i="2"/>
  <c r="R13" i="2"/>
  <c r="Q13" i="2"/>
  <c r="J13" i="2"/>
  <c r="I13" i="2"/>
  <c r="H13" i="2"/>
  <c r="G13" i="2"/>
  <c r="BH12" i="2"/>
  <c r="BG12" i="2"/>
  <c r="BF12" i="2"/>
  <c r="BE12" i="2"/>
  <c r="AX12" i="2"/>
  <c r="AW12" i="2"/>
  <c r="AV12" i="2"/>
  <c r="AU12" i="2"/>
  <c r="AN12" i="2"/>
  <c r="AM12" i="2"/>
  <c r="AL12" i="2"/>
  <c r="AK12" i="2"/>
  <c r="AD12" i="2"/>
  <c r="AC12" i="2"/>
  <c r="AB12" i="2"/>
  <c r="AA12" i="2"/>
  <c r="T12" i="2"/>
  <c r="S12" i="2"/>
  <c r="R12" i="2"/>
  <c r="Q12" i="2"/>
  <c r="J12" i="2"/>
  <c r="I12" i="2"/>
  <c r="H12" i="2"/>
  <c r="G12" i="2"/>
  <c r="BH11" i="2"/>
  <c r="BG11" i="2"/>
  <c r="BF11" i="2"/>
  <c r="BE11" i="2"/>
  <c r="AX11" i="2"/>
  <c r="AW11" i="2"/>
  <c r="AV11" i="2"/>
  <c r="AU11" i="2"/>
  <c r="AN11" i="2"/>
  <c r="AM11" i="2"/>
  <c r="AL11" i="2"/>
  <c r="AK11" i="2"/>
  <c r="AD11" i="2"/>
  <c r="AC11" i="2"/>
  <c r="AB11" i="2"/>
  <c r="AA11" i="2"/>
  <c r="T11" i="2"/>
  <c r="S11" i="2"/>
  <c r="R11" i="2"/>
  <c r="Q11" i="2"/>
  <c r="J11" i="2"/>
  <c r="I11" i="2"/>
  <c r="H11" i="2"/>
  <c r="G11" i="2"/>
  <c r="BH10" i="2"/>
  <c r="BG10" i="2"/>
  <c r="BF10" i="2"/>
  <c r="BE10" i="2"/>
  <c r="AX10" i="2"/>
  <c r="AW10" i="2"/>
  <c r="AV10" i="2"/>
  <c r="AU10" i="2"/>
  <c r="AN10" i="2"/>
  <c r="AM10" i="2"/>
  <c r="AL10" i="2"/>
  <c r="AK10" i="2"/>
  <c r="AD10" i="2"/>
  <c r="AC10" i="2"/>
  <c r="AB10" i="2"/>
  <c r="AA10" i="2"/>
  <c r="T10" i="2"/>
  <c r="S10" i="2"/>
  <c r="R10" i="2"/>
  <c r="Q10" i="2"/>
  <c r="J10" i="2"/>
  <c r="I10" i="2"/>
  <c r="H10" i="2"/>
  <c r="G10" i="2"/>
  <c r="BH9" i="2"/>
  <c r="BG9" i="2"/>
  <c r="BF9" i="2"/>
  <c r="BE9" i="2"/>
  <c r="AX9" i="2"/>
  <c r="AW9" i="2"/>
  <c r="AV9" i="2"/>
  <c r="AU9" i="2"/>
  <c r="AN9" i="2"/>
  <c r="AM9" i="2"/>
  <c r="AL9" i="2"/>
  <c r="AK9" i="2"/>
  <c r="AD9" i="2"/>
  <c r="AC9" i="2"/>
  <c r="AB9" i="2"/>
  <c r="AA9" i="2"/>
  <c r="T9" i="2"/>
  <c r="S9" i="2"/>
  <c r="R9" i="2"/>
  <c r="Q9" i="2"/>
  <c r="J9" i="2"/>
  <c r="I9" i="2"/>
  <c r="H9" i="2"/>
  <c r="G9" i="2"/>
  <c r="BH8" i="2"/>
  <c r="BG8" i="2"/>
  <c r="BF8" i="2"/>
  <c r="BE8" i="2"/>
  <c r="AX8" i="2"/>
  <c r="AW8" i="2"/>
  <c r="AV8" i="2"/>
  <c r="AU8" i="2"/>
  <c r="AN8" i="2"/>
  <c r="AM8" i="2"/>
  <c r="AL8" i="2"/>
  <c r="AK8" i="2"/>
  <c r="AD8" i="2"/>
  <c r="AC8" i="2"/>
  <c r="AB8" i="2"/>
  <c r="AA8" i="2"/>
  <c r="T8" i="2"/>
  <c r="S8" i="2"/>
  <c r="R8" i="2"/>
  <c r="Q8" i="2"/>
  <c r="J8" i="2"/>
  <c r="I8" i="2"/>
  <c r="H8" i="2"/>
  <c r="G8" i="2"/>
  <c r="BH7" i="2"/>
  <c r="BG7" i="2"/>
  <c r="BF7" i="2"/>
  <c r="BE7" i="2"/>
  <c r="AX7" i="2"/>
  <c r="AW7" i="2"/>
  <c r="AV7" i="2"/>
  <c r="AU7" i="2"/>
  <c r="AN7" i="2"/>
  <c r="AM7" i="2"/>
  <c r="AL7" i="2"/>
  <c r="AK7" i="2"/>
  <c r="AD7" i="2"/>
  <c r="AC7" i="2"/>
  <c r="AB7" i="2"/>
  <c r="AA7" i="2"/>
  <c r="T7" i="2"/>
  <c r="S7" i="2"/>
  <c r="R7" i="2"/>
  <c r="Q7" i="2"/>
  <c r="J7" i="2"/>
  <c r="I7" i="2"/>
  <c r="H7" i="2"/>
  <c r="G7" i="2"/>
  <c r="BH6" i="2"/>
  <c r="BG6" i="2"/>
  <c r="BF6" i="2"/>
  <c r="BE6" i="2"/>
  <c r="AX6" i="2"/>
  <c r="AW6" i="2"/>
  <c r="AV6" i="2"/>
  <c r="AU6" i="2"/>
  <c r="AN6" i="2"/>
  <c r="AM6" i="2"/>
  <c r="AL6" i="2"/>
  <c r="AK6" i="2"/>
  <c r="AD6" i="2"/>
  <c r="AC6" i="2"/>
  <c r="AB6" i="2"/>
  <c r="AA6" i="2"/>
  <c r="T6" i="2"/>
  <c r="S6" i="2"/>
  <c r="R6" i="2"/>
  <c r="Q6" i="2"/>
  <c r="J6" i="2"/>
  <c r="I6" i="2"/>
  <c r="H6" i="2"/>
  <c r="G6" i="2"/>
</calcChain>
</file>

<file path=xl/sharedStrings.xml><?xml version="1.0" encoding="utf-8"?>
<sst xmlns="http://schemas.openxmlformats.org/spreadsheetml/2006/main" count="3366" uniqueCount="227">
  <si>
    <t>20 denyeli</t>
  </si>
  <si>
    <t>30 denyeli</t>
  </si>
  <si>
    <t>40 denyeli</t>
  </si>
  <si>
    <t>70 denyeli</t>
  </si>
  <si>
    <t>100 Maydaki</t>
  </si>
  <si>
    <t>30/1 iplik</t>
  </si>
  <si>
    <t>İp.uzunluğu</t>
  </si>
  <si>
    <t>20Dn</t>
  </si>
  <si>
    <t>30Dn</t>
  </si>
  <si>
    <t>40Dn</t>
  </si>
  <si>
    <t>70Dn</t>
  </si>
  <si>
    <t>Dış ip.</t>
  </si>
  <si>
    <t>İç ip.</t>
  </si>
  <si>
    <t>30/30</t>
  </si>
  <si>
    <t>30/28</t>
  </si>
  <si>
    <t>30/26</t>
  </si>
  <si>
    <t>30/24</t>
  </si>
  <si>
    <t>30/22</t>
  </si>
  <si>
    <t>30/20</t>
  </si>
  <si>
    <t>30/100</t>
  </si>
  <si>
    <t>30/150</t>
  </si>
  <si>
    <t>40cm</t>
  </si>
  <si>
    <t>11,8cm</t>
  </si>
  <si>
    <t>39cm</t>
  </si>
  <si>
    <t>38cm</t>
  </si>
  <si>
    <t>11,6cm</t>
  </si>
  <si>
    <t>37cm</t>
  </si>
  <si>
    <t>11,4cm</t>
  </si>
  <si>
    <t>36cm</t>
  </si>
  <si>
    <t>11,2cm</t>
  </si>
  <si>
    <t>35cm</t>
  </si>
  <si>
    <t>11cm</t>
  </si>
  <si>
    <t>34cm</t>
  </si>
  <si>
    <t>33cm</t>
  </si>
  <si>
    <t>32cm</t>
  </si>
  <si>
    <t>31cm</t>
  </si>
  <si>
    <t>30cm</t>
  </si>
  <si>
    <t>10,8cm</t>
  </si>
  <si>
    <t>29cm</t>
  </si>
  <si>
    <t>10,6cm</t>
  </si>
  <si>
    <t>28cm</t>
  </si>
  <si>
    <t>10,4cm</t>
  </si>
  <si>
    <t>27cm</t>
  </si>
  <si>
    <t>10,2cm</t>
  </si>
  <si>
    <t>100 My.ip.uzun</t>
  </si>
  <si>
    <t>28/1 iplik</t>
  </si>
  <si>
    <t>28/30</t>
  </si>
  <si>
    <t>28/28</t>
  </si>
  <si>
    <t>28/26</t>
  </si>
  <si>
    <t>28/24</t>
  </si>
  <si>
    <t>28/22</t>
  </si>
  <si>
    <t>28/20</t>
  </si>
  <si>
    <t>28/100</t>
  </si>
  <si>
    <t>28/150</t>
  </si>
  <si>
    <t>26/1 iplik</t>
  </si>
  <si>
    <t>26/30</t>
  </si>
  <si>
    <t>26/28</t>
  </si>
  <si>
    <t>26/26</t>
  </si>
  <si>
    <t>26/24</t>
  </si>
  <si>
    <t>26/22</t>
  </si>
  <si>
    <t>26/20</t>
  </si>
  <si>
    <t>26/100</t>
  </si>
  <si>
    <t>26/150</t>
  </si>
  <si>
    <t>24/1 iplik</t>
  </si>
  <si>
    <t>24/30</t>
  </si>
  <si>
    <t>24/28</t>
  </si>
  <si>
    <t>24/26</t>
  </si>
  <si>
    <t>24/24</t>
  </si>
  <si>
    <t>24/22</t>
  </si>
  <si>
    <t>24/20</t>
  </si>
  <si>
    <t>24/100</t>
  </si>
  <si>
    <t>24/150</t>
  </si>
  <si>
    <t>hesaplamalar 28 fine göre yapılmıştır</t>
  </si>
  <si>
    <t>FULL  LYCRALI 2İPLİK; LYCRA , PUSS ve FAYNA GÖRE ORTALAMA MAMÜL AÇIK ENLERİ</t>
  </si>
  <si>
    <t>36 PUSS</t>
  </si>
  <si>
    <t>Mk.</t>
  </si>
  <si>
    <t>20 Dny</t>
  </si>
  <si>
    <t>30 Dny</t>
  </si>
  <si>
    <t>40 Dny</t>
  </si>
  <si>
    <t>70 Dny</t>
  </si>
  <si>
    <t>32 Fayn</t>
  </si>
  <si>
    <t>30 Fayn</t>
  </si>
  <si>
    <t>28 Fayn</t>
  </si>
  <si>
    <t>27 Fayn</t>
  </si>
  <si>
    <t>26 Fayn</t>
  </si>
  <si>
    <t>24 Fayn</t>
  </si>
  <si>
    <t>KUMAŞ CİNSİ</t>
  </si>
  <si>
    <t>İğne</t>
  </si>
  <si>
    <t>May</t>
  </si>
  <si>
    <t>Sayısı</t>
  </si>
  <si>
    <t>Genişliği</t>
  </si>
  <si>
    <t>Dny</t>
  </si>
  <si>
    <t>80/80 FULL LYCRALI 2İPLİK</t>
  </si>
  <si>
    <t>60/60 FULL LYCRALI 2İPLİK</t>
  </si>
  <si>
    <t>40/40 FULL LYCRALI 2İPLİK</t>
  </si>
  <si>
    <t>36/36 FULL LYCRALI 2İPLİK</t>
  </si>
  <si>
    <t>34/34 FULL LYCRALI 2İPLİK</t>
  </si>
  <si>
    <t>32/32 FULL LYCRALI 2İPLİK</t>
  </si>
  <si>
    <t>30/30 FULL LYCRALI 2İPLİK</t>
  </si>
  <si>
    <t>28/28 FULL LYCRALI 2İPLİK</t>
  </si>
  <si>
    <t>26/26 FULL LYCRALI 2İPLİK</t>
  </si>
  <si>
    <t>24/24 FULL LYCRALI 2İPLİK</t>
  </si>
  <si>
    <t>34 PUSS</t>
  </si>
  <si>
    <t>32 PUSS</t>
  </si>
  <si>
    <t>30 PUSS</t>
  </si>
  <si>
    <t>26 PUSS</t>
  </si>
  <si>
    <t>2 İPLİKLERİN İPLİK UZUNLUKLARINA GÖRE ORTALAMA MAMÜL GRAMAJLARI</t>
  </si>
  <si>
    <t>28 faynda</t>
  </si>
  <si>
    <t>30/1 İplik</t>
  </si>
  <si>
    <t>100may</t>
  </si>
  <si>
    <t>28/1 İplik</t>
  </si>
  <si>
    <t>26/1 İplik</t>
  </si>
  <si>
    <t>24/1 İplik</t>
  </si>
  <si>
    <t>İplik</t>
  </si>
  <si>
    <t>Uzunluk</t>
  </si>
  <si>
    <t>44cm</t>
  </si>
  <si>
    <t>14,6cm</t>
  </si>
  <si>
    <t>43cm</t>
  </si>
  <si>
    <t>14,2cm</t>
  </si>
  <si>
    <t>42cm</t>
  </si>
  <si>
    <t>14cm</t>
  </si>
  <si>
    <t>41cm</t>
  </si>
  <si>
    <t>13,8cm</t>
  </si>
  <si>
    <t>13,6cm</t>
  </si>
  <si>
    <t>13,4cm</t>
  </si>
  <si>
    <t>13,2cm</t>
  </si>
  <si>
    <t>13cm</t>
  </si>
  <si>
    <t>12,8cm</t>
  </si>
  <si>
    <t>12,6cm</t>
  </si>
  <si>
    <t>12,4cm</t>
  </si>
  <si>
    <t>12,2cm</t>
  </si>
  <si>
    <t>12cm</t>
  </si>
  <si>
    <t>26cm</t>
  </si>
  <si>
    <t>İSTENEN GRAMAJLAR İÇİN (Enzimli+Fırçalı siparişlerde listede belirtilen rakamlara %7 ilave et),(Enzim+Fırça+Şardonlu olursa %11 ilave et)</t>
  </si>
  <si>
    <t>26 fanyda</t>
  </si>
  <si>
    <t>24 fanyda</t>
  </si>
  <si>
    <t>20 faynda</t>
  </si>
  <si>
    <t>20/1 İplik</t>
  </si>
  <si>
    <t>19/1 İplik</t>
  </si>
  <si>
    <t>18/1 İplik</t>
  </si>
  <si>
    <t>17/1 İplik</t>
  </si>
  <si>
    <t>16/1 İplik</t>
  </si>
  <si>
    <t>22 faynda</t>
  </si>
  <si>
    <t>DÜZ 2 İPLİK , PUSS ve FAYNA GÖRE ORTALAMA MAMÜL TÜP ENLERİ</t>
  </si>
  <si>
    <t>22 Fayn</t>
  </si>
  <si>
    <t>20 Fayn</t>
  </si>
  <si>
    <t>60/60 DÜZ 2İPLİK</t>
  </si>
  <si>
    <t>40/40 DÜZ 2İPLİK</t>
  </si>
  <si>
    <t>36/36 DÜZ 2İPLİK</t>
  </si>
  <si>
    <t>34/34 DÜZ 2İPLİK</t>
  </si>
  <si>
    <t>32/32 DÜZ 2İPLİK</t>
  </si>
  <si>
    <t>30/30 DÜZ 2İPLİK</t>
  </si>
  <si>
    <t>28/28 DÜZ 2İPLİK</t>
  </si>
  <si>
    <t>26/26 DÜZ 2İPLİK</t>
  </si>
  <si>
    <t>24/24 DÜZ 2İPLİK</t>
  </si>
  <si>
    <t>20/10 DÜZ 2İPLİK</t>
  </si>
  <si>
    <t>20/8 DÜZ 2İPLİK</t>
  </si>
  <si>
    <t>*Şardonlu istenen siparişlerin arka ipliğini uzun al</t>
  </si>
  <si>
    <t>2 İPLİK KUMAŞLARDAKİ ORTALAMA İPLİK ve LYCRA ORANLARI</t>
  </si>
  <si>
    <t>20 DENYE FULL LYCRALI 2 İPLİK (150 denye polyesterli)</t>
  </si>
  <si>
    <t xml:space="preserve">40/1  </t>
  </si>
  <si>
    <t xml:space="preserve">38/1  </t>
  </si>
  <si>
    <t xml:space="preserve">36/1  </t>
  </si>
  <si>
    <t xml:space="preserve">34/1  </t>
  </si>
  <si>
    <t xml:space="preserve">32/1  </t>
  </si>
  <si>
    <t>(30/1)</t>
  </si>
  <si>
    <t>(28/1)</t>
  </si>
  <si>
    <t>(26/1)</t>
  </si>
  <si>
    <t>(24/1)</t>
  </si>
  <si>
    <t>20 Denyede</t>
  </si>
  <si>
    <t>PAMUK</t>
  </si>
  <si>
    <t>OR.%</t>
  </si>
  <si>
    <t>POLYESTER</t>
  </si>
  <si>
    <t>LYCRA</t>
  </si>
  <si>
    <t>Not: 20 denye LYCRA ,100 iğne 11,4 cm - POLYETER 100 iğne 11 cm olarak hesaplanmışdır</t>
  </si>
  <si>
    <t>30 DENYE FULL LYCRALI 2 İPLİK (150 denye polyesterli)</t>
  </si>
  <si>
    <t>30 Denyede</t>
  </si>
  <si>
    <t>Not: 30 denye LYCRA ,100 iğne 12,2 cm - POLYETER 100 iğne 11 cm olarak hesaplanmışdır</t>
  </si>
  <si>
    <t>40 DENYE FULL LYCRALI 2 İPLİK (150 denye polyesterli)</t>
  </si>
  <si>
    <t>40 Denyede</t>
  </si>
  <si>
    <t>Not: 40 denye LYCRA ,100 iğne 13 cm - POLYETER 100 iğne 11 cm olarak hesaplanmışdır</t>
  </si>
  <si>
    <t>20 DENYE FULL LYCRALI 2 İPLİK (90 denye polyesterli)</t>
  </si>
  <si>
    <t>30 DENYE FULL LYCRALI 2 İPLİK (90 denye polyesterli)</t>
  </si>
  <si>
    <t>40 DENYE FULL LYCRALI 2 İPLİK (90 denye polyesterli)</t>
  </si>
  <si>
    <t>40/1</t>
  </si>
  <si>
    <t>38/1</t>
  </si>
  <si>
    <t>36/1</t>
  </si>
  <si>
    <t>34/1</t>
  </si>
  <si>
    <t>32/1</t>
  </si>
  <si>
    <t>Gr.</t>
  </si>
  <si>
    <t>Pam.</t>
  </si>
  <si>
    <t>Pol.</t>
  </si>
  <si>
    <t>Lyc.</t>
  </si>
  <si>
    <t>34 Cm</t>
  </si>
  <si>
    <t>170 Gr</t>
  </si>
  <si>
    <t>180 Gr</t>
  </si>
  <si>
    <t>190 Gr</t>
  </si>
  <si>
    <t>200 Gr</t>
  </si>
  <si>
    <t>210 Gr</t>
  </si>
  <si>
    <t>33 Cm</t>
  </si>
  <si>
    <t>220 Gr</t>
  </si>
  <si>
    <t>32 Cm</t>
  </si>
  <si>
    <t>230 Gr</t>
  </si>
  <si>
    <t>31 Cm</t>
  </si>
  <si>
    <t>240 Gr</t>
  </si>
  <si>
    <t>30 Cm</t>
  </si>
  <si>
    <t>250 Gr</t>
  </si>
  <si>
    <t>29 Cm</t>
  </si>
  <si>
    <t>260 Gr</t>
  </si>
  <si>
    <t>28 Cm</t>
  </si>
  <si>
    <t>270 Gr</t>
  </si>
  <si>
    <t>27 Cm</t>
  </si>
  <si>
    <t>280 Gr</t>
  </si>
  <si>
    <t>ORT.%</t>
  </si>
  <si>
    <t>NOT:</t>
  </si>
  <si>
    <t>po.100 iğne  11 Cm</t>
  </si>
  <si>
    <t>lyc.100 iğne  11,4 Cm</t>
  </si>
  <si>
    <t>290 Gr</t>
  </si>
  <si>
    <t>300 Gr</t>
  </si>
  <si>
    <t>310 Gr</t>
  </si>
  <si>
    <t>320 Gr</t>
  </si>
  <si>
    <t>lyc.100 iğne  12,2 Cm</t>
  </si>
  <si>
    <t>330 Gr</t>
  </si>
  <si>
    <t>lyc.100 iğne  13 Cm</t>
  </si>
  <si>
    <t>340 Gr</t>
  </si>
  <si>
    <t>150 Gr</t>
  </si>
  <si>
    <t>160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</si>
</sst>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&quot;.&quot;mmm"/>
    <numFmt numFmtId="165" formatCode="[$-419]General"/>
    <numFmt numFmtId="166" formatCode="[$-419]0.00"/>
  </numFmts>
  <fonts count="30" x14ac:knownFonts="1">
    <font>
      <sz val="11"/>
      <color theme="1"/>
      <name val="Calibri"/>
      <family val="2"/>
      <charset val="16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6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color rgb="FF000000"/>
      <name val="Arial"/>
      <family val="2"/>
    </font>
    <font>
      <sz val="10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FF0000"/>
      <name val="Arial"/>
      <family val="2"/>
    </font>
    <font>
      <b/>
      <i/>
      <sz val="8"/>
      <color rgb="FF000000"/>
      <name val="Arial"/>
      <family val="2"/>
    </font>
    <font>
      <b/>
      <sz val="6"/>
      <color rgb="FF000000"/>
      <name val="Arial Narrow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b/>
      <sz val="7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CCCFF"/>
        <bgColor rgb="FFCCCCFF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rgb="FFFF8080"/>
        <bgColor rgb="FFFF8080"/>
      </patternFill>
    </fill>
    <fill>
      <patternFill patternType="solid">
        <fgColor rgb="FFCCFFCC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D7E4BD"/>
        <bgColor rgb="FFD7E4B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5" fontId="20" fillId="0" borderId="0" applyBorder="0" applyProtection="0"/>
  </cellStyleXfs>
  <cellXfs count="275">
    <xf numFmtId="0" fontId="0" fillId="0" borderId="0" xfId="0"/>
    <xf numFmtId="0" fontId="0" fillId="2" borderId="0" xfId="0" applyFill="1"/>
    <xf numFmtId="0" fontId="2" fillId="0" borderId="0" xfId="0" applyFon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/>
    <xf numFmtId="0" fontId="2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2" borderId="0" xfId="0" applyFont="1" applyFill="1"/>
    <xf numFmtId="0" fontId="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0" borderId="1" xfId="0" applyBorder="1"/>
    <xf numFmtId="0" fontId="4" fillId="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" fontId="11" fillId="8" borderId="14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" fontId="11" fillId="2" borderId="14" xfId="0" applyNumberFormat="1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" fontId="11" fillId="8" borderId="3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1" fillId="8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1" fontId="10" fillId="8" borderId="8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" fontId="10" fillId="8" borderId="7" xfId="0" applyNumberFormat="1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7" borderId="3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left" vertical="center"/>
    </xf>
    <xf numFmtId="164" fontId="14" fillId="2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8" fillId="11" borderId="1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0" fillId="2" borderId="12" xfId="0" applyFill="1" applyBorder="1"/>
    <xf numFmtId="0" fontId="0" fillId="2" borderId="0" xfId="0" applyFill="1"/>
    <xf numFmtId="0" fontId="5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165" fontId="21" fillId="0" borderId="2" xfId="1" applyFont="1" applyFill="1" applyBorder="1" applyAlignment="1" applyProtection="1">
      <alignment horizontal="center" vertical="center"/>
    </xf>
    <xf numFmtId="165" fontId="21" fillId="0" borderId="0" xfId="1" applyFont="1" applyFill="1" applyAlignment="1" applyProtection="1"/>
    <xf numFmtId="165" fontId="20" fillId="0" borderId="0" xfId="1" applyFont="1" applyFill="1" applyAlignment="1" applyProtection="1"/>
    <xf numFmtId="165" fontId="20" fillId="0" borderId="10" xfId="1" applyFont="1" applyFill="1" applyBorder="1" applyAlignment="1" applyProtection="1"/>
    <xf numFmtId="165" fontId="22" fillId="0" borderId="6" xfId="1" applyFont="1" applyFill="1" applyBorder="1" applyAlignment="1" applyProtection="1">
      <alignment horizontal="center"/>
    </xf>
    <xf numFmtId="165" fontId="23" fillId="0" borderId="5" xfId="1" applyFont="1" applyFill="1" applyBorder="1" applyAlignment="1" applyProtection="1">
      <alignment vertical="center"/>
    </xf>
    <xf numFmtId="165" fontId="23" fillId="0" borderId="6" xfId="1" applyFont="1" applyFill="1" applyBorder="1" applyAlignment="1" applyProtection="1">
      <alignment vertical="center"/>
    </xf>
    <xf numFmtId="165" fontId="20" fillId="0" borderId="12" xfId="1" applyFont="1" applyFill="1" applyBorder="1" applyAlignment="1" applyProtection="1"/>
    <xf numFmtId="165" fontId="23" fillId="0" borderId="1" xfId="1" applyFont="1" applyFill="1" applyBorder="1" applyAlignment="1" applyProtection="1">
      <alignment horizontal="center" vertical="center"/>
    </xf>
    <xf numFmtId="165" fontId="24" fillId="0" borderId="0" xfId="1" applyFont="1" applyFill="1" applyAlignment="1" applyProtection="1">
      <alignment horizontal="center" vertical="center"/>
    </xf>
    <xf numFmtId="165" fontId="25" fillId="0" borderId="0" xfId="1" applyFont="1" applyFill="1" applyAlignment="1" applyProtection="1">
      <alignment horizontal="center" vertical="center"/>
    </xf>
    <xf numFmtId="165" fontId="24" fillId="0" borderId="1" xfId="1" applyFont="1" applyFill="1" applyBorder="1" applyAlignment="1" applyProtection="1">
      <alignment horizontal="center" vertical="center"/>
    </xf>
    <xf numFmtId="165" fontId="25" fillId="0" borderId="12" xfId="1" applyFont="1" applyFill="1" applyBorder="1" applyAlignment="1" applyProtection="1"/>
    <xf numFmtId="165" fontId="20" fillId="13" borderId="0" xfId="1" applyFont="1" applyFill="1" applyAlignment="1" applyProtection="1">
      <alignment vertical="center"/>
    </xf>
    <xf numFmtId="166" fontId="22" fillId="13" borderId="5" xfId="1" applyNumberFormat="1" applyFont="1" applyFill="1" applyBorder="1" applyAlignment="1" applyProtection="1">
      <alignment horizontal="center" vertical="center"/>
    </xf>
    <xf numFmtId="165" fontId="22" fillId="2" borderId="0" xfId="1" applyFont="1" applyFill="1" applyAlignment="1" applyProtection="1">
      <alignment horizontal="center" vertical="center"/>
    </xf>
    <xf numFmtId="166" fontId="22" fillId="2" borderId="0" xfId="1" applyNumberFormat="1" applyFont="1" applyFill="1" applyAlignment="1" applyProtection="1">
      <alignment horizontal="center" vertical="center"/>
    </xf>
    <xf numFmtId="166" fontId="22" fillId="2" borderId="0" xfId="1" applyNumberFormat="1" applyFont="1" applyFill="1" applyAlignment="1" applyProtection="1">
      <alignment vertical="center"/>
    </xf>
    <xf numFmtId="166" fontId="22" fillId="13" borderId="6" xfId="1" applyNumberFormat="1" applyFont="1" applyFill="1" applyBorder="1" applyAlignment="1" applyProtection="1">
      <alignment horizontal="center" vertical="center"/>
    </xf>
    <xf numFmtId="166" fontId="22" fillId="13" borderId="0" xfId="1" applyNumberFormat="1" applyFont="1" applyFill="1" applyAlignment="1" applyProtection="1">
      <alignment horizontal="center" vertical="center"/>
    </xf>
    <xf numFmtId="166" fontId="22" fillId="13" borderId="13" xfId="1" applyNumberFormat="1" applyFont="1" applyFill="1" applyBorder="1" applyAlignment="1" applyProtection="1">
      <alignment horizontal="center" vertical="center"/>
    </xf>
    <xf numFmtId="165" fontId="20" fillId="0" borderId="9" xfId="1" applyFont="1" applyFill="1" applyBorder="1" applyAlignment="1" applyProtection="1"/>
    <xf numFmtId="165" fontId="26" fillId="0" borderId="14" xfId="1" applyFont="1" applyFill="1" applyBorder="1" applyAlignment="1" applyProtection="1">
      <alignment horizontal="center"/>
    </xf>
    <xf numFmtId="165" fontId="26" fillId="0" borderId="0" xfId="1" applyFont="1" applyFill="1" applyAlignment="1" applyProtection="1">
      <alignment horizontal="center"/>
    </xf>
    <xf numFmtId="165" fontId="26" fillId="0" borderId="13" xfId="1" applyFont="1" applyFill="1" applyBorder="1" applyAlignment="1" applyProtection="1">
      <alignment horizontal="center"/>
    </xf>
    <xf numFmtId="165" fontId="20" fillId="0" borderId="0" xfId="1" applyFont="1" applyFill="1" applyAlignment="1" applyProtection="1">
      <alignment horizontal="center" vertical="center"/>
    </xf>
    <xf numFmtId="165" fontId="20" fillId="0" borderId="13" xfId="1" applyFont="1" applyFill="1" applyBorder="1" applyAlignment="1" applyProtection="1"/>
    <xf numFmtId="165" fontId="26" fillId="0" borderId="14" xfId="1" applyFont="1" applyFill="1" applyBorder="1" applyAlignment="1" applyProtection="1">
      <alignment horizontal="center" vertical="center"/>
    </xf>
    <xf numFmtId="165" fontId="21" fillId="0" borderId="4" xfId="1" applyFont="1" applyFill="1" applyBorder="1" applyAlignment="1" applyProtection="1">
      <alignment horizontal="center" vertical="center"/>
    </xf>
    <xf numFmtId="165" fontId="25" fillId="0" borderId="0" xfId="1" applyFont="1" applyFill="1" applyAlignment="1" applyProtection="1"/>
    <xf numFmtId="165" fontId="22" fillId="0" borderId="7" xfId="1" applyFont="1" applyFill="1" applyBorder="1" applyAlignment="1" applyProtection="1">
      <alignment horizontal="center"/>
    </xf>
    <xf numFmtId="165" fontId="26" fillId="0" borderId="0" xfId="1" applyFont="1" applyFill="1" applyAlignment="1" applyProtection="1"/>
    <xf numFmtId="165" fontId="27" fillId="0" borderId="1" xfId="1" applyFont="1" applyFill="1" applyBorder="1" applyAlignment="1" applyProtection="1">
      <alignment horizontal="center"/>
    </xf>
    <xf numFmtId="165" fontId="28" fillId="0" borderId="1" xfId="1" applyFont="1" applyFill="1" applyBorder="1" applyAlignment="1" applyProtection="1">
      <alignment horizontal="center"/>
    </xf>
    <xf numFmtId="165" fontId="28" fillId="0" borderId="1" xfId="1" applyFont="1" applyFill="1" applyBorder="1" applyAlignment="1" applyProtection="1">
      <alignment horizontal="center"/>
    </xf>
    <xf numFmtId="165" fontId="25" fillId="0" borderId="1" xfId="1" applyFont="1" applyFill="1" applyBorder="1" applyAlignment="1" applyProtection="1">
      <alignment horizontal="center" vertical="center"/>
    </xf>
    <xf numFmtId="166" fontId="24" fillId="0" borderId="1" xfId="1" applyNumberFormat="1" applyFont="1" applyFill="1" applyBorder="1" applyAlignment="1" applyProtection="1">
      <alignment horizontal="center" vertical="center"/>
    </xf>
    <xf numFmtId="166" fontId="29" fillId="0" borderId="1" xfId="1" applyNumberFormat="1" applyFont="1" applyFill="1" applyBorder="1" applyAlignment="1" applyProtection="1">
      <alignment horizontal="center" vertical="center"/>
    </xf>
    <xf numFmtId="166" fontId="29" fillId="13" borderId="1" xfId="1" applyNumberFormat="1" applyFont="1" applyFill="1" applyBorder="1" applyAlignment="1" applyProtection="1">
      <alignment horizontal="center" vertical="center"/>
    </xf>
    <xf numFmtId="166" fontId="26" fillId="0" borderId="0" xfId="1" applyNumberFormat="1" applyFont="1" applyFill="1" applyAlignment="1" applyProtection="1">
      <alignment vertical="center"/>
    </xf>
    <xf numFmtId="166" fontId="26" fillId="0" borderId="0" xfId="1" applyNumberFormat="1" applyFont="1" applyFill="1" applyAlignment="1" applyProtection="1"/>
    <xf numFmtId="166" fontId="25" fillId="0" borderId="0" xfId="1" applyNumberFormat="1" applyFont="1" applyFill="1" applyAlignment="1" applyProtection="1">
      <alignment vertical="center"/>
    </xf>
    <xf numFmtId="165" fontId="25" fillId="13" borderId="1" xfId="1" applyFont="1" applyFill="1" applyBorder="1" applyAlignment="1" applyProtection="1">
      <alignment horizontal="center" vertical="center"/>
    </xf>
    <xf numFmtId="166" fontId="26" fillId="0" borderId="13" xfId="1" applyNumberFormat="1" applyFont="1" applyFill="1" applyBorder="1" applyAlignment="1" applyProtection="1"/>
    <xf numFmtId="166" fontId="26" fillId="0" borderId="0" xfId="1" applyNumberFormat="1" applyFont="1" applyFill="1" applyAlignment="1" applyProtection="1">
      <alignment horizontal="center" vertical="center"/>
    </xf>
    <xf numFmtId="166" fontId="26" fillId="0" borderId="13" xfId="1" applyNumberFormat="1" applyFont="1" applyFill="1" applyBorder="1" applyAlignment="1" applyProtection="1">
      <alignment vertical="center"/>
    </xf>
    <xf numFmtId="166" fontId="26" fillId="0" borderId="2" xfId="1" applyNumberFormat="1" applyFont="1" applyFill="1" applyBorder="1" applyAlignment="1" applyProtection="1"/>
    <xf numFmtId="166" fontId="26" fillId="0" borderId="14" xfId="1" applyNumberFormat="1" applyFont="1" applyFill="1" applyBorder="1" applyAlignment="1" applyProtection="1"/>
    <xf numFmtId="166" fontId="26" fillId="0" borderId="1" xfId="1" applyNumberFormat="1" applyFont="1" applyFill="1" applyBorder="1" applyAlignment="1" applyProtection="1"/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7"/>
  <sheetViews>
    <sheetView workbookViewId="0">
      <selection activeCell="AB59" sqref="AB59"/>
    </sheetView>
  </sheetViews>
  <sheetFormatPr defaultRowHeight="15" x14ac:dyDescent="0.25"/>
  <cols>
    <col min="1" max="1" width="4.5703125" customWidth="1"/>
    <col min="2" max="2" width="4.85546875" customWidth="1"/>
    <col min="3" max="3" width="0.42578125" customWidth="1"/>
    <col min="4" max="11" width="4.5703125" customWidth="1"/>
    <col min="12" max="12" width="4.5703125" style="1" customWidth="1"/>
    <col min="13" max="20" width="4.5703125" customWidth="1"/>
    <col min="21" max="21" width="4.5703125" style="1" customWidth="1"/>
    <col min="22" max="29" width="4.5703125" customWidth="1"/>
    <col min="30" max="30" width="4.5703125" style="1" customWidth="1"/>
    <col min="31" max="38" width="4.5703125" customWidth="1"/>
    <col min="39" max="39" width="9.5703125" style="2" customWidth="1"/>
    <col min="40" max="256" width="9.5703125" customWidth="1"/>
    <col min="257" max="257" width="10.28515625" customWidth="1"/>
  </cols>
  <sheetData>
    <row r="1" spans="1:38" ht="17.25" customHeight="1" x14ac:dyDescent="0.25">
      <c r="D1" s="202" t="s">
        <v>0</v>
      </c>
      <c r="E1" s="202"/>
      <c r="F1" s="202"/>
      <c r="G1" s="202"/>
      <c r="H1" s="202"/>
      <c r="I1" s="202"/>
      <c r="J1" s="202"/>
      <c r="K1" s="202"/>
      <c r="M1" s="203" t="s">
        <v>1</v>
      </c>
      <c r="N1" s="203"/>
      <c r="O1" s="203"/>
      <c r="P1" s="203"/>
      <c r="Q1" s="203"/>
      <c r="R1" s="203"/>
      <c r="S1" s="203"/>
      <c r="T1" s="203"/>
      <c r="V1" s="203" t="s">
        <v>2</v>
      </c>
      <c r="W1" s="203"/>
      <c r="X1" s="203"/>
      <c r="Y1" s="203"/>
      <c r="Z1" s="203"/>
      <c r="AA1" s="203"/>
      <c r="AB1" s="203"/>
      <c r="AC1" s="203"/>
      <c r="AE1" s="203" t="s">
        <v>3</v>
      </c>
      <c r="AF1" s="203"/>
      <c r="AG1" s="203"/>
      <c r="AH1" s="203"/>
      <c r="AI1" s="203"/>
      <c r="AJ1" s="203"/>
      <c r="AK1" s="203"/>
      <c r="AL1" s="203"/>
    </row>
    <row r="2" spans="1:38" ht="9.75" customHeight="1" x14ac:dyDescent="0.25">
      <c r="A2" s="195" t="s">
        <v>4</v>
      </c>
      <c r="B2" s="195"/>
      <c r="C2" s="3"/>
      <c r="D2" s="204" t="s">
        <v>5</v>
      </c>
      <c r="E2" s="204"/>
      <c r="F2" s="204"/>
      <c r="G2" s="204"/>
      <c r="H2" s="204"/>
      <c r="I2" s="204"/>
      <c r="J2" s="204"/>
      <c r="K2" s="204"/>
      <c r="L2" s="4"/>
      <c r="M2" s="205" t="s">
        <v>5</v>
      </c>
      <c r="N2" s="205"/>
      <c r="O2" s="205"/>
      <c r="P2" s="205"/>
      <c r="Q2" s="205"/>
      <c r="R2" s="205"/>
      <c r="S2" s="205"/>
      <c r="T2" s="205"/>
      <c r="U2" s="4"/>
      <c r="V2" s="205" t="s">
        <v>5</v>
      </c>
      <c r="W2" s="205"/>
      <c r="X2" s="205"/>
      <c r="Y2" s="205"/>
      <c r="Z2" s="205"/>
      <c r="AA2" s="205"/>
      <c r="AB2" s="205"/>
      <c r="AC2" s="205"/>
      <c r="AD2" s="4"/>
      <c r="AE2" s="205" t="s">
        <v>5</v>
      </c>
      <c r="AF2" s="205"/>
      <c r="AG2" s="205"/>
      <c r="AH2" s="205"/>
      <c r="AI2" s="205"/>
      <c r="AJ2" s="205"/>
      <c r="AK2" s="205"/>
      <c r="AL2" s="205"/>
    </row>
    <row r="3" spans="1:38" ht="9.75" customHeight="1" x14ac:dyDescent="0.25">
      <c r="A3" s="195" t="s">
        <v>6</v>
      </c>
      <c r="B3" s="195"/>
      <c r="C3" s="5"/>
      <c r="D3" s="6" t="s">
        <v>7</v>
      </c>
      <c r="E3" s="7" t="s">
        <v>7</v>
      </c>
      <c r="F3" s="7" t="s">
        <v>7</v>
      </c>
      <c r="G3" s="7" t="s">
        <v>7</v>
      </c>
      <c r="H3" s="7" t="s">
        <v>7</v>
      </c>
      <c r="I3" s="7" t="s">
        <v>7</v>
      </c>
      <c r="J3" s="8" t="s">
        <v>7</v>
      </c>
      <c r="K3" s="8" t="s">
        <v>7</v>
      </c>
      <c r="L3" s="9"/>
      <c r="M3" s="6" t="s">
        <v>8</v>
      </c>
      <c r="N3" s="7" t="s">
        <v>8</v>
      </c>
      <c r="O3" s="7" t="s">
        <v>8</v>
      </c>
      <c r="P3" s="7" t="s">
        <v>8</v>
      </c>
      <c r="Q3" s="7" t="s">
        <v>8</v>
      </c>
      <c r="R3" s="7" t="s">
        <v>8</v>
      </c>
      <c r="S3" s="8" t="s">
        <v>8</v>
      </c>
      <c r="T3" s="8" t="s">
        <v>8</v>
      </c>
      <c r="U3" s="9"/>
      <c r="V3" s="6" t="s">
        <v>9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B3" s="10" t="s">
        <v>9</v>
      </c>
      <c r="AC3" s="10" t="s">
        <v>9</v>
      </c>
      <c r="AD3" s="9"/>
      <c r="AE3" s="6" t="s">
        <v>10</v>
      </c>
      <c r="AF3" s="6" t="s">
        <v>10</v>
      </c>
      <c r="AG3" s="6" t="s">
        <v>10</v>
      </c>
      <c r="AH3" s="6" t="s">
        <v>10</v>
      </c>
      <c r="AI3" s="6" t="s">
        <v>10</v>
      </c>
      <c r="AJ3" s="6" t="s">
        <v>10</v>
      </c>
      <c r="AK3" s="10" t="s">
        <v>10</v>
      </c>
      <c r="AL3" s="10" t="s">
        <v>10</v>
      </c>
    </row>
    <row r="4" spans="1:38" ht="9.75" customHeight="1" x14ac:dyDescent="0.25">
      <c r="A4" s="11" t="s">
        <v>11</v>
      </c>
      <c r="B4" s="11" t="s">
        <v>12</v>
      </c>
      <c r="C4" s="12"/>
      <c r="D4" s="13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4" t="s">
        <v>18</v>
      </c>
      <c r="J4" s="15" t="s">
        <v>19</v>
      </c>
      <c r="K4" s="15" t="s">
        <v>20</v>
      </c>
      <c r="L4" s="9"/>
      <c r="M4" s="16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5" t="s">
        <v>19</v>
      </c>
      <c r="T4" s="15" t="s">
        <v>20</v>
      </c>
      <c r="U4" s="9"/>
      <c r="V4" s="16" t="s">
        <v>13</v>
      </c>
      <c r="W4" s="14" t="s">
        <v>14</v>
      </c>
      <c r="X4" s="14" t="s">
        <v>15</v>
      </c>
      <c r="Y4" s="14" t="s">
        <v>16</v>
      </c>
      <c r="Z4" s="14" t="s">
        <v>17</v>
      </c>
      <c r="AA4" s="14" t="s">
        <v>18</v>
      </c>
      <c r="AB4" s="15" t="s">
        <v>19</v>
      </c>
      <c r="AC4" s="15" t="s">
        <v>20</v>
      </c>
      <c r="AD4" s="9"/>
      <c r="AE4" s="16" t="s">
        <v>13</v>
      </c>
      <c r="AF4" s="14" t="s">
        <v>14</v>
      </c>
      <c r="AG4" s="14" t="s">
        <v>15</v>
      </c>
      <c r="AH4" s="14" t="s">
        <v>16</v>
      </c>
      <c r="AI4" s="14" t="s">
        <v>17</v>
      </c>
      <c r="AJ4" s="14" t="s">
        <v>18</v>
      </c>
      <c r="AK4" s="15" t="s">
        <v>19</v>
      </c>
      <c r="AL4" s="17" t="s">
        <v>20</v>
      </c>
    </row>
    <row r="5" spans="1:38" ht="9.75" customHeight="1" x14ac:dyDescent="0.25">
      <c r="A5" s="18" t="s">
        <v>21</v>
      </c>
      <c r="B5" s="18" t="s">
        <v>22</v>
      </c>
      <c r="C5" s="19"/>
      <c r="D5" s="20"/>
      <c r="E5" s="20"/>
      <c r="F5" s="20"/>
      <c r="G5" s="20"/>
      <c r="H5" s="20"/>
      <c r="I5" s="20">
        <v>180</v>
      </c>
      <c r="J5" s="21"/>
      <c r="K5" s="21"/>
      <c r="L5" s="20" t="s">
        <v>21</v>
      </c>
      <c r="M5" s="22"/>
      <c r="N5" s="20"/>
      <c r="O5" s="20"/>
      <c r="P5" s="13"/>
      <c r="Q5" s="13"/>
      <c r="R5" s="23">
        <v>200</v>
      </c>
      <c r="S5" s="21"/>
      <c r="T5" s="21"/>
      <c r="U5" s="20" t="s">
        <v>21</v>
      </c>
      <c r="V5" s="23"/>
      <c r="W5" s="20"/>
      <c r="X5" s="20"/>
      <c r="Y5" s="20"/>
      <c r="Z5" s="20"/>
      <c r="AA5" s="23">
        <v>220</v>
      </c>
      <c r="AB5" s="21"/>
      <c r="AC5" s="21"/>
      <c r="AD5" s="20" t="s">
        <v>21</v>
      </c>
      <c r="AE5" s="23"/>
      <c r="AF5" s="20"/>
      <c r="AG5" s="20"/>
      <c r="AH5" s="20"/>
      <c r="AI5" s="20"/>
      <c r="AJ5" s="23">
        <v>250</v>
      </c>
      <c r="AK5" s="20"/>
      <c r="AL5" s="20"/>
    </row>
    <row r="6" spans="1:38" ht="9.75" customHeight="1" x14ac:dyDescent="0.25">
      <c r="A6" s="18" t="s">
        <v>23</v>
      </c>
      <c r="B6" s="18" t="s">
        <v>22</v>
      </c>
      <c r="C6" s="19"/>
      <c r="D6" s="20"/>
      <c r="E6" s="20"/>
      <c r="F6" s="20"/>
      <c r="G6" s="20"/>
      <c r="H6" s="20">
        <v>180</v>
      </c>
      <c r="I6" s="20">
        <v>190</v>
      </c>
      <c r="J6" s="21"/>
      <c r="K6" s="21"/>
      <c r="L6" s="18" t="s">
        <v>23</v>
      </c>
      <c r="M6" s="22"/>
      <c r="N6" s="20"/>
      <c r="O6" s="20"/>
      <c r="P6" s="13"/>
      <c r="Q6" s="23">
        <v>200</v>
      </c>
      <c r="R6" s="20">
        <v>210</v>
      </c>
      <c r="S6" s="21"/>
      <c r="T6" s="21"/>
      <c r="U6" s="18" t="s">
        <v>23</v>
      </c>
      <c r="V6" s="23"/>
      <c r="W6" s="20"/>
      <c r="X6" s="20"/>
      <c r="Y6" s="20"/>
      <c r="Z6" s="23">
        <v>220</v>
      </c>
      <c r="AA6" s="20">
        <v>230</v>
      </c>
      <c r="AB6" s="21"/>
      <c r="AC6" s="21"/>
      <c r="AD6" s="18" t="s">
        <v>23</v>
      </c>
      <c r="AE6" s="23"/>
      <c r="AF6" s="20"/>
      <c r="AG6" s="20"/>
      <c r="AH6" s="20"/>
      <c r="AI6" s="23">
        <v>250</v>
      </c>
      <c r="AJ6" s="20">
        <v>260</v>
      </c>
      <c r="AK6" s="20"/>
      <c r="AL6" s="20"/>
    </row>
    <row r="7" spans="1:38" ht="9.75" customHeight="1" x14ac:dyDescent="0.25">
      <c r="A7" s="18" t="s">
        <v>24</v>
      </c>
      <c r="B7" s="18" t="s">
        <v>25</v>
      </c>
      <c r="C7" s="19"/>
      <c r="D7" s="20"/>
      <c r="E7" s="20"/>
      <c r="F7" s="20"/>
      <c r="G7" s="20">
        <v>180</v>
      </c>
      <c r="H7" s="20">
        <v>190</v>
      </c>
      <c r="I7" s="20">
        <v>200</v>
      </c>
      <c r="J7" s="21"/>
      <c r="K7" s="15">
        <v>180</v>
      </c>
      <c r="L7" s="18" t="s">
        <v>24</v>
      </c>
      <c r="M7" s="22"/>
      <c r="N7" s="20"/>
      <c r="O7" s="20"/>
      <c r="P7" s="23">
        <v>200</v>
      </c>
      <c r="Q7" s="20">
        <v>210</v>
      </c>
      <c r="R7" s="20">
        <v>220</v>
      </c>
      <c r="S7" s="21"/>
      <c r="T7" s="15">
        <v>190</v>
      </c>
      <c r="U7" s="18" t="s">
        <v>24</v>
      </c>
      <c r="V7" s="23"/>
      <c r="W7" s="20"/>
      <c r="X7" s="20"/>
      <c r="Y7" s="23">
        <v>220</v>
      </c>
      <c r="Z7" s="20">
        <v>230</v>
      </c>
      <c r="AA7" s="20">
        <v>240</v>
      </c>
      <c r="AB7" s="21"/>
      <c r="AC7" s="15">
        <v>200</v>
      </c>
      <c r="AD7" s="18" t="s">
        <v>24</v>
      </c>
      <c r="AE7" s="23"/>
      <c r="AF7" s="20"/>
      <c r="AG7" s="20"/>
      <c r="AH7" s="23">
        <v>250</v>
      </c>
      <c r="AI7" s="20">
        <v>260</v>
      </c>
      <c r="AJ7" s="20">
        <v>270</v>
      </c>
      <c r="AK7" s="20"/>
      <c r="AL7" s="15">
        <v>230</v>
      </c>
    </row>
    <row r="8" spans="1:38" ht="9.75" customHeight="1" x14ac:dyDescent="0.25">
      <c r="A8" s="18" t="s">
        <v>26</v>
      </c>
      <c r="B8" s="24" t="s">
        <v>27</v>
      </c>
      <c r="C8" s="19"/>
      <c r="D8" s="20"/>
      <c r="E8" s="20"/>
      <c r="F8" s="20">
        <v>180</v>
      </c>
      <c r="G8" s="20">
        <v>190</v>
      </c>
      <c r="H8" s="20">
        <v>200</v>
      </c>
      <c r="I8" s="20">
        <v>210</v>
      </c>
      <c r="J8" s="15">
        <v>170</v>
      </c>
      <c r="K8" s="15">
        <v>190</v>
      </c>
      <c r="L8" s="18" t="s">
        <v>26</v>
      </c>
      <c r="M8" s="22"/>
      <c r="N8" s="20"/>
      <c r="O8" s="23">
        <v>200</v>
      </c>
      <c r="P8" s="20">
        <v>210</v>
      </c>
      <c r="Q8" s="20">
        <v>220</v>
      </c>
      <c r="R8" s="20">
        <v>230</v>
      </c>
      <c r="S8" s="15">
        <v>180</v>
      </c>
      <c r="T8" s="15">
        <v>200</v>
      </c>
      <c r="U8" s="18" t="s">
        <v>26</v>
      </c>
      <c r="V8" s="23"/>
      <c r="W8" s="20"/>
      <c r="X8" s="23">
        <v>220</v>
      </c>
      <c r="Y8" s="20">
        <v>230</v>
      </c>
      <c r="Z8" s="20">
        <v>240</v>
      </c>
      <c r="AA8" s="20">
        <v>250</v>
      </c>
      <c r="AB8" s="15">
        <v>190</v>
      </c>
      <c r="AC8" s="15">
        <v>210</v>
      </c>
      <c r="AD8" s="18" t="s">
        <v>26</v>
      </c>
      <c r="AE8" s="23"/>
      <c r="AF8" s="20"/>
      <c r="AG8" s="23">
        <v>250</v>
      </c>
      <c r="AH8" s="20">
        <v>260</v>
      </c>
      <c r="AI8" s="20">
        <v>270</v>
      </c>
      <c r="AJ8" s="20">
        <v>280</v>
      </c>
      <c r="AK8" s="15">
        <v>220</v>
      </c>
      <c r="AL8" s="15">
        <v>240</v>
      </c>
    </row>
    <row r="9" spans="1:38" ht="9.75" customHeight="1" x14ac:dyDescent="0.25">
      <c r="A9" s="18" t="s">
        <v>28</v>
      </c>
      <c r="B9" s="24" t="s">
        <v>29</v>
      </c>
      <c r="C9" s="19"/>
      <c r="D9" s="20"/>
      <c r="E9" s="20">
        <v>180</v>
      </c>
      <c r="F9" s="20">
        <v>190</v>
      </c>
      <c r="G9" s="20">
        <v>200</v>
      </c>
      <c r="H9" s="20">
        <v>210</v>
      </c>
      <c r="I9" s="20">
        <v>220</v>
      </c>
      <c r="J9" s="15">
        <v>180</v>
      </c>
      <c r="K9" s="15">
        <v>200</v>
      </c>
      <c r="L9" s="18" t="s">
        <v>28</v>
      </c>
      <c r="M9" s="22"/>
      <c r="N9" s="23">
        <v>200</v>
      </c>
      <c r="O9" s="20">
        <v>210</v>
      </c>
      <c r="P9" s="20">
        <v>220</v>
      </c>
      <c r="Q9" s="20">
        <v>230</v>
      </c>
      <c r="R9" s="20">
        <v>240</v>
      </c>
      <c r="S9" s="15">
        <v>190</v>
      </c>
      <c r="T9" s="15">
        <v>210</v>
      </c>
      <c r="U9" s="18" t="s">
        <v>28</v>
      </c>
      <c r="V9" s="23"/>
      <c r="W9" s="23">
        <v>220</v>
      </c>
      <c r="X9" s="20">
        <v>230</v>
      </c>
      <c r="Y9" s="20">
        <v>240</v>
      </c>
      <c r="Z9" s="20">
        <v>250</v>
      </c>
      <c r="AA9" s="20">
        <v>260</v>
      </c>
      <c r="AB9" s="15">
        <v>200</v>
      </c>
      <c r="AC9" s="15">
        <v>220</v>
      </c>
      <c r="AD9" s="18" t="s">
        <v>28</v>
      </c>
      <c r="AE9" s="23"/>
      <c r="AF9" s="23">
        <v>250</v>
      </c>
      <c r="AG9" s="20">
        <v>260</v>
      </c>
      <c r="AH9" s="20">
        <v>270</v>
      </c>
      <c r="AI9" s="20">
        <v>280</v>
      </c>
      <c r="AJ9" s="20">
        <v>290</v>
      </c>
      <c r="AK9" s="15">
        <v>230</v>
      </c>
      <c r="AL9" s="15">
        <v>250</v>
      </c>
    </row>
    <row r="10" spans="1:38" ht="9.75" customHeight="1" x14ac:dyDescent="0.25">
      <c r="A10" s="18" t="s">
        <v>30</v>
      </c>
      <c r="B10" s="24" t="s">
        <v>31</v>
      </c>
      <c r="C10" s="19"/>
      <c r="D10" s="20">
        <v>180</v>
      </c>
      <c r="E10" s="20">
        <v>190</v>
      </c>
      <c r="F10" s="20">
        <v>200</v>
      </c>
      <c r="G10" s="20">
        <v>210</v>
      </c>
      <c r="H10" s="20">
        <v>220</v>
      </c>
      <c r="I10" s="20">
        <v>230</v>
      </c>
      <c r="J10" s="15">
        <v>190</v>
      </c>
      <c r="K10" s="15">
        <v>210</v>
      </c>
      <c r="L10" s="18" t="s">
        <v>30</v>
      </c>
      <c r="M10" s="22">
        <v>200</v>
      </c>
      <c r="N10" s="20">
        <v>210</v>
      </c>
      <c r="O10" s="20">
        <v>220</v>
      </c>
      <c r="P10" s="20">
        <v>230</v>
      </c>
      <c r="Q10" s="20">
        <v>240</v>
      </c>
      <c r="R10" s="20">
        <v>250</v>
      </c>
      <c r="S10" s="15">
        <v>200</v>
      </c>
      <c r="T10" s="15">
        <v>220</v>
      </c>
      <c r="U10" s="18" t="s">
        <v>30</v>
      </c>
      <c r="V10" s="23">
        <v>220</v>
      </c>
      <c r="W10" s="20">
        <v>230</v>
      </c>
      <c r="X10" s="20">
        <v>240</v>
      </c>
      <c r="Y10" s="20">
        <v>250</v>
      </c>
      <c r="Z10" s="20">
        <v>260</v>
      </c>
      <c r="AA10" s="20">
        <v>270</v>
      </c>
      <c r="AB10" s="15">
        <v>210</v>
      </c>
      <c r="AC10" s="25">
        <v>230</v>
      </c>
      <c r="AD10" s="18" t="s">
        <v>30</v>
      </c>
      <c r="AE10" s="23">
        <v>250</v>
      </c>
      <c r="AF10" s="20">
        <v>260</v>
      </c>
      <c r="AG10" s="20">
        <v>270</v>
      </c>
      <c r="AH10" s="20">
        <v>280</v>
      </c>
      <c r="AI10" s="20">
        <v>290</v>
      </c>
      <c r="AJ10" s="20">
        <v>300</v>
      </c>
      <c r="AK10" s="15">
        <v>240</v>
      </c>
      <c r="AL10" s="17">
        <v>260</v>
      </c>
    </row>
    <row r="11" spans="1:38" ht="9.75" customHeight="1" x14ac:dyDescent="0.25">
      <c r="A11" s="18" t="s">
        <v>32</v>
      </c>
      <c r="B11" s="24" t="s">
        <v>31</v>
      </c>
      <c r="C11" s="19"/>
      <c r="D11" s="20">
        <v>190</v>
      </c>
      <c r="E11" s="20">
        <v>200</v>
      </c>
      <c r="F11" s="20">
        <v>210</v>
      </c>
      <c r="G11" s="20">
        <v>220</v>
      </c>
      <c r="H11" s="20">
        <v>230</v>
      </c>
      <c r="I11" s="20">
        <v>240</v>
      </c>
      <c r="J11" s="15">
        <v>200</v>
      </c>
      <c r="K11" s="25">
        <v>220</v>
      </c>
      <c r="L11" s="18" t="s">
        <v>32</v>
      </c>
      <c r="M11" s="26">
        <v>210</v>
      </c>
      <c r="N11" s="20">
        <v>220</v>
      </c>
      <c r="O11" s="20">
        <v>230</v>
      </c>
      <c r="P11" s="20">
        <v>240</v>
      </c>
      <c r="Q11" s="20">
        <v>250</v>
      </c>
      <c r="R11" s="20">
        <v>260</v>
      </c>
      <c r="S11" s="15">
        <v>210</v>
      </c>
      <c r="T11" s="25">
        <v>230</v>
      </c>
      <c r="U11" s="18" t="s">
        <v>32</v>
      </c>
      <c r="V11" s="20">
        <v>230</v>
      </c>
      <c r="W11" s="20">
        <v>240</v>
      </c>
      <c r="X11" s="20">
        <v>250</v>
      </c>
      <c r="Y11" s="20">
        <v>260</v>
      </c>
      <c r="Z11" s="20">
        <v>270</v>
      </c>
      <c r="AA11" s="20">
        <v>280</v>
      </c>
      <c r="AB11" s="15">
        <v>220</v>
      </c>
      <c r="AC11" s="25">
        <v>240</v>
      </c>
      <c r="AD11" s="18" t="s">
        <v>32</v>
      </c>
      <c r="AE11" s="20">
        <v>260</v>
      </c>
      <c r="AF11" s="20">
        <v>270</v>
      </c>
      <c r="AG11" s="20">
        <v>280</v>
      </c>
      <c r="AH11" s="20">
        <v>290</v>
      </c>
      <c r="AI11" s="20">
        <v>300</v>
      </c>
      <c r="AJ11" s="20">
        <v>310</v>
      </c>
      <c r="AK11" s="15">
        <v>250</v>
      </c>
      <c r="AL11" s="25">
        <v>270</v>
      </c>
    </row>
    <row r="12" spans="1:38" ht="9.75" customHeight="1" x14ac:dyDescent="0.25">
      <c r="A12" s="18" t="s">
        <v>33</v>
      </c>
      <c r="B12" s="24" t="s">
        <v>31</v>
      </c>
      <c r="C12" s="19"/>
      <c r="D12" s="20">
        <v>200</v>
      </c>
      <c r="E12" s="20">
        <v>210</v>
      </c>
      <c r="F12" s="20">
        <v>220</v>
      </c>
      <c r="G12" s="20">
        <v>230</v>
      </c>
      <c r="H12" s="20">
        <v>240</v>
      </c>
      <c r="I12" s="20">
        <v>250</v>
      </c>
      <c r="J12" s="25">
        <v>210</v>
      </c>
      <c r="K12" s="25">
        <v>230</v>
      </c>
      <c r="L12" s="18" t="s">
        <v>33</v>
      </c>
      <c r="M12" s="26">
        <v>220</v>
      </c>
      <c r="N12" s="20">
        <v>230</v>
      </c>
      <c r="O12" s="20">
        <v>240</v>
      </c>
      <c r="P12" s="20">
        <v>250</v>
      </c>
      <c r="Q12" s="20">
        <v>260</v>
      </c>
      <c r="R12" s="20">
        <v>270</v>
      </c>
      <c r="S12" s="25">
        <v>220</v>
      </c>
      <c r="T12" s="25">
        <v>240</v>
      </c>
      <c r="U12" s="18" t="s">
        <v>33</v>
      </c>
      <c r="V12" s="20">
        <v>240</v>
      </c>
      <c r="W12" s="20">
        <v>250</v>
      </c>
      <c r="X12" s="20">
        <v>260</v>
      </c>
      <c r="Y12" s="20">
        <v>270</v>
      </c>
      <c r="Z12" s="20">
        <v>280</v>
      </c>
      <c r="AA12" s="20">
        <v>290</v>
      </c>
      <c r="AB12" s="25">
        <v>230</v>
      </c>
      <c r="AC12" s="25">
        <v>250</v>
      </c>
      <c r="AD12" s="18" t="s">
        <v>33</v>
      </c>
      <c r="AE12" s="20">
        <v>270</v>
      </c>
      <c r="AF12" s="20">
        <v>280</v>
      </c>
      <c r="AG12" s="20">
        <v>290</v>
      </c>
      <c r="AH12" s="20">
        <v>300</v>
      </c>
      <c r="AI12" s="20">
        <v>310</v>
      </c>
      <c r="AJ12" s="20">
        <v>320</v>
      </c>
      <c r="AK12" s="17">
        <v>260</v>
      </c>
      <c r="AL12" s="25">
        <v>280</v>
      </c>
    </row>
    <row r="13" spans="1:38" ht="9.75" customHeight="1" x14ac:dyDescent="0.25">
      <c r="A13" s="18" t="s">
        <v>34</v>
      </c>
      <c r="B13" s="24" t="s">
        <v>31</v>
      </c>
      <c r="C13" s="19"/>
      <c r="D13" s="20">
        <v>210</v>
      </c>
      <c r="E13" s="20">
        <v>220</v>
      </c>
      <c r="F13" s="20">
        <v>230</v>
      </c>
      <c r="G13" s="20">
        <v>240</v>
      </c>
      <c r="H13" s="20">
        <v>250</v>
      </c>
      <c r="I13" s="20">
        <v>260</v>
      </c>
      <c r="J13" s="25">
        <v>220</v>
      </c>
      <c r="K13" s="25">
        <v>240</v>
      </c>
      <c r="L13" s="18" t="s">
        <v>34</v>
      </c>
      <c r="M13" s="26">
        <v>230</v>
      </c>
      <c r="N13" s="20">
        <v>240</v>
      </c>
      <c r="O13" s="20">
        <v>250</v>
      </c>
      <c r="P13" s="20">
        <v>260</v>
      </c>
      <c r="Q13" s="20">
        <v>270</v>
      </c>
      <c r="R13" s="20">
        <v>280</v>
      </c>
      <c r="S13" s="25">
        <v>230</v>
      </c>
      <c r="T13" s="25">
        <v>250</v>
      </c>
      <c r="U13" s="18" t="s">
        <v>34</v>
      </c>
      <c r="V13" s="20">
        <v>250</v>
      </c>
      <c r="W13" s="20">
        <v>260</v>
      </c>
      <c r="X13" s="20">
        <v>270</v>
      </c>
      <c r="Y13" s="20">
        <v>280</v>
      </c>
      <c r="Z13" s="20">
        <v>290</v>
      </c>
      <c r="AA13" s="20">
        <v>300</v>
      </c>
      <c r="AB13" s="25">
        <v>240</v>
      </c>
      <c r="AC13" s="25">
        <v>260</v>
      </c>
      <c r="AD13" s="18" t="s">
        <v>34</v>
      </c>
      <c r="AE13" s="20">
        <v>280</v>
      </c>
      <c r="AF13" s="20">
        <v>290</v>
      </c>
      <c r="AG13" s="20">
        <v>300</v>
      </c>
      <c r="AH13" s="20">
        <v>310</v>
      </c>
      <c r="AI13" s="20">
        <v>320</v>
      </c>
      <c r="AJ13" s="20">
        <v>330</v>
      </c>
      <c r="AK13" s="25">
        <v>270</v>
      </c>
      <c r="AL13" s="25">
        <v>290</v>
      </c>
    </row>
    <row r="14" spans="1:38" ht="9.75" customHeight="1" x14ac:dyDescent="0.25">
      <c r="A14" s="18" t="s">
        <v>35</v>
      </c>
      <c r="B14" s="24" t="s">
        <v>31</v>
      </c>
      <c r="C14" s="19"/>
      <c r="D14" s="20">
        <v>220</v>
      </c>
      <c r="E14" s="20">
        <v>230</v>
      </c>
      <c r="F14" s="20">
        <v>240</v>
      </c>
      <c r="G14" s="20">
        <v>250</v>
      </c>
      <c r="H14" s="20">
        <v>260</v>
      </c>
      <c r="I14" s="20"/>
      <c r="J14" s="25">
        <v>230</v>
      </c>
      <c r="K14" s="25">
        <v>250</v>
      </c>
      <c r="L14" s="18" t="s">
        <v>35</v>
      </c>
      <c r="M14" s="26">
        <v>240</v>
      </c>
      <c r="N14" s="20">
        <v>250</v>
      </c>
      <c r="O14" s="20">
        <v>260</v>
      </c>
      <c r="P14" s="20">
        <v>270</v>
      </c>
      <c r="Q14" s="20">
        <v>280</v>
      </c>
      <c r="R14" s="20"/>
      <c r="S14" s="25">
        <v>240</v>
      </c>
      <c r="T14" s="25">
        <v>260</v>
      </c>
      <c r="U14" s="18" t="s">
        <v>35</v>
      </c>
      <c r="V14" s="20">
        <v>260</v>
      </c>
      <c r="W14" s="20">
        <v>270</v>
      </c>
      <c r="X14" s="20">
        <v>280</v>
      </c>
      <c r="Y14" s="20">
        <v>290</v>
      </c>
      <c r="Z14" s="20">
        <v>300</v>
      </c>
      <c r="AA14" s="20"/>
      <c r="AB14" s="25">
        <v>250</v>
      </c>
      <c r="AC14" s="25">
        <v>270</v>
      </c>
      <c r="AD14" s="18" t="s">
        <v>35</v>
      </c>
      <c r="AE14" s="20">
        <v>290</v>
      </c>
      <c r="AF14" s="20">
        <v>300</v>
      </c>
      <c r="AG14" s="20">
        <v>310</v>
      </c>
      <c r="AH14" s="20">
        <v>320</v>
      </c>
      <c r="AI14" s="20">
        <v>330</v>
      </c>
      <c r="AJ14" s="20"/>
      <c r="AK14" s="25">
        <v>280</v>
      </c>
      <c r="AL14" s="25">
        <v>300</v>
      </c>
    </row>
    <row r="15" spans="1:38" ht="9.75" customHeight="1" x14ac:dyDescent="0.25">
      <c r="A15" s="18" t="s">
        <v>36</v>
      </c>
      <c r="B15" s="24" t="s">
        <v>37</v>
      </c>
      <c r="C15" s="19"/>
      <c r="D15" s="20">
        <v>230</v>
      </c>
      <c r="E15" s="20">
        <v>240</v>
      </c>
      <c r="F15" s="20">
        <v>250</v>
      </c>
      <c r="G15" s="20">
        <v>260</v>
      </c>
      <c r="H15" s="20"/>
      <c r="I15" s="20"/>
      <c r="J15" s="25">
        <v>240</v>
      </c>
      <c r="K15" s="20"/>
      <c r="L15" s="18" t="s">
        <v>36</v>
      </c>
      <c r="M15" s="26">
        <v>250</v>
      </c>
      <c r="N15" s="20">
        <v>260</v>
      </c>
      <c r="O15" s="20">
        <v>270</v>
      </c>
      <c r="P15" s="20">
        <v>280</v>
      </c>
      <c r="Q15" s="20"/>
      <c r="R15" s="20"/>
      <c r="S15" s="25">
        <v>250</v>
      </c>
      <c r="T15" s="20"/>
      <c r="U15" s="18" t="s">
        <v>36</v>
      </c>
      <c r="V15" s="20">
        <v>270</v>
      </c>
      <c r="W15" s="20">
        <v>280</v>
      </c>
      <c r="X15" s="20">
        <v>290</v>
      </c>
      <c r="Y15" s="20">
        <v>300</v>
      </c>
      <c r="Z15" s="20"/>
      <c r="AA15" s="13"/>
      <c r="AB15" s="25">
        <v>260</v>
      </c>
      <c r="AC15" s="20"/>
      <c r="AD15" s="18" t="s">
        <v>36</v>
      </c>
      <c r="AE15" s="20">
        <v>300</v>
      </c>
      <c r="AF15" s="20">
        <v>310</v>
      </c>
      <c r="AG15" s="20">
        <v>320</v>
      </c>
      <c r="AH15" s="20">
        <v>330</v>
      </c>
      <c r="AI15" s="20"/>
      <c r="AJ15" s="20"/>
      <c r="AK15" s="25">
        <v>290</v>
      </c>
      <c r="AL15" s="20"/>
    </row>
    <row r="16" spans="1:38" ht="9.75" customHeight="1" x14ac:dyDescent="0.25">
      <c r="A16" s="20" t="s">
        <v>38</v>
      </c>
      <c r="B16" s="18" t="s">
        <v>39</v>
      </c>
      <c r="C16" s="19"/>
      <c r="D16" s="20">
        <v>240</v>
      </c>
      <c r="E16" s="20">
        <v>250</v>
      </c>
      <c r="F16" s="20">
        <v>260</v>
      </c>
      <c r="G16" s="20"/>
      <c r="H16" s="20"/>
      <c r="I16" s="20"/>
      <c r="J16" s="20"/>
      <c r="K16" s="20"/>
      <c r="L16" s="20" t="s">
        <v>38</v>
      </c>
      <c r="M16" s="26">
        <v>260</v>
      </c>
      <c r="N16" s="20">
        <v>270</v>
      </c>
      <c r="O16" s="20">
        <v>280</v>
      </c>
      <c r="P16" s="20"/>
      <c r="Q16" s="20"/>
      <c r="R16" s="20"/>
      <c r="S16" s="20"/>
      <c r="T16" s="20"/>
      <c r="U16" s="20" t="s">
        <v>38</v>
      </c>
      <c r="V16" s="20">
        <v>280</v>
      </c>
      <c r="W16" s="20">
        <v>290</v>
      </c>
      <c r="X16" s="20">
        <v>300</v>
      </c>
      <c r="Y16" s="20"/>
      <c r="Z16" s="13"/>
      <c r="AA16" s="13"/>
      <c r="AB16" s="20"/>
      <c r="AC16" s="20"/>
      <c r="AD16" s="20" t="s">
        <v>38</v>
      </c>
      <c r="AE16" s="20">
        <v>310</v>
      </c>
      <c r="AF16" s="20">
        <v>320</v>
      </c>
      <c r="AG16" s="20">
        <v>330</v>
      </c>
      <c r="AH16" s="20"/>
      <c r="AI16" s="20"/>
      <c r="AJ16" s="20"/>
      <c r="AK16" s="20"/>
      <c r="AL16" s="20"/>
    </row>
    <row r="17" spans="1:38" ht="9.75" customHeight="1" x14ac:dyDescent="0.25">
      <c r="A17" s="20" t="s">
        <v>40</v>
      </c>
      <c r="B17" s="18" t="s">
        <v>41</v>
      </c>
      <c r="C17" s="19"/>
      <c r="D17" s="20">
        <v>250</v>
      </c>
      <c r="E17" s="20">
        <v>260</v>
      </c>
      <c r="F17" s="20"/>
      <c r="G17" s="20"/>
      <c r="H17" s="20"/>
      <c r="I17" s="20"/>
      <c r="J17" s="20"/>
      <c r="K17" s="20"/>
      <c r="L17" s="20" t="s">
        <v>40</v>
      </c>
      <c r="M17" s="26">
        <v>270</v>
      </c>
      <c r="N17" s="20">
        <v>280</v>
      </c>
      <c r="O17" s="20"/>
      <c r="P17" s="20"/>
      <c r="Q17" s="20"/>
      <c r="R17" s="20"/>
      <c r="S17" s="20"/>
      <c r="T17" s="20"/>
      <c r="U17" s="20" t="s">
        <v>40</v>
      </c>
      <c r="V17" s="20">
        <v>290</v>
      </c>
      <c r="W17" s="20">
        <v>300</v>
      </c>
      <c r="X17" s="20"/>
      <c r="Y17" s="13"/>
      <c r="Z17" s="13"/>
      <c r="AA17" s="13"/>
      <c r="AB17" s="20"/>
      <c r="AC17" s="20"/>
      <c r="AD17" s="20" t="s">
        <v>40</v>
      </c>
      <c r="AE17" s="20">
        <v>320</v>
      </c>
      <c r="AF17" s="20">
        <v>330</v>
      </c>
      <c r="AG17" s="20"/>
      <c r="AH17" s="20"/>
      <c r="AI17" s="20"/>
      <c r="AJ17" s="20"/>
      <c r="AK17" s="20"/>
      <c r="AL17" s="20"/>
    </row>
    <row r="18" spans="1:38" ht="9.75" customHeight="1" x14ac:dyDescent="0.25">
      <c r="A18" s="20" t="s">
        <v>42</v>
      </c>
      <c r="B18" s="18" t="s">
        <v>43</v>
      </c>
      <c r="C18" s="19"/>
      <c r="D18" s="20">
        <v>260</v>
      </c>
      <c r="E18" s="20"/>
      <c r="F18" s="20"/>
      <c r="G18" s="20"/>
      <c r="H18" s="20"/>
      <c r="I18" s="20"/>
      <c r="J18" s="20"/>
      <c r="K18" s="20"/>
      <c r="L18" s="20" t="s">
        <v>42</v>
      </c>
      <c r="M18" s="26">
        <v>280</v>
      </c>
      <c r="N18" s="20"/>
      <c r="O18" s="20"/>
      <c r="P18" s="20"/>
      <c r="Q18" s="20"/>
      <c r="R18" s="13"/>
      <c r="S18" s="20"/>
      <c r="T18" s="20"/>
      <c r="U18" s="20" t="s">
        <v>42</v>
      </c>
      <c r="V18" s="20">
        <v>300</v>
      </c>
      <c r="W18" s="20"/>
      <c r="X18" s="20"/>
      <c r="Y18" s="13"/>
      <c r="Z18" s="13"/>
      <c r="AA18" s="13"/>
      <c r="AB18" s="20"/>
      <c r="AC18" s="20"/>
      <c r="AD18" s="20" t="s">
        <v>42</v>
      </c>
      <c r="AE18" s="20">
        <v>330</v>
      </c>
      <c r="AF18" s="20"/>
      <c r="AG18" s="20"/>
      <c r="AH18" s="20"/>
      <c r="AI18" s="20"/>
      <c r="AJ18" s="20"/>
      <c r="AK18" s="20"/>
      <c r="AL18" s="20"/>
    </row>
    <row r="19" spans="1:38" ht="9.75" customHeight="1" x14ac:dyDescent="0.25">
      <c r="A19" s="195" t="s">
        <v>44</v>
      </c>
      <c r="B19" s="195"/>
      <c r="C19" s="3"/>
      <c r="D19" s="200" t="s">
        <v>45</v>
      </c>
      <c r="E19" s="200"/>
      <c r="F19" s="200"/>
      <c r="G19" s="200"/>
      <c r="H19" s="200"/>
      <c r="I19" s="200"/>
      <c r="J19" s="200"/>
      <c r="K19" s="200"/>
      <c r="L19" s="9"/>
      <c r="M19" s="201" t="s">
        <v>45</v>
      </c>
      <c r="N19" s="201"/>
      <c r="O19" s="201"/>
      <c r="P19" s="201"/>
      <c r="Q19" s="201"/>
      <c r="R19" s="201"/>
      <c r="S19" s="201"/>
      <c r="T19" s="201"/>
      <c r="U19" s="9"/>
      <c r="V19" s="201" t="s">
        <v>45</v>
      </c>
      <c r="W19" s="201"/>
      <c r="X19" s="201"/>
      <c r="Y19" s="201"/>
      <c r="Z19" s="201"/>
      <c r="AA19" s="201"/>
      <c r="AB19" s="201"/>
      <c r="AC19" s="201"/>
      <c r="AD19" s="9"/>
      <c r="AE19" s="201" t="s">
        <v>45</v>
      </c>
      <c r="AF19" s="201"/>
      <c r="AG19" s="201"/>
      <c r="AH19" s="201"/>
      <c r="AI19" s="201"/>
      <c r="AJ19" s="201"/>
      <c r="AK19" s="201"/>
      <c r="AL19" s="201"/>
    </row>
    <row r="20" spans="1:38" ht="9.75" customHeight="1" x14ac:dyDescent="0.25">
      <c r="A20" s="11" t="s">
        <v>11</v>
      </c>
      <c r="B20" s="11" t="s">
        <v>12</v>
      </c>
      <c r="C20" s="12"/>
      <c r="D20" s="13" t="s">
        <v>46</v>
      </c>
      <c r="E20" s="14" t="s">
        <v>47</v>
      </c>
      <c r="F20" s="14" t="s">
        <v>48</v>
      </c>
      <c r="G20" s="14" t="s">
        <v>49</v>
      </c>
      <c r="H20" s="14" t="s">
        <v>50</v>
      </c>
      <c r="I20" s="14" t="s">
        <v>51</v>
      </c>
      <c r="J20" s="27" t="s">
        <v>52</v>
      </c>
      <c r="K20" s="27" t="s">
        <v>53</v>
      </c>
      <c r="L20" s="9"/>
      <c r="M20" s="13" t="s">
        <v>46</v>
      </c>
      <c r="N20" s="14" t="s">
        <v>47</v>
      </c>
      <c r="O20" s="14" t="s">
        <v>48</v>
      </c>
      <c r="P20" s="14" t="s">
        <v>49</v>
      </c>
      <c r="Q20" s="14" t="s">
        <v>50</v>
      </c>
      <c r="R20" s="14" t="s">
        <v>51</v>
      </c>
      <c r="S20" s="27" t="s">
        <v>52</v>
      </c>
      <c r="T20" s="27" t="s">
        <v>53</v>
      </c>
      <c r="U20" s="9"/>
      <c r="V20" s="13" t="s">
        <v>46</v>
      </c>
      <c r="W20" s="14" t="s">
        <v>47</v>
      </c>
      <c r="X20" s="14" t="s">
        <v>48</v>
      </c>
      <c r="Y20" s="14" t="s">
        <v>49</v>
      </c>
      <c r="Z20" s="14" t="s">
        <v>50</v>
      </c>
      <c r="AA20" s="14" t="s">
        <v>51</v>
      </c>
      <c r="AB20" s="27" t="s">
        <v>52</v>
      </c>
      <c r="AC20" s="27" t="s">
        <v>53</v>
      </c>
      <c r="AD20" s="9"/>
      <c r="AE20" s="13" t="s">
        <v>46</v>
      </c>
      <c r="AF20" s="28" t="s">
        <v>47</v>
      </c>
      <c r="AG20" s="28" t="s">
        <v>48</v>
      </c>
      <c r="AH20" s="28" t="s">
        <v>49</v>
      </c>
      <c r="AI20" s="28" t="s">
        <v>50</v>
      </c>
      <c r="AJ20" s="28" t="s">
        <v>51</v>
      </c>
      <c r="AK20" s="29" t="s">
        <v>52</v>
      </c>
      <c r="AL20" s="30" t="s">
        <v>53</v>
      </c>
    </row>
    <row r="21" spans="1:38" ht="9.75" customHeight="1" x14ac:dyDescent="0.25">
      <c r="A21" s="18" t="s">
        <v>21</v>
      </c>
      <c r="B21" s="18" t="s">
        <v>22</v>
      </c>
      <c r="C21" s="31"/>
      <c r="D21" s="16"/>
      <c r="E21" s="14"/>
      <c r="F21" s="14"/>
      <c r="G21" s="14"/>
      <c r="H21" s="14"/>
      <c r="I21" s="20">
        <v>190</v>
      </c>
      <c r="J21" s="32"/>
      <c r="K21" s="32"/>
      <c r="L21" s="20" t="s">
        <v>21</v>
      </c>
      <c r="M21" s="14"/>
      <c r="N21" s="14"/>
      <c r="O21" s="14"/>
      <c r="P21" s="14"/>
      <c r="Q21" s="14"/>
      <c r="R21" s="20">
        <v>210</v>
      </c>
      <c r="S21" s="32"/>
      <c r="T21" s="32"/>
      <c r="U21" s="20" t="s">
        <v>21</v>
      </c>
      <c r="V21" s="14"/>
      <c r="W21" s="14"/>
      <c r="X21" s="14"/>
      <c r="Y21" s="14"/>
      <c r="Z21" s="14"/>
      <c r="AA21" s="20">
        <v>230</v>
      </c>
      <c r="AB21" s="32"/>
      <c r="AC21" s="32"/>
      <c r="AD21" s="20" t="s">
        <v>21</v>
      </c>
      <c r="AE21" s="14"/>
      <c r="AF21" s="14"/>
      <c r="AG21" s="14"/>
      <c r="AH21" s="14"/>
      <c r="AI21" s="14"/>
      <c r="AJ21" s="20">
        <v>260</v>
      </c>
      <c r="AK21" s="32"/>
      <c r="AL21" s="33"/>
    </row>
    <row r="22" spans="1:38" ht="9.75" customHeight="1" x14ac:dyDescent="0.25">
      <c r="A22" s="18" t="s">
        <v>23</v>
      </c>
      <c r="B22" s="18" t="s">
        <v>22</v>
      </c>
      <c r="C22" s="31"/>
      <c r="D22" s="16"/>
      <c r="E22" s="14"/>
      <c r="F22" s="14"/>
      <c r="G22" s="14"/>
      <c r="H22" s="20">
        <v>190</v>
      </c>
      <c r="I22" s="20">
        <v>200</v>
      </c>
      <c r="J22" s="32"/>
      <c r="K22" s="32"/>
      <c r="L22" s="18" t="s">
        <v>23</v>
      </c>
      <c r="M22" s="14"/>
      <c r="N22" s="14"/>
      <c r="O22" s="14"/>
      <c r="P22" s="14"/>
      <c r="Q22" s="20">
        <v>210</v>
      </c>
      <c r="R22" s="20">
        <v>220</v>
      </c>
      <c r="S22" s="32"/>
      <c r="T22" s="32"/>
      <c r="U22" s="18" t="s">
        <v>23</v>
      </c>
      <c r="V22" s="14"/>
      <c r="W22" s="14"/>
      <c r="X22" s="14"/>
      <c r="Y22" s="14"/>
      <c r="Z22" s="20">
        <v>230</v>
      </c>
      <c r="AA22" s="20">
        <v>240</v>
      </c>
      <c r="AB22" s="32"/>
      <c r="AC22" s="32"/>
      <c r="AD22" s="18" t="s">
        <v>23</v>
      </c>
      <c r="AE22" s="14"/>
      <c r="AF22" s="14"/>
      <c r="AG22" s="14"/>
      <c r="AH22" s="14"/>
      <c r="AI22" s="20">
        <v>260</v>
      </c>
      <c r="AJ22" s="20">
        <v>270</v>
      </c>
      <c r="AK22" s="32"/>
      <c r="AL22" s="33"/>
    </row>
    <row r="23" spans="1:38" ht="9.75" customHeight="1" x14ac:dyDescent="0.25">
      <c r="A23" s="18" t="s">
        <v>24</v>
      </c>
      <c r="B23" s="18" t="s">
        <v>25</v>
      </c>
      <c r="C23" s="31"/>
      <c r="D23" s="16"/>
      <c r="E23" s="14"/>
      <c r="F23" s="14"/>
      <c r="G23" s="20">
        <v>190</v>
      </c>
      <c r="H23" s="20">
        <v>200</v>
      </c>
      <c r="I23" s="20">
        <v>210</v>
      </c>
      <c r="J23" s="32"/>
      <c r="K23" s="27">
        <v>190</v>
      </c>
      <c r="L23" s="18" t="s">
        <v>24</v>
      </c>
      <c r="M23" s="14"/>
      <c r="N23" s="14"/>
      <c r="O23" s="14"/>
      <c r="P23" s="20">
        <v>210</v>
      </c>
      <c r="Q23" s="20">
        <v>220</v>
      </c>
      <c r="R23" s="20">
        <v>230</v>
      </c>
      <c r="S23" s="32"/>
      <c r="T23" s="27">
        <v>200</v>
      </c>
      <c r="U23" s="18" t="s">
        <v>24</v>
      </c>
      <c r="V23" s="14"/>
      <c r="W23" s="14"/>
      <c r="X23" s="14"/>
      <c r="Y23" s="20">
        <v>230</v>
      </c>
      <c r="Z23" s="20">
        <v>240</v>
      </c>
      <c r="AA23" s="20">
        <v>250</v>
      </c>
      <c r="AB23" s="32"/>
      <c r="AC23" s="27">
        <v>210</v>
      </c>
      <c r="AD23" s="18" t="s">
        <v>24</v>
      </c>
      <c r="AE23" s="14"/>
      <c r="AF23" s="14"/>
      <c r="AG23" s="14"/>
      <c r="AH23" s="20">
        <v>260</v>
      </c>
      <c r="AI23" s="20">
        <v>270</v>
      </c>
      <c r="AJ23" s="20">
        <v>280</v>
      </c>
      <c r="AK23" s="32"/>
      <c r="AL23" s="27">
        <v>240</v>
      </c>
    </row>
    <row r="24" spans="1:38" ht="9.75" customHeight="1" x14ac:dyDescent="0.25">
      <c r="A24" s="18" t="s">
        <v>26</v>
      </c>
      <c r="B24" s="24" t="s">
        <v>27</v>
      </c>
      <c r="C24" s="31"/>
      <c r="D24" s="16"/>
      <c r="E24" s="14"/>
      <c r="F24" s="20">
        <v>190</v>
      </c>
      <c r="G24" s="20">
        <v>200</v>
      </c>
      <c r="H24" s="20">
        <v>210</v>
      </c>
      <c r="I24" s="20">
        <v>220</v>
      </c>
      <c r="J24" s="27">
        <v>180</v>
      </c>
      <c r="K24" s="27">
        <v>200</v>
      </c>
      <c r="L24" s="18" t="s">
        <v>26</v>
      </c>
      <c r="M24" s="14"/>
      <c r="N24" s="14"/>
      <c r="O24" s="20">
        <v>210</v>
      </c>
      <c r="P24" s="20">
        <v>220</v>
      </c>
      <c r="Q24" s="20">
        <v>230</v>
      </c>
      <c r="R24" s="20">
        <v>240</v>
      </c>
      <c r="S24" s="27">
        <v>190</v>
      </c>
      <c r="T24" s="27">
        <v>210</v>
      </c>
      <c r="U24" s="18" t="s">
        <v>26</v>
      </c>
      <c r="V24" s="14"/>
      <c r="W24" s="14"/>
      <c r="X24" s="20">
        <v>230</v>
      </c>
      <c r="Y24" s="20">
        <v>240</v>
      </c>
      <c r="Z24" s="20">
        <v>250</v>
      </c>
      <c r="AA24" s="20">
        <v>260</v>
      </c>
      <c r="AB24" s="27">
        <v>200</v>
      </c>
      <c r="AC24" s="27">
        <v>220</v>
      </c>
      <c r="AD24" s="18" t="s">
        <v>26</v>
      </c>
      <c r="AE24" s="14"/>
      <c r="AF24" s="14"/>
      <c r="AG24" s="20">
        <v>260</v>
      </c>
      <c r="AH24" s="20">
        <v>270</v>
      </c>
      <c r="AI24" s="20">
        <v>280</v>
      </c>
      <c r="AJ24" s="20">
        <v>290</v>
      </c>
      <c r="AK24" s="27">
        <v>230</v>
      </c>
      <c r="AL24" s="27">
        <v>250</v>
      </c>
    </row>
    <row r="25" spans="1:38" ht="9.75" customHeight="1" x14ac:dyDescent="0.25">
      <c r="A25" s="18" t="s">
        <v>28</v>
      </c>
      <c r="B25" s="24" t="s">
        <v>29</v>
      </c>
      <c r="C25" s="31"/>
      <c r="D25" s="13"/>
      <c r="E25" s="20">
        <v>190</v>
      </c>
      <c r="F25" s="20">
        <v>200</v>
      </c>
      <c r="G25" s="20">
        <v>210</v>
      </c>
      <c r="H25" s="20">
        <v>220</v>
      </c>
      <c r="I25" s="20">
        <v>230</v>
      </c>
      <c r="J25" s="27">
        <v>190</v>
      </c>
      <c r="K25" s="34">
        <v>210</v>
      </c>
      <c r="L25" s="18" t="s">
        <v>28</v>
      </c>
      <c r="M25" s="14"/>
      <c r="N25" s="20">
        <v>210</v>
      </c>
      <c r="O25" s="20">
        <v>220</v>
      </c>
      <c r="P25" s="20">
        <v>230</v>
      </c>
      <c r="Q25" s="20">
        <v>240</v>
      </c>
      <c r="R25" s="20">
        <v>250</v>
      </c>
      <c r="S25" s="27">
        <v>200</v>
      </c>
      <c r="T25" s="34">
        <v>220</v>
      </c>
      <c r="U25" s="18" t="s">
        <v>28</v>
      </c>
      <c r="V25" s="14"/>
      <c r="W25" s="20">
        <v>230</v>
      </c>
      <c r="X25" s="20">
        <v>240</v>
      </c>
      <c r="Y25" s="20">
        <v>250</v>
      </c>
      <c r="Z25" s="20">
        <v>260</v>
      </c>
      <c r="AA25" s="20">
        <v>270</v>
      </c>
      <c r="AB25" s="27">
        <v>210</v>
      </c>
      <c r="AC25" s="34">
        <v>230</v>
      </c>
      <c r="AD25" s="18" t="s">
        <v>28</v>
      </c>
      <c r="AE25" s="14"/>
      <c r="AF25" s="20">
        <v>260</v>
      </c>
      <c r="AG25" s="20">
        <v>270</v>
      </c>
      <c r="AH25" s="20">
        <v>280</v>
      </c>
      <c r="AI25" s="20">
        <v>290</v>
      </c>
      <c r="AJ25" s="20">
        <v>300</v>
      </c>
      <c r="AK25" s="27">
        <v>240</v>
      </c>
      <c r="AL25" s="35">
        <v>260</v>
      </c>
    </row>
    <row r="26" spans="1:38" ht="9.75" customHeight="1" x14ac:dyDescent="0.25">
      <c r="A26" s="18" t="s">
        <v>30</v>
      </c>
      <c r="B26" s="24" t="s">
        <v>31</v>
      </c>
      <c r="C26" s="19"/>
      <c r="D26" s="20">
        <v>190</v>
      </c>
      <c r="E26" s="20">
        <v>200</v>
      </c>
      <c r="F26" s="20">
        <v>210</v>
      </c>
      <c r="G26" s="20">
        <v>220</v>
      </c>
      <c r="H26" s="20">
        <v>230</v>
      </c>
      <c r="I26" s="20">
        <v>240</v>
      </c>
      <c r="J26" s="27">
        <v>200</v>
      </c>
      <c r="K26" s="34">
        <v>220</v>
      </c>
      <c r="L26" s="18" t="s">
        <v>30</v>
      </c>
      <c r="M26" s="20">
        <v>210</v>
      </c>
      <c r="N26" s="20">
        <v>220</v>
      </c>
      <c r="O26" s="20">
        <v>230</v>
      </c>
      <c r="P26" s="20">
        <v>240</v>
      </c>
      <c r="Q26" s="20">
        <v>250</v>
      </c>
      <c r="R26" s="20">
        <v>260</v>
      </c>
      <c r="S26" s="27">
        <v>210</v>
      </c>
      <c r="T26" s="34">
        <v>230</v>
      </c>
      <c r="U26" s="18" t="s">
        <v>30</v>
      </c>
      <c r="V26" s="20">
        <v>230</v>
      </c>
      <c r="W26" s="20">
        <v>240</v>
      </c>
      <c r="X26" s="20">
        <v>250</v>
      </c>
      <c r="Y26" s="20">
        <v>260</v>
      </c>
      <c r="Z26" s="20">
        <v>270</v>
      </c>
      <c r="AA26" s="20">
        <v>280</v>
      </c>
      <c r="AB26" s="27">
        <v>220</v>
      </c>
      <c r="AC26" s="34">
        <v>240</v>
      </c>
      <c r="AD26" s="18" t="s">
        <v>30</v>
      </c>
      <c r="AE26" s="20">
        <v>260</v>
      </c>
      <c r="AF26" s="20">
        <v>270</v>
      </c>
      <c r="AG26" s="20">
        <v>280</v>
      </c>
      <c r="AH26" s="20">
        <v>290</v>
      </c>
      <c r="AI26" s="20">
        <v>300</v>
      </c>
      <c r="AJ26" s="20">
        <v>310</v>
      </c>
      <c r="AK26" s="27">
        <v>250</v>
      </c>
      <c r="AL26" s="34">
        <v>270</v>
      </c>
    </row>
    <row r="27" spans="1:38" ht="9.75" customHeight="1" x14ac:dyDescent="0.25">
      <c r="A27" s="18" t="s">
        <v>32</v>
      </c>
      <c r="B27" s="24" t="s">
        <v>31</v>
      </c>
      <c r="C27" s="19"/>
      <c r="D27" s="20">
        <v>200</v>
      </c>
      <c r="E27" s="20">
        <v>210</v>
      </c>
      <c r="F27" s="20">
        <v>220</v>
      </c>
      <c r="G27" s="20">
        <v>230</v>
      </c>
      <c r="H27" s="20">
        <v>240</v>
      </c>
      <c r="I27" s="20">
        <v>250</v>
      </c>
      <c r="J27" s="34">
        <v>210</v>
      </c>
      <c r="K27" s="34">
        <v>230</v>
      </c>
      <c r="L27" s="18" t="s">
        <v>32</v>
      </c>
      <c r="M27" s="20">
        <v>220</v>
      </c>
      <c r="N27" s="20">
        <v>230</v>
      </c>
      <c r="O27" s="20">
        <v>240</v>
      </c>
      <c r="P27" s="20">
        <v>250</v>
      </c>
      <c r="Q27" s="20">
        <v>260</v>
      </c>
      <c r="R27" s="20">
        <v>270</v>
      </c>
      <c r="S27" s="34">
        <v>220</v>
      </c>
      <c r="T27" s="34">
        <v>240</v>
      </c>
      <c r="U27" s="18" t="s">
        <v>32</v>
      </c>
      <c r="V27" s="20">
        <v>240</v>
      </c>
      <c r="W27" s="20">
        <v>250</v>
      </c>
      <c r="X27" s="20">
        <v>260</v>
      </c>
      <c r="Y27" s="20">
        <v>270</v>
      </c>
      <c r="Z27" s="20">
        <v>280</v>
      </c>
      <c r="AA27" s="20">
        <v>290</v>
      </c>
      <c r="AB27" s="34">
        <v>230</v>
      </c>
      <c r="AC27" s="34">
        <v>250</v>
      </c>
      <c r="AD27" s="18" t="s">
        <v>32</v>
      </c>
      <c r="AE27" s="20">
        <v>270</v>
      </c>
      <c r="AF27" s="20">
        <v>280</v>
      </c>
      <c r="AG27" s="20">
        <v>290</v>
      </c>
      <c r="AH27" s="20">
        <v>300</v>
      </c>
      <c r="AI27" s="20">
        <v>310</v>
      </c>
      <c r="AJ27" s="20">
        <v>320</v>
      </c>
      <c r="AK27" s="35">
        <v>260</v>
      </c>
      <c r="AL27" s="34">
        <v>280</v>
      </c>
    </row>
    <row r="28" spans="1:38" ht="9.75" customHeight="1" x14ac:dyDescent="0.25">
      <c r="A28" s="18" t="s">
        <v>33</v>
      </c>
      <c r="B28" s="24" t="s">
        <v>31</v>
      </c>
      <c r="C28" s="19"/>
      <c r="D28" s="20">
        <v>210</v>
      </c>
      <c r="E28" s="20">
        <v>220</v>
      </c>
      <c r="F28" s="20">
        <v>230</v>
      </c>
      <c r="G28" s="20">
        <v>240</v>
      </c>
      <c r="H28" s="20">
        <v>250</v>
      </c>
      <c r="I28" s="20">
        <v>260</v>
      </c>
      <c r="J28" s="34">
        <v>220</v>
      </c>
      <c r="K28" s="34">
        <v>240</v>
      </c>
      <c r="L28" s="18" t="s">
        <v>33</v>
      </c>
      <c r="M28" s="20">
        <v>230</v>
      </c>
      <c r="N28" s="20">
        <v>240</v>
      </c>
      <c r="O28" s="20">
        <v>250</v>
      </c>
      <c r="P28" s="20">
        <v>260</v>
      </c>
      <c r="Q28" s="20">
        <v>270</v>
      </c>
      <c r="R28" s="13">
        <v>280</v>
      </c>
      <c r="S28" s="34">
        <v>230</v>
      </c>
      <c r="T28" s="34">
        <v>250</v>
      </c>
      <c r="U28" s="18" t="s">
        <v>33</v>
      </c>
      <c r="V28" s="20">
        <v>250</v>
      </c>
      <c r="W28" s="20">
        <v>260</v>
      </c>
      <c r="X28" s="20">
        <v>270</v>
      </c>
      <c r="Y28" s="20">
        <v>280</v>
      </c>
      <c r="Z28" s="20">
        <v>290</v>
      </c>
      <c r="AA28" s="20">
        <v>300</v>
      </c>
      <c r="AB28" s="34">
        <v>240</v>
      </c>
      <c r="AC28" s="34">
        <v>260</v>
      </c>
      <c r="AD28" s="18" t="s">
        <v>33</v>
      </c>
      <c r="AE28" s="20">
        <v>280</v>
      </c>
      <c r="AF28" s="20">
        <v>290</v>
      </c>
      <c r="AG28" s="20">
        <v>300</v>
      </c>
      <c r="AH28" s="20">
        <v>310</v>
      </c>
      <c r="AI28" s="20">
        <v>320</v>
      </c>
      <c r="AJ28" s="20">
        <v>330</v>
      </c>
      <c r="AK28" s="34">
        <v>270</v>
      </c>
      <c r="AL28" s="34">
        <v>290</v>
      </c>
    </row>
    <row r="29" spans="1:38" ht="9.75" customHeight="1" x14ac:dyDescent="0.25">
      <c r="A29" s="18" t="s">
        <v>34</v>
      </c>
      <c r="B29" s="24" t="s">
        <v>31</v>
      </c>
      <c r="C29" s="19"/>
      <c r="D29" s="20">
        <v>220</v>
      </c>
      <c r="E29" s="20">
        <v>230</v>
      </c>
      <c r="F29" s="20">
        <v>240</v>
      </c>
      <c r="G29" s="20">
        <v>250</v>
      </c>
      <c r="H29" s="20">
        <v>260</v>
      </c>
      <c r="I29" s="20">
        <v>270</v>
      </c>
      <c r="J29" s="34">
        <v>230</v>
      </c>
      <c r="K29" s="34">
        <v>250</v>
      </c>
      <c r="L29" s="18" t="s">
        <v>34</v>
      </c>
      <c r="M29" s="20">
        <v>240</v>
      </c>
      <c r="N29" s="20">
        <v>250</v>
      </c>
      <c r="O29" s="20">
        <v>260</v>
      </c>
      <c r="P29" s="20">
        <v>270</v>
      </c>
      <c r="Q29" s="13">
        <v>280</v>
      </c>
      <c r="R29" s="13">
        <v>290</v>
      </c>
      <c r="S29" s="34">
        <v>240</v>
      </c>
      <c r="T29" s="34">
        <v>260</v>
      </c>
      <c r="U29" s="18" t="s">
        <v>34</v>
      </c>
      <c r="V29" s="20">
        <v>260</v>
      </c>
      <c r="W29" s="20">
        <v>270</v>
      </c>
      <c r="X29" s="20">
        <v>280</v>
      </c>
      <c r="Y29" s="20">
        <v>290</v>
      </c>
      <c r="Z29" s="20">
        <v>300</v>
      </c>
      <c r="AA29" s="20">
        <v>310</v>
      </c>
      <c r="AB29" s="34">
        <v>250</v>
      </c>
      <c r="AC29" s="34">
        <v>270</v>
      </c>
      <c r="AD29" s="18" t="s">
        <v>34</v>
      </c>
      <c r="AE29" s="20">
        <v>290</v>
      </c>
      <c r="AF29" s="20">
        <v>300</v>
      </c>
      <c r="AG29" s="20">
        <v>310</v>
      </c>
      <c r="AH29" s="20">
        <v>320</v>
      </c>
      <c r="AI29" s="20">
        <v>330</v>
      </c>
      <c r="AJ29" s="20">
        <v>340</v>
      </c>
      <c r="AK29" s="34">
        <v>280</v>
      </c>
      <c r="AL29" s="34">
        <v>300</v>
      </c>
    </row>
    <row r="30" spans="1:38" ht="9.75" customHeight="1" x14ac:dyDescent="0.25">
      <c r="A30" s="18" t="s">
        <v>35</v>
      </c>
      <c r="B30" s="24" t="s">
        <v>31</v>
      </c>
      <c r="C30" s="19"/>
      <c r="D30" s="20">
        <v>230</v>
      </c>
      <c r="E30" s="20">
        <v>240</v>
      </c>
      <c r="F30" s="20">
        <v>250</v>
      </c>
      <c r="G30" s="20">
        <v>260</v>
      </c>
      <c r="H30" s="20">
        <v>270</v>
      </c>
      <c r="I30" s="20"/>
      <c r="J30" s="34">
        <v>240</v>
      </c>
      <c r="K30" s="34">
        <v>260</v>
      </c>
      <c r="L30" s="18" t="s">
        <v>35</v>
      </c>
      <c r="M30" s="20">
        <v>250</v>
      </c>
      <c r="N30" s="20">
        <v>260</v>
      </c>
      <c r="O30" s="20">
        <v>270</v>
      </c>
      <c r="P30" s="13">
        <v>280</v>
      </c>
      <c r="Q30" s="13">
        <v>290</v>
      </c>
      <c r="R30" s="13"/>
      <c r="S30" s="34">
        <v>250</v>
      </c>
      <c r="T30" s="34">
        <v>270</v>
      </c>
      <c r="U30" s="18" t="s">
        <v>35</v>
      </c>
      <c r="V30" s="20">
        <v>270</v>
      </c>
      <c r="W30" s="20">
        <v>280</v>
      </c>
      <c r="X30" s="20">
        <v>290</v>
      </c>
      <c r="Y30" s="20">
        <v>300</v>
      </c>
      <c r="Z30" s="20">
        <v>310</v>
      </c>
      <c r="AA30" s="36"/>
      <c r="AB30" s="34">
        <v>260</v>
      </c>
      <c r="AC30" s="34">
        <v>280</v>
      </c>
      <c r="AD30" s="18" t="s">
        <v>35</v>
      </c>
      <c r="AE30" s="20">
        <v>300</v>
      </c>
      <c r="AF30" s="20">
        <v>310</v>
      </c>
      <c r="AG30" s="20">
        <v>320</v>
      </c>
      <c r="AH30" s="20">
        <v>330</v>
      </c>
      <c r="AI30" s="20">
        <v>340</v>
      </c>
      <c r="AJ30" s="36"/>
      <c r="AK30" s="34">
        <v>290</v>
      </c>
      <c r="AL30" s="34">
        <v>310</v>
      </c>
    </row>
    <row r="31" spans="1:38" ht="9.75" customHeight="1" x14ac:dyDescent="0.25">
      <c r="A31" s="18" t="s">
        <v>36</v>
      </c>
      <c r="B31" s="24" t="s">
        <v>37</v>
      </c>
      <c r="C31" s="19"/>
      <c r="D31" s="20">
        <v>240</v>
      </c>
      <c r="E31" s="20">
        <v>250</v>
      </c>
      <c r="F31" s="20">
        <v>260</v>
      </c>
      <c r="G31" s="20">
        <v>270</v>
      </c>
      <c r="H31" s="20"/>
      <c r="I31" s="20"/>
      <c r="J31" s="34">
        <v>250</v>
      </c>
      <c r="K31" s="20"/>
      <c r="L31" s="18" t="s">
        <v>36</v>
      </c>
      <c r="M31" s="20">
        <v>260</v>
      </c>
      <c r="N31" s="20">
        <v>270</v>
      </c>
      <c r="O31" s="13">
        <v>280</v>
      </c>
      <c r="P31" s="13">
        <v>290</v>
      </c>
      <c r="Q31" s="13"/>
      <c r="R31" s="13"/>
      <c r="S31" s="34">
        <v>260</v>
      </c>
      <c r="T31" s="13"/>
      <c r="U31" s="18" t="s">
        <v>36</v>
      </c>
      <c r="V31" s="20">
        <v>280</v>
      </c>
      <c r="W31" s="20">
        <v>290</v>
      </c>
      <c r="X31" s="20">
        <v>300</v>
      </c>
      <c r="Y31" s="20">
        <v>310</v>
      </c>
      <c r="Z31" s="36"/>
      <c r="AA31" s="36"/>
      <c r="AB31" s="34">
        <v>270</v>
      </c>
      <c r="AC31" s="36"/>
      <c r="AD31" s="18" t="s">
        <v>36</v>
      </c>
      <c r="AE31" s="20">
        <v>310</v>
      </c>
      <c r="AF31" s="20">
        <v>320</v>
      </c>
      <c r="AG31" s="20">
        <v>330</v>
      </c>
      <c r="AH31" s="20">
        <v>340</v>
      </c>
      <c r="AI31" s="36"/>
      <c r="AJ31" s="36"/>
      <c r="AK31" s="34">
        <v>300</v>
      </c>
      <c r="AL31" s="36"/>
    </row>
    <row r="32" spans="1:38" ht="9.75" customHeight="1" x14ac:dyDescent="0.25">
      <c r="A32" s="20" t="s">
        <v>38</v>
      </c>
      <c r="B32" s="18" t="s">
        <v>39</v>
      </c>
      <c r="C32" s="19"/>
      <c r="D32" s="20">
        <v>250</v>
      </c>
      <c r="E32" s="20">
        <v>260</v>
      </c>
      <c r="F32" s="20">
        <v>270</v>
      </c>
      <c r="G32" s="20"/>
      <c r="H32" s="20"/>
      <c r="I32" s="20"/>
      <c r="J32" s="20"/>
      <c r="K32" s="20"/>
      <c r="L32" s="20" t="s">
        <v>38</v>
      </c>
      <c r="M32" s="20">
        <v>270</v>
      </c>
      <c r="N32" s="13">
        <v>280</v>
      </c>
      <c r="O32" s="13">
        <v>290</v>
      </c>
      <c r="P32" s="13"/>
      <c r="Q32" s="13"/>
      <c r="R32" s="13"/>
      <c r="S32" s="13"/>
      <c r="T32" s="13"/>
      <c r="U32" s="20" t="s">
        <v>38</v>
      </c>
      <c r="V32" s="20">
        <v>290</v>
      </c>
      <c r="W32" s="20">
        <v>300</v>
      </c>
      <c r="X32" s="20">
        <v>310</v>
      </c>
      <c r="Y32" s="36"/>
      <c r="Z32" s="36"/>
      <c r="AA32" s="36"/>
      <c r="AB32" s="36"/>
      <c r="AC32" s="36"/>
      <c r="AD32" s="20" t="s">
        <v>38</v>
      </c>
      <c r="AE32" s="20">
        <v>320</v>
      </c>
      <c r="AF32" s="20">
        <v>330</v>
      </c>
      <c r="AG32" s="20">
        <v>340</v>
      </c>
      <c r="AH32" s="36"/>
      <c r="AI32" s="36"/>
      <c r="AJ32" s="36"/>
      <c r="AK32" s="36"/>
      <c r="AL32" s="36"/>
    </row>
    <row r="33" spans="1:38" ht="9.75" customHeight="1" x14ac:dyDescent="0.25">
      <c r="A33" s="20" t="s">
        <v>40</v>
      </c>
      <c r="B33" s="18" t="s">
        <v>41</v>
      </c>
      <c r="C33" s="19"/>
      <c r="D33" s="20">
        <v>260</v>
      </c>
      <c r="E33" s="20">
        <v>270</v>
      </c>
      <c r="F33" s="20"/>
      <c r="G33" s="20"/>
      <c r="H33" s="20"/>
      <c r="I33" s="20"/>
      <c r="J33" s="20"/>
      <c r="K33" s="20"/>
      <c r="L33" s="20" t="s">
        <v>40</v>
      </c>
      <c r="M33" s="13">
        <v>280</v>
      </c>
      <c r="N33" s="13">
        <v>290</v>
      </c>
      <c r="O33" s="13"/>
      <c r="P33" s="13"/>
      <c r="Q33" s="13"/>
      <c r="R33" s="13"/>
      <c r="S33" s="13"/>
      <c r="T33" s="13"/>
      <c r="U33" s="20" t="s">
        <v>40</v>
      </c>
      <c r="V33" s="20">
        <v>300</v>
      </c>
      <c r="W33" s="20">
        <v>310</v>
      </c>
      <c r="X33" s="36"/>
      <c r="Y33" s="36"/>
      <c r="Z33" s="36"/>
      <c r="AA33" s="36"/>
      <c r="AB33" s="36"/>
      <c r="AC33" s="36"/>
      <c r="AD33" s="20" t="s">
        <v>40</v>
      </c>
      <c r="AE33" s="20">
        <v>330</v>
      </c>
      <c r="AF33" s="20">
        <v>340</v>
      </c>
      <c r="AG33" s="36"/>
      <c r="AH33" s="36"/>
      <c r="AI33" s="36"/>
      <c r="AJ33" s="36"/>
      <c r="AK33" s="36"/>
      <c r="AL33" s="36"/>
    </row>
    <row r="34" spans="1:38" ht="9.75" customHeight="1" x14ac:dyDescent="0.25">
      <c r="A34" s="20" t="s">
        <v>42</v>
      </c>
      <c r="B34" s="18" t="s">
        <v>43</v>
      </c>
      <c r="C34" s="19"/>
      <c r="D34" s="20">
        <v>270</v>
      </c>
      <c r="E34" s="20"/>
      <c r="F34" s="20"/>
      <c r="G34" s="20"/>
      <c r="H34" s="20"/>
      <c r="I34" s="20"/>
      <c r="J34" s="20"/>
      <c r="K34" s="20"/>
      <c r="L34" s="20" t="s">
        <v>42</v>
      </c>
      <c r="M34" s="13">
        <v>290</v>
      </c>
      <c r="N34" s="13"/>
      <c r="O34" s="13"/>
      <c r="P34" s="13"/>
      <c r="Q34" s="13"/>
      <c r="R34" s="13"/>
      <c r="S34" s="13"/>
      <c r="T34" s="13"/>
      <c r="U34" s="20" t="s">
        <v>42</v>
      </c>
      <c r="V34" s="20">
        <v>310</v>
      </c>
      <c r="W34" s="36"/>
      <c r="X34" s="36"/>
      <c r="Y34" s="36"/>
      <c r="Z34" s="36"/>
      <c r="AA34" s="36"/>
      <c r="AB34" s="36"/>
      <c r="AC34" s="36"/>
      <c r="AD34" s="20" t="s">
        <v>42</v>
      </c>
      <c r="AE34" s="20">
        <v>340</v>
      </c>
      <c r="AF34" s="36"/>
      <c r="AG34" s="36"/>
      <c r="AH34" s="36"/>
      <c r="AI34" s="36"/>
      <c r="AJ34" s="36"/>
      <c r="AK34" s="36"/>
      <c r="AL34" s="36"/>
    </row>
    <row r="35" spans="1:38" ht="9.75" customHeight="1" x14ac:dyDescent="0.25">
      <c r="A35" s="195" t="s">
        <v>44</v>
      </c>
      <c r="B35" s="195"/>
      <c r="C35" s="3"/>
      <c r="D35" s="196" t="s">
        <v>54</v>
      </c>
      <c r="E35" s="196"/>
      <c r="F35" s="196"/>
      <c r="G35" s="196"/>
      <c r="H35" s="196"/>
      <c r="I35" s="196"/>
      <c r="J35" s="196"/>
      <c r="K35" s="196"/>
      <c r="L35" s="9"/>
      <c r="M35" s="197" t="s">
        <v>54</v>
      </c>
      <c r="N35" s="197"/>
      <c r="O35" s="197"/>
      <c r="P35" s="197"/>
      <c r="Q35" s="197"/>
      <c r="R35" s="197"/>
      <c r="S35" s="197"/>
      <c r="T35" s="197"/>
      <c r="U35" s="9"/>
      <c r="V35" s="197" t="s">
        <v>54</v>
      </c>
      <c r="W35" s="197"/>
      <c r="X35" s="197"/>
      <c r="Y35" s="197"/>
      <c r="Z35" s="197"/>
      <c r="AA35" s="197"/>
      <c r="AB35" s="197"/>
      <c r="AC35" s="197"/>
      <c r="AD35" s="9"/>
      <c r="AE35" s="197" t="s">
        <v>54</v>
      </c>
      <c r="AF35" s="197"/>
      <c r="AG35" s="197"/>
      <c r="AH35" s="197"/>
      <c r="AI35" s="197"/>
      <c r="AJ35" s="197"/>
      <c r="AK35" s="197"/>
      <c r="AL35" s="197"/>
    </row>
    <row r="36" spans="1:38" ht="9.75" customHeight="1" x14ac:dyDescent="0.25">
      <c r="A36" s="11" t="s">
        <v>11</v>
      </c>
      <c r="B36" s="11" t="s">
        <v>12</v>
      </c>
      <c r="C36" s="12"/>
      <c r="D36" s="13" t="s">
        <v>55</v>
      </c>
      <c r="E36" s="14" t="s">
        <v>56</v>
      </c>
      <c r="F36" s="14" t="s">
        <v>57</v>
      </c>
      <c r="G36" s="14" t="s">
        <v>58</v>
      </c>
      <c r="H36" s="14" t="s">
        <v>59</v>
      </c>
      <c r="I36" s="14" t="s">
        <v>60</v>
      </c>
      <c r="J36" s="37" t="s">
        <v>61</v>
      </c>
      <c r="K36" s="37" t="s">
        <v>62</v>
      </c>
      <c r="L36" s="9"/>
      <c r="M36" s="13" t="s">
        <v>55</v>
      </c>
      <c r="N36" s="28" t="s">
        <v>56</v>
      </c>
      <c r="O36" s="28" t="s">
        <v>57</v>
      </c>
      <c r="P36" s="28" t="s">
        <v>58</v>
      </c>
      <c r="Q36" s="28" t="s">
        <v>59</v>
      </c>
      <c r="R36" s="28" t="s">
        <v>60</v>
      </c>
      <c r="S36" s="38" t="s">
        <v>61</v>
      </c>
      <c r="T36" s="38" t="s">
        <v>62</v>
      </c>
      <c r="U36" s="9"/>
      <c r="V36" s="13" t="s">
        <v>55</v>
      </c>
      <c r="W36" s="28" t="s">
        <v>56</v>
      </c>
      <c r="X36" s="28" t="s">
        <v>57</v>
      </c>
      <c r="Y36" s="28" t="s">
        <v>58</v>
      </c>
      <c r="Z36" s="28" t="s">
        <v>59</v>
      </c>
      <c r="AA36" s="28" t="s">
        <v>60</v>
      </c>
      <c r="AB36" s="38" t="s">
        <v>61</v>
      </c>
      <c r="AC36" s="38" t="s">
        <v>62</v>
      </c>
      <c r="AD36" s="9"/>
      <c r="AE36" s="13" t="s">
        <v>55</v>
      </c>
      <c r="AF36" s="28" t="s">
        <v>56</v>
      </c>
      <c r="AG36" s="28" t="s">
        <v>57</v>
      </c>
      <c r="AH36" s="28" t="s">
        <v>58</v>
      </c>
      <c r="AI36" s="28" t="s">
        <v>59</v>
      </c>
      <c r="AJ36" s="28" t="s">
        <v>60</v>
      </c>
      <c r="AK36" s="38" t="s">
        <v>61</v>
      </c>
      <c r="AL36" s="38" t="s">
        <v>62</v>
      </c>
    </row>
    <row r="37" spans="1:38" ht="9.75" customHeight="1" x14ac:dyDescent="0.25">
      <c r="A37" s="18" t="s">
        <v>21</v>
      </c>
      <c r="B37" s="18" t="s">
        <v>22</v>
      </c>
      <c r="C37" s="31"/>
      <c r="D37" s="16"/>
      <c r="E37" s="14"/>
      <c r="F37" s="14"/>
      <c r="G37" s="14"/>
      <c r="H37" s="14"/>
      <c r="I37" s="20">
        <v>200</v>
      </c>
      <c r="J37" s="32"/>
      <c r="K37" s="32"/>
      <c r="L37" s="20" t="s">
        <v>21</v>
      </c>
      <c r="M37" s="14"/>
      <c r="N37" s="14"/>
      <c r="O37" s="14"/>
      <c r="P37" s="14"/>
      <c r="Q37" s="14"/>
      <c r="R37" s="20">
        <v>220</v>
      </c>
      <c r="S37" s="32"/>
      <c r="T37" s="32"/>
      <c r="U37" s="20" t="s">
        <v>21</v>
      </c>
      <c r="V37" s="14"/>
      <c r="W37" s="14"/>
      <c r="X37" s="14"/>
      <c r="Y37" s="14"/>
      <c r="Z37" s="14"/>
      <c r="AA37" s="20">
        <v>240</v>
      </c>
      <c r="AB37" s="32"/>
      <c r="AC37" s="32"/>
      <c r="AD37" s="20" t="s">
        <v>21</v>
      </c>
      <c r="AE37" s="14"/>
      <c r="AF37" s="14"/>
      <c r="AG37" s="14"/>
      <c r="AH37" s="14"/>
      <c r="AI37" s="14"/>
      <c r="AJ37" s="20">
        <v>270</v>
      </c>
      <c r="AK37" s="32"/>
      <c r="AL37" s="32"/>
    </row>
    <row r="38" spans="1:38" ht="9.75" customHeight="1" x14ac:dyDescent="0.25">
      <c r="A38" s="18" t="s">
        <v>23</v>
      </c>
      <c r="B38" s="18" t="s">
        <v>22</v>
      </c>
      <c r="C38" s="31"/>
      <c r="D38" s="16"/>
      <c r="E38" s="14"/>
      <c r="F38" s="14"/>
      <c r="G38" s="14"/>
      <c r="H38" s="20">
        <v>200</v>
      </c>
      <c r="I38" s="20">
        <v>210</v>
      </c>
      <c r="J38" s="32"/>
      <c r="K38" s="32"/>
      <c r="L38" s="18" t="s">
        <v>23</v>
      </c>
      <c r="M38" s="14"/>
      <c r="N38" s="14"/>
      <c r="O38" s="14"/>
      <c r="P38" s="14"/>
      <c r="Q38" s="20">
        <v>220</v>
      </c>
      <c r="R38" s="20">
        <v>230</v>
      </c>
      <c r="S38" s="32"/>
      <c r="T38" s="32"/>
      <c r="U38" s="18" t="s">
        <v>23</v>
      </c>
      <c r="V38" s="14"/>
      <c r="W38" s="14"/>
      <c r="X38" s="14"/>
      <c r="Y38" s="14"/>
      <c r="Z38" s="20">
        <v>240</v>
      </c>
      <c r="AA38" s="20">
        <v>250</v>
      </c>
      <c r="AB38" s="32"/>
      <c r="AC38" s="32"/>
      <c r="AD38" s="18" t="s">
        <v>23</v>
      </c>
      <c r="AE38" s="14"/>
      <c r="AF38" s="14"/>
      <c r="AG38" s="14"/>
      <c r="AH38" s="14"/>
      <c r="AI38" s="20">
        <v>270</v>
      </c>
      <c r="AJ38" s="20">
        <v>280</v>
      </c>
      <c r="AK38" s="32"/>
      <c r="AL38" s="32"/>
    </row>
    <row r="39" spans="1:38" ht="9.75" customHeight="1" x14ac:dyDescent="0.25">
      <c r="A39" s="18" t="s">
        <v>24</v>
      </c>
      <c r="B39" s="18" t="s">
        <v>25</v>
      </c>
      <c r="C39" s="31"/>
      <c r="D39" s="16"/>
      <c r="E39" s="14"/>
      <c r="F39" s="14"/>
      <c r="G39" s="20">
        <v>200</v>
      </c>
      <c r="H39" s="20">
        <v>210</v>
      </c>
      <c r="I39" s="20">
        <v>220</v>
      </c>
      <c r="J39" s="32"/>
      <c r="K39" s="37">
        <v>200</v>
      </c>
      <c r="L39" s="18" t="s">
        <v>24</v>
      </c>
      <c r="M39" s="14"/>
      <c r="N39" s="14"/>
      <c r="O39" s="14"/>
      <c r="P39" s="20">
        <v>220</v>
      </c>
      <c r="Q39" s="20">
        <v>230</v>
      </c>
      <c r="R39" s="20">
        <v>240</v>
      </c>
      <c r="S39" s="32"/>
      <c r="T39" s="37">
        <v>210</v>
      </c>
      <c r="U39" s="18" t="s">
        <v>24</v>
      </c>
      <c r="V39" s="14"/>
      <c r="W39" s="14"/>
      <c r="X39" s="14"/>
      <c r="Y39" s="20">
        <v>240</v>
      </c>
      <c r="Z39" s="20">
        <v>250</v>
      </c>
      <c r="AA39" s="20">
        <v>260</v>
      </c>
      <c r="AB39" s="32"/>
      <c r="AC39" s="37">
        <v>220</v>
      </c>
      <c r="AD39" s="18" t="s">
        <v>24</v>
      </c>
      <c r="AE39" s="14"/>
      <c r="AF39" s="14"/>
      <c r="AG39" s="14"/>
      <c r="AH39" s="20">
        <v>270</v>
      </c>
      <c r="AI39" s="20">
        <v>280</v>
      </c>
      <c r="AJ39" s="20">
        <v>290</v>
      </c>
      <c r="AK39" s="32"/>
      <c r="AL39" s="37">
        <v>250</v>
      </c>
    </row>
    <row r="40" spans="1:38" ht="9.75" customHeight="1" x14ac:dyDescent="0.25">
      <c r="A40" s="18" t="s">
        <v>26</v>
      </c>
      <c r="B40" s="24" t="s">
        <v>27</v>
      </c>
      <c r="C40" s="31"/>
      <c r="D40" s="16"/>
      <c r="E40" s="14"/>
      <c r="F40" s="20">
        <v>200</v>
      </c>
      <c r="G40" s="20">
        <v>210</v>
      </c>
      <c r="H40" s="20">
        <v>220</v>
      </c>
      <c r="I40" s="20">
        <v>230</v>
      </c>
      <c r="J40" s="37">
        <v>190</v>
      </c>
      <c r="K40" s="39">
        <v>210</v>
      </c>
      <c r="L40" s="18" t="s">
        <v>26</v>
      </c>
      <c r="M40" s="14"/>
      <c r="N40" s="14"/>
      <c r="O40" s="20">
        <v>220</v>
      </c>
      <c r="P40" s="20">
        <v>230</v>
      </c>
      <c r="Q40" s="20">
        <v>240</v>
      </c>
      <c r="R40" s="20">
        <v>250</v>
      </c>
      <c r="S40" s="37">
        <v>200</v>
      </c>
      <c r="T40" s="39">
        <v>220</v>
      </c>
      <c r="U40" s="18" t="s">
        <v>26</v>
      </c>
      <c r="V40" s="14"/>
      <c r="W40" s="14"/>
      <c r="X40" s="20">
        <v>240</v>
      </c>
      <c r="Y40" s="20">
        <v>250</v>
      </c>
      <c r="Z40" s="20">
        <v>260</v>
      </c>
      <c r="AA40" s="20">
        <v>270</v>
      </c>
      <c r="AB40" s="37">
        <v>210</v>
      </c>
      <c r="AC40" s="39">
        <v>230</v>
      </c>
      <c r="AD40" s="18" t="s">
        <v>26</v>
      </c>
      <c r="AE40" s="14"/>
      <c r="AF40" s="14"/>
      <c r="AG40" s="20">
        <v>270</v>
      </c>
      <c r="AH40" s="20">
        <v>280</v>
      </c>
      <c r="AI40" s="20">
        <v>290</v>
      </c>
      <c r="AJ40" s="20">
        <v>300</v>
      </c>
      <c r="AK40" s="37">
        <v>240</v>
      </c>
      <c r="AL40" s="40">
        <v>260</v>
      </c>
    </row>
    <row r="41" spans="1:38" ht="9.75" customHeight="1" x14ac:dyDescent="0.25">
      <c r="A41" s="18" t="s">
        <v>28</v>
      </c>
      <c r="B41" s="24" t="s">
        <v>29</v>
      </c>
      <c r="C41" s="31"/>
      <c r="D41" s="13"/>
      <c r="E41" s="20">
        <v>200</v>
      </c>
      <c r="F41" s="20">
        <v>210</v>
      </c>
      <c r="G41" s="20">
        <v>220</v>
      </c>
      <c r="H41" s="20">
        <v>230</v>
      </c>
      <c r="I41" s="20">
        <v>240</v>
      </c>
      <c r="J41" s="37">
        <v>200</v>
      </c>
      <c r="K41" s="39">
        <v>220</v>
      </c>
      <c r="L41" s="18" t="s">
        <v>28</v>
      </c>
      <c r="M41" s="14"/>
      <c r="N41" s="20">
        <v>220</v>
      </c>
      <c r="O41" s="20">
        <v>230</v>
      </c>
      <c r="P41" s="20">
        <v>240</v>
      </c>
      <c r="Q41" s="20">
        <v>250</v>
      </c>
      <c r="R41" s="20">
        <v>260</v>
      </c>
      <c r="S41" s="37">
        <v>210</v>
      </c>
      <c r="T41" s="39">
        <v>230</v>
      </c>
      <c r="U41" s="18" t="s">
        <v>28</v>
      </c>
      <c r="V41" s="14"/>
      <c r="W41" s="20">
        <v>240</v>
      </c>
      <c r="X41" s="20">
        <v>250</v>
      </c>
      <c r="Y41" s="20">
        <v>260</v>
      </c>
      <c r="Z41" s="20">
        <v>270</v>
      </c>
      <c r="AA41" s="20">
        <v>280</v>
      </c>
      <c r="AB41" s="37">
        <v>220</v>
      </c>
      <c r="AC41" s="39">
        <v>240</v>
      </c>
      <c r="AD41" s="18" t="s">
        <v>28</v>
      </c>
      <c r="AE41" s="14"/>
      <c r="AF41" s="20">
        <v>270</v>
      </c>
      <c r="AG41" s="20">
        <v>280</v>
      </c>
      <c r="AH41" s="20">
        <v>290</v>
      </c>
      <c r="AI41" s="20">
        <v>300</v>
      </c>
      <c r="AJ41" s="20">
        <v>310</v>
      </c>
      <c r="AK41" s="37">
        <v>250</v>
      </c>
      <c r="AL41" s="39">
        <v>270</v>
      </c>
    </row>
    <row r="42" spans="1:38" ht="9.75" customHeight="1" x14ac:dyDescent="0.25">
      <c r="A42" s="18" t="s">
        <v>30</v>
      </c>
      <c r="B42" s="24" t="s">
        <v>31</v>
      </c>
      <c r="C42" s="19"/>
      <c r="D42" s="20">
        <v>200</v>
      </c>
      <c r="E42" s="20">
        <v>210</v>
      </c>
      <c r="F42" s="20">
        <v>220</v>
      </c>
      <c r="G42" s="20">
        <v>230</v>
      </c>
      <c r="H42" s="20">
        <v>240</v>
      </c>
      <c r="I42" s="20">
        <v>250</v>
      </c>
      <c r="J42" s="39">
        <v>210</v>
      </c>
      <c r="K42" s="39">
        <v>230</v>
      </c>
      <c r="L42" s="18" t="s">
        <v>30</v>
      </c>
      <c r="M42" s="20">
        <v>220</v>
      </c>
      <c r="N42" s="20">
        <v>230</v>
      </c>
      <c r="O42" s="20">
        <v>240</v>
      </c>
      <c r="P42" s="20">
        <v>250</v>
      </c>
      <c r="Q42" s="20">
        <v>260</v>
      </c>
      <c r="R42" s="20">
        <v>270</v>
      </c>
      <c r="S42" s="39">
        <v>220</v>
      </c>
      <c r="T42" s="39">
        <v>240</v>
      </c>
      <c r="U42" s="18" t="s">
        <v>30</v>
      </c>
      <c r="V42" s="20">
        <v>240</v>
      </c>
      <c r="W42" s="20">
        <v>250</v>
      </c>
      <c r="X42" s="20">
        <v>260</v>
      </c>
      <c r="Y42" s="20">
        <v>270</v>
      </c>
      <c r="Z42" s="20">
        <v>280</v>
      </c>
      <c r="AA42" s="20">
        <v>290</v>
      </c>
      <c r="AB42" s="39">
        <v>230</v>
      </c>
      <c r="AC42" s="39">
        <v>250</v>
      </c>
      <c r="AD42" s="18" t="s">
        <v>30</v>
      </c>
      <c r="AE42" s="20">
        <v>270</v>
      </c>
      <c r="AF42" s="20">
        <v>280</v>
      </c>
      <c r="AG42" s="20">
        <v>290</v>
      </c>
      <c r="AH42" s="20">
        <v>300</v>
      </c>
      <c r="AI42" s="20">
        <v>310</v>
      </c>
      <c r="AJ42" s="20">
        <v>320</v>
      </c>
      <c r="AK42" s="40">
        <v>260</v>
      </c>
      <c r="AL42" s="39">
        <v>280</v>
      </c>
    </row>
    <row r="43" spans="1:38" ht="9.75" customHeight="1" x14ac:dyDescent="0.25">
      <c r="A43" s="18" t="s">
        <v>32</v>
      </c>
      <c r="B43" s="24" t="s">
        <v>31</v>
      </c>
      <c r="C43" s="19"/>
      <c r="D43" s="20">
        <v>210</v>
      </c>
      <c r="E43" s="20">
        <v>220</v>
      </c>
      <c r="F43" s="20">
        <v>230</v>
      </c>
      <c r="G43" s="20">
        <v>240</v>
      </c>
      <c r="H43" s="20">
        <v>250</v>
      </c>
      <c r="I43" s="20">
        <v>260</v>
      </c>
      <c r="J43" s="39">
        <v>220</v>
      </c>
      <c r="K43" s="39">
        <v>240</v>
      </c>
      <c r="L43" s="18" t="s">
        <v>32</v>
      </c>
      <c r="M43" s="20">
        <v>230</v>
      </c>
      <c r="N43" s="20">
        <v>240</v>
      </c>
      <c r="O43" s="20">
        <v>250</v>
      </c>
      <c r="P43" s="20">
        <v>260</v>
      </c>
      <c r="Q43" s="20">
        <v>270</v>
      </c>
      <c r="R43" s="13">
        <v>280</v>
      </c>
      <c r="S43" s="39">
        <v>230</v>
      </c>
      <c r="T43" s="39">
        <v>250</v>
      </c>
      <c r="U43" s="18" t="s">
        <v>32</v>
      </c>
      <c r="V43" s="20">
        <v>250</v>
      </c>
      <c r="W43" s="20">
        <v>260</v>
      </c>
      <c r="X43" s="20">
        <v>270</v>
      </c>
      <c r="Y43" s="20">
        <v>280</v>
      </c>
      <c r="Z43" s="20">
        <v>290</v>
      </c>
      <c r="AA43" s="20">
        <v>300</v>
      </c>
      <c r="AB43" s="39">
        <v>240</v>
      </c>
      <c r="AC43" s="39">
        <v>260</v>
      </c>
      <c r="AD43" s="18" t="s">
        <v>32</v>
      </c>
      <c r="AE43" s="20">
        <v>280</v>
      </c>
      <c r="AF43" s="20">
        <v>290</v>
      </c>
      <c r="AG43" s="20">
        <v>300</v>
      </c>
      <c r="AH43" s="20">
        <v>310</v>
      </c>
      <c r="AI43" s="20">
        <v>320</v>
      </c>
      <c r="AJ43" s="20">
        <v>330</v>
      </c>
      <c r="AK43" s="39">
        <v>270</v>
      </c>
      <c r="AL43" s="39">
        <v>290</v>
      </c>
    </row>
    <row r="44" spans="1:38" ht="9.75" customHeight="1" x14ac:dyDescent="0.25">
      <c r="A44" s="18" t="s">
        <v>33</v>
      </c>
      <c r="B44" s="24" t="s">
        <v>31</v>
      </c>
      <c r="C44" s="19"/>
      <c r="D44" s="20">
        <v>220</v>
      </c>
      <c r="E44" s="20">
        <v>230</v>
      </c>
      <c r="F44" s="20">
        <v>240</v>
      </c>
      <c r="G44" s="20">
        <v>250</v>
      </c>
      <c r="H44" s="20">
        <v>260</v>
      </c>
      <c r="I44" s="20">
        <v>270</v>
      </c>
      <c r="J44" s="39">
        <v>230</v>
      </c>
      <c r="K44" s="39">
        <v>250</v>
      </c>
      <c r="L44" s="18" t="s">
        <v>33</v>
      </c>
      <c r="M44" s="20">
        <v>240</v>
      </c>
      <c r="N44" s="20">
        <v>250</v>
      </c>
      <c r="O44" s="20">
        <v>260</v>
      </c>
      <c r="P44" s="20">
        <v>270</v>
      </c>
      <c r="Q44" s="13">
        <v>280</v>
      </c>
      <c r="R44" s="13">
        <v>290</v>
      </c>
      <c r="S44" s="39">
        <v>240</v>
      </c>
      <c r="T44" s="39">
        <v>260</v>
      </c>
      <c r="U44" s="18" t="s">
        <v>33</v>
      </c>
      <c r="V44" s="20">
        <v>260</v>
      </c>
      <c r="W44" s="20">
        <v>270</v>
      </c>
      <c r="X44" s="20">
        <v>280</v>
      </c>
      <c r="Y44" s="20">
        <v>290</v>
      </c>
      <c r="Z44" s="20">
        <v>300</v>
      </c>
      <c r="AA44" s="20">
        <v>310</v>
      </c>
      <c r="AB44" s="39">
        <v>250</v>
      </c>
      <c r="AC44" s="39">
        <v>270</v>
      </c>
      <c r="AD44" s="18" t="s">
        <v>33</v>
      </c>
      <c r="AE44" s="20">
        <v>290</v>
      </c>
      <c r="AF44" s="20">
        <v>300</v>
      </c>
      <c r="AG44" s="20">
        <v>310</v>
      </c>
      <c r="AH44" s="20">
        <v>320</v>
      </c>
      <c r="AI44" s="20">
        <v>330</v>
      </c>
      <c r="AJ44" s="20">
        <v>340</v>
      </c>
      <c r="AK44" s="39">
        <v>280</v>
      </c>
      <c r="AL44" s="39">
        <v>300</v>
      </c>
    </row>
    <row r="45" spans="1:38" ht="9.75" customHeight="1" x14ac:dyDescent="0.25">
      <c r="A45" s="18" t="s">
        <v>34</v>
      </c>
      <c r="B45" s="24" t="s">
        <v>31</v>
      </c>
      <c r="C45" s="19"/>
      <c r="D45" s="20">
        <v>230</v>
      </c>
      <c r="E45" s="20">
        <v>240</v>
      </c>
      <c r="F45" s="20">
        <v>250</v>
      </c>
      <c r="G45" s="20">
        <v>260</v>
      </c>
      <c r="H45" s="20">
        <v>270</v>
      </c>
      <c r="I45" s="20">
        <v>280</v>
      </c>
      <c r="J45" s="39">
        <v>240</v>
      </c>
      <c r="K45" s="39">
        <v>260</v>
      </c>
      <c r="L45" s="18" t="s">
        <v>34</v>
      </c>
      <c r="M45" s="20">
        <v>250</v>
      </c>
      <c r="N45" s="20">
        <v>260</v>
      </c>
      <c r="O45" s="20">
        <v>270</v>
      </c>
      <c r="P45" s="13">
        <v>280</v>
      </c>
      <c r="Q45" s="13">
        <v>290</v>
      </c>
      <c r="R45" s="20">
        <v>300</v>
      </c>
      <c r="S45" s="39">
        <v>250</v>
      </c>
      <c r="T45" s="39">
        <v>270</v>
      </c>
      <c r="U45" s="18" t="s">
        <v>34</v>
      </c>
      <c r="V45" s="20">
        <v>270</v>
      </c>
      <c r="W45" s="20">
        <v>280</v>
      </c>
      <c r="X45" s="20">
        <v>290</v>
      </c>
      <c r="Y45" s="20">
        <v>300</v>
      </c>
      <c r="Z45" s="20">
        <v>310</v>
      </c>
      <c r="AA45" s="20">
        <v>320</v>
      </c>
      <c r="AB45" s="39">
        <v>260</v>
      </c>
      <c r="AC45" s="39">
        <v>280</v>
      </c>
      <c r="AD45" s="18" t="s">
        <v>34</v>
      </c>
      <c r="AE45" s="20">
        <v>300</v>
      </c>
      <c r="AF45" s="20">
        <v>310</v>
      </c>
      <c r="AG45" s="20">
        <v>320</v>
      </c>
      <c r="AH45" s="20">
        <v>330</v>
      </c>
      <c r="AI45" s="20">
        <v>340</v>
      </c>
      <c r="AJ45" s="20">
        <v>350</v>
      </c>
      <c r="AK45" s="39">
        <v>290</v>
      </c>
      <c r="AL45" s="39">
        <v>310</v>
      </c>
    </row>
    <row r="46" spans="1:38" ht="9.75" customHeight="1" x14ac:dyDescent="0.25">
      <c r="A46" s="18" t="s">
        <v>35</v>
      </c>
      <c r="B46" s="24" t="s">
        <v>31</v>
      </c>
      <c r="C46" s="19"/>
      <c r="D46" s="20">
        <v>240</v>
      </c>
      <c r="E46" s="20">
        <v>250</v>
      </c>
      <c r="F46" s="20">
        <v>260</v>
      </c>
      <c r="G46" s="20">
        <v>270</v>
      </c>
      <c r="H46" s="20">
        <v>280</v>
      </c>
      <c r="I46" s="36"/>
      <c r="J46" s="39">
        <v>250</v>
      </c>
      <c r="K46" s="39">
        <v>270</v>
      </c>
      <c r="L46" s="18" t="s">
        <v>35</v>
      </c>
      <c r="M46" s="20">
        <v>260</v>
      </c>
      <c r="N46" s="20">
        <v>270</v>
      </c>
      <c r="O46" s="13">
        <v>280</v>
      </c>
      <c r="P46" s="13">
        <v>290</v>
      </c>
      <c r="Q46" s="20">
        <v>300</v>
      </c>
      <c r="R46" s="13"/>
      <c r="S46" s="39">
        <v>260</v>
      </c>
      <c r="T46" s="39">
        <v>280</v>
      </c>
      <c r="U46" s="18" t="s">
        <v>35</v>
      </c>
      <c r="V46" s="20">
        <v>280</v>
      </c>
      <c r="W46" s="20">
        <v>290</v>
      </c>
      <c r="X46" s="20">
        <v>300</v>
      </c>
      <c r="Y46" s="20">
        <v>310</v>
      </c>
      <c r="Z46" s="20">
        <v>320</v>
      </c>
      <c r="AA46" s="36"/>
      <c r="AB46" s="39">
        <v>270</v>
      </c>
      <c r="AC46" s="39">
        <v>290</v>
      </c>
      <c r="AD46" s="18" t="s">
        <v>35</v>
      </c>
      <c r="AE46" s="20">
        <v>310</v>
      </c>
      <c r="AF46" s="20">
        <v>320</v>
      </c>
      <c r="AG46" s="20">
        <v>330</v>
      </c>
      <c r="AH46" s="20">
        <v>340</v>
      </c>
      <c r="AI46" s="20">
        <v>350</v>
      </c>
      <c r="AJ46" s="36"/>
      <c r="AK46" s="39">
        <v>300</v>
      </c>
      <c r="AL46" s="39">
        <v>320</v>
      </c>
    </row>
    <row r="47" spans="1:38" ht="9.75" customHeight="1" x14ac:dyDescent="0.25">
      <c r="A47" s="18" t="s">
        <v>36</v>
      </c>
      <c r="B47" s="24" t="s">
        <v>37</v>
      </c>
      <c r="C47" s="19"/>
      <c r="D47" s="20">
        <v>250</v>
      </c>
      <c r="E47" s="20">
        <v>260</v>
      </c>
      <c r="F47" s="20">
        <v>270</v>
      </c>
      <c r="G47" s="20">
        <v>280</v>
      </c>
      <c r="H47" s="36"/>
      <c r="I47" s="36"/>
      <c r="J47" s="39">
        <v>260</v>
      </c>
      <c r="K47" s="36"/>
      <c r="L47" s="18" t="s">
        <v>36</v>
      </c>
      <c r="M47" s="20">
        <v>270</v>
      </c>
      <c r="N47" s="13">
        <v>280</v>
      </c>
      <c r="O47" s="13">
        <v>290</v>
      </c>
      <c r="P47" s="20">
        <v>300</v>
      </c>
      <c r="Q47" s="13"/>
      <c r="R47" s="13"/>
      <c r="S47" s="39">
        <v>270</v>
      </c>
      <c r="T47" s="13"/>
      <c r="U47" s="18" t="s">
        <v>36</v>
      </c>
      <c r="V47" s="20">
        <v>290</v>
      </c>
      <c r="W47" s="20">
        <v>300</v>
      </c>
      <c r="X47" s="20">
        <v>310</v>
      </c>
      <c r="Y47" s="20">
        <v>320</v>
      </c>
      <c r="Z47" s="36"/>
      <c r="AA47" s="36"/>
      <c r="AB47" s="39">
        <v>280</v>
      </c>
      <c r="AC47" s="36"/>
      <c r="AD47" s="18" t="s">
        <v>36</v>
      </c>
      <c r="AE47" s="20">
        <v>320</v>
      </c>
      <c r="AF47" s="20">
        <v>330</v>
      </c>
      <c r="AG47" s="20">
        <v>340</v>
      </c>
      <c r="AH47" s="20">
        <v>350</v>
      </c>
      <c r="AI47" s="36"/>
      <c r="AJ47" s="36"/>
      <c r="AK47" s="39">
        <v>310</v>
      </c>
      <c r="AL47" s="36"/>
    </row>
    <row r="48" spans="1:38" ht="9.75" customHeight="1" x14ac:dyDescent="0.25">
      <c r="A48" s="20" t="s">
        <v>38</v>
      </c>
      <c r="B48" s="18" t="s">
        <v>39</v>
      </c>
      <c r="C48" s="19"/>
      <c r="D48" s="20">
        <v>260</v>
      </c>
      <c r="E48" s="20">
        <v>270</v>
      </c>
      <c r="F48" s="20">
        <v>280</v>
      </c>
      <c r="G48" s="36"/>
      <c r="H48" s="36"/>
      <c r="I48" s="36"/>
      <c r="J48" s="36"/>
      <c r="K48" s="36"/>
      <c r="L48" s="20" t="s">
        <v>38</v>
      </c>
      <c r="M48" s="13">
        <v>280</v>
      </c>
      <c r="N48" s="13">
        <v>290</v>
      </c>
      <c r="O48" s="20">
        <v>300</v>
      </c>
      <c r="P48" s="13"/>
      <c r="Q48" s="13"/>
      <c r="R48" s="13"/>
      <c r="S48" s="13"/>
      <c r="T48" s="13"/>
      <c r="U48" s="20" t="s">
        <v>38</v>
      </c>
      <c r="V48" s="20">
        <v>300</v>
      </c>
      <c r="W48" s="20">
        <v>310</v>
      </c>
      <c r="X48" s="20">
        <v>320</v>
      </c>
      <c r="Y48" s="36"/>
      <c r="Z48" s="36"/>
      <c r="AA48" s="36"/>
      <c r="AB48" s="36"/>
      <c r="AC48" s="36"/>
      <c r="AD48" s="20" t="s">
        <v>38</v>
      </c>
      <c r="AE48" s="20">
        <v>330</v>
      </c>
      <c r="AF48" s="20">
        <v>340</v>
      </c>
      <c r="AG48" s="20">
        <v>350</v>
      </c>
      <c r="AH48" s="36"/>
      <c r="AI48" s="36"/>
      <c r="AJ48" s="36"/>
      <c r="AK48" s="36"/>
      <c r="AL48" s="36"/>
    </row>
    <row r="49" spans="1:39" ht="9.75" customHeight="1" x14ac:dyDescent="0.25">
      <c r="A49" s="20" t="s">
        <v>40</v>
      </c>
      <c r="B49" s="18" t="s">
        <v>41</v>
      </c>
      <c r="C49" s="19"/>
      <c r="D49" s="20">
        <v>270</v>
      </c>
      <c r="E49" s="20">
        <v>280</v>
      </c>
      <c r="F49" s="36"/>
      <c r="G49" s="36"/>
      <c r="H49" s="36"/>
      <c r="I49" s="36"/>
      <c r="J49" s="36"/>
      <c r="K49" s="36"/>
      <c r="L49" s="20" t="s">
        <v>40</v>
      </c>
      <c r="M49" s="13">
        <v>290</v>
      </c>
      <c r="N49" s="20">
        <v>300</v>
      </c>
      <c r="O49" s="13"/>
      <c r="P49" s="13"/>
      <c r="Q49" s="13"/>
      <c r="R49" s="13"/>
      <c r="S49" s="13"/>
      <c r="T49" s="13"/>
      <c r="U49" s="20" t="s">
        <v>40</v>
      </c>
      <c r="V49" s="20">
        <v>310</v>
      </c>
      <c r="W49" s="20">
        <v>320</v>
      </c>
      <c r="X49" s="36"/>
      <c r="Y49" s="36"/>
      <c r="Z49" s="36"/>
      <c r="AA49" s="36"/>
      <c r="AB49" s="36"/>
      <c r="AC49" s="36"/>
      <c r="AD49" s="20" t="s">
        <v>40</v>
      </c>
      <c r="AE49" s="20">
        <v>340</v>
      </c>
      <c r="AF49" s="20">
        <v>350</v>
      </c>
      <c r="AG49" s="36"/>
      <c r="AH49" s="36"/>
      <c r="AI49" s="36"/>
      <c r="AJ49" s="36"/>
      <c r="AK49" s="36"/>
      <c r="AL49" s="36"/>
    </row>
    <row r="50" spans="1:39" ht="9.75" customHeight="1" x14ac:dyDescent="0.25">
      <c r="A50" s="20" t="s">
        <v>42</v>
      </c>
      <c r="B50" s="18" t="s">
        <v>43</v>
      </c>
      <c r="C50" s="19"/>
      <c r="D50" s="20">
        <v>280</v>
      </c>
      <c r="E50" s="36"/>
      <c r="F50" s="36"/>
      <c r="G50" s="36"/>
      <c r="H50" s="36"/>
      <c r="I50" s="36"/>
      <c r="J50" s="36"/>
      <c r="K50" s="36"/>
      <c r="L50" s="20" t="s">
        <v>42</v>
      </c>
      <c r="M50" s="20">
        <v>300</v>
      </c>
      <c r="N50" s="13"/>
      <c r="O50" s="13"/>
      <c r="P50" s="13"/>
      <c r="Q50" s="13"/>
      <c r="R50" s="13"/>
      <c r="S50" s="13"/>
      <c r="T50" s="13"/>
      <c r="U50" s="20" t="s">
        <v>42</v>
      </c>
      <c r="V50" s="20">
        <v>320</v>
      </c>
      <c r="W50" s="36"/>
      <c r="X50" s="36"/>
      <c r="Y50" s="36"/>
      <c r="Z50" s="36"/>
      <c r="AA50" s="36"/>
      <c r="AB50" s="36"/>
      <c r="AC50" s="36"/>
      <c r="AD50" s="20" t="s">
        <v>42</v>
      </c>
      <c r="AE50" s="20">
        <v>350</v>
      </c>
      <c r="AF50" s="36"/>
      <c r="AG50" s="36"/>
      <c r="AH50" s="36"/>
      <c r="AI50" s="36"/>
      <c r="AJ50" s="36"/>
      <c r="AK50" s="36"/>
      <c r="AL50" s="36"/>
    </row>
    <row r="51" spans="1:39" ht="9.75" customHeight="1" x14ac:dyDescent="0.25">
      <c r="A51" s="195" t="s">
        <v>44</v>
      </c>
      <c r="B51" s="195"/>
      <c r="C51" s="3"/>
      <c r="D51" s="198" t="s">
        <v>63</v>
      </c>
      <c r="E51" s="198"/>
      <c r="F51" s="198"/>
      <c r="G51" s="198"/>
      <c r="H51" s="198"/>
      <c r="I51" s="198"/>
      <c r="J51" s="198"/>
      <c r="K51" s="198"/>
      <c r="L51" s="9"/>
      <c r="M51" s="199" t="s">
        <v>63</v>
      </c>
      <c r="N51" s="199"/>
      <c r="O51" s="199"/>
      <c r="P51" s="199"/>
      <c r="Q51" s="199"/>
      <c r="R51" s="199"/>
      <c r="S51" s="199"/>
      <c r="T51" s="199"/>
      <c r="U51" s="9"/>
      <c r="V51" s="199" t="s">
        <v>63</v>
      </c>
      <c r="W51" s="199"/>
      <c r="X51" s="199"/>
      <c r="Y51" s="199"/>
      <c r="Z51" s="199"/>
      <c r="AA51" s="199"/>
      <c r="AB51" s="199"/>
      <c r="AC51" s="199"/>
      <c r="AD51" s="9"/>
      <c r="AE51" s="199" t="s">
        <v>63</v>
      </c>
      <c r="AF51" s="199"/>
      <c r="AG51" s="199"/>
      <c r="AH51" s="199"/>
      <c r="AI51" s="199"/>
      <c r="AJ51" s="199"/>
      <c r="AK51" s="199"/>
      <c r="AL51" s="199"/>
      <c r="AM51"/>
    </row>
    <row r="52" spans="1:39" ht="9.75" customHeight="1" x14ac:dyDescent="0.25">
      <c r="A52" s="11" t="s">
        <v>11</v>
      </c>
      <c r="B52" s="11" t="s">
        <v>12</v>
      </c>
      <c r="C52" s="12"/>
      <c r="D52" s="13" t="s">
        <v>64</v>
      </c>
      <c r="E52" s="14" t="s">
        <v>65</v>
      </c>
      <c r="F52" s="14" t="s">
        <v>66</v>
      </c>
      <c r="G52" s="14" t="s">
        <v>67</v>
      </c>
      <c r="H52" s="14" t="s">
        <v>68</v>
      </c>
      <c r="I52" s="14" t="s">
        <v>69</v>
      </c>
      <c r="J52" s="41" t="s">
        <v>70</v>
      </c>
      <c r="K52" s="41" t="s">
        <v>71</v>
      </c>
      <c r="L52" s="9"/>
      <c r="M52" s="13" t="s">
        <v>64</v>
      </c>
      <c r="N52" s="14" t="s">
        <v>65</v>
      </c>
      <c r="O52" s="14" t="s">
        <v>66</v>
      </c>
      <c r="P52" s="14" t="s">
        <v>67</v>
      </c>
      <c r="Q52" s="14" t="s">
        <v>68</v>
      </c>
      <c r="R52" s="14" t="s">
        <v>69</v>
      </c>
      <c r="S52" s="41" t="s">
        <v>70</v>
      </c>
      <c r="T52" s="41" t="s">
        <v>71</v>
      </c>
      <c r="U52" s="9"/>
      <c r="V52" s="13" t="s">
        <v>64</v>
      </c>
      <c r="W52" s="28" t="s">
        <v>65</v>
      </c>
      <c r="X52" s="28" t="s">
        <v>66</v>
      </c>
      <c r="Y52" s="28" t="s">
        <v>67</v>
      </c>
      <c r="Z52" s="28" t="s">
        <v>68</v>
      </c>
      <c r="AA52" s="28" t="s">
        <v>69</v>
      </c>
      <c r="AB52" s="42" t="s">
        <v>70</v>
      </c>
      <c r="AC52" s="42" t="s">
        <v>71</v>
      </c>
      <c r="AD52" s="9"/>
      <c r="AE52" s="13" t="s">
        <v>64</v>
      </c>
      <c r="AF52" s="28" t="s">
        <v>65</v>
      </c>
      <c r="AG52" s="28" t="s">
        <v>66</v>
      </c>
      <c r="AH52" s="28" t="s">
        <v>67</v>
      </c>
      <c r="AI52" s="28" t="s">
        <v>68</v>
      </c>
      <c r="AJ52" s="28" t="s">
        <v>69</v>
      </c>
      <c r="AK52" s="42" t="s">
        <v>70</v>
      </c>
      <c r="AL52" s="42" t="s">
        <v>71</v>
      </c>
      <c r="AM52"/>
    </row>
    <row r="53" spans="1:39" ht="9.75" customHeight="1" x14ac:dyDescent="0.25">
      <c r="A53" s="18" t="s">
        <v>21</v>
      </c>
      <c r="B53" s="18" t="s">
        <v>22</v>
      </c>
      <c r="C53" s="31"/>
      <c r="D53" s="16"/>
      <c r="E53" s="14"/>
      <c r="F53" s="14"/>
      <c r="G53" s="14"/>
      <c r="H53" s="14"/>
      <c r="I53" s="20">
        <v>210</v>
      </c>
      <c r="J53" s="32"/>
      <c r="K53" s="32"/>
      <c r="L53" s="20" t="s">
        <v>21</v>
      </c>
      <c r="M53" s="14"/>
      <c r="N53" s="14"/>
      <c r="O53" s="14"/>
      <c r="P53" s="14"/>
      <c r="Q53" s="14"/>
      <c r="R53" s="20">
        <v>230</v>
      </c>
      <c r="S53" s="32"/>
      <c r="T53" s="32"/>
      <c r="U53" s="20" t="s">
        <v>21</v>
      </c>
      <c r="V53" s="14"/>
      <c r="W53" s="14"/>
      <c r="X53" s="14"/>
      <c r="Y53" s="14"/>
      <c r="Z53" s="14"/>
      <c r="AA53" s="20">
        <v>250</v>
      </c>
      <c r="AB53" s="32"/>
      <c r="AC53" s="32"/>
      <c r="AD53" s="20" t="s">
        <v>21</v>
      </c>
      <c r="AE53" s="14"/>
      <c r="AF53" s="14"/>
      <c r="AG53" s="14"/>
      <c r="AH53" s="14"/>
      <c r="AI53" s="14"/>
      <c r="AJ53" s="20">
        <v>280</v>
      </c>
      <c r="AK53" s="32"/>
      <c r="AL53" s="32"/>
      <c r="AM53"/>
    </row>
    <row r="54" spans="1:39" ht="9.75" customHeight="1" x14ac:dyDescent="0.25">
      <c r="A54" s="18" t="s">
        <v>23</v>
      </c>
      <c r="B54" s="18" t="s">
        <v>22</v>
      </c>
      <c r="C54" s="31"/>
      <c r="D54" s="16"/>
      <c r="E54" s="14"/>
      <c r="F54" s="14"/>
      <c r="G54" s="14"/>
      <c r="H54" s="20">
        <v>210</v>
      </c>
      <c r="I54" s="20">
        <v>220</v>
      </c>
      <c r="J54" s="32"/>
      <c r="K54" s="32"/>
      <c r="L54" s="18" t="s">
        <v>23</v>
      </c>
      <c r="M54" s="14"/>
      <c r="N54" s="14"/>
      <c r="O54" s="14"/>
      <c r="P54" s="14"/>
      <c r="Q54" s="20">
        <v>230</v>
      </c>
      <c r="R54" s="20">
        <v>240</v>
      </c>
      <c r="S54" s="32"/>
      <c r="T54" s="32"/>
      <c r="U54" s="18" t="s">
        <v>23</v>
      </c>
      <c r="V54" s="14"/>
      <c r="W54" s="14"/>
      <c r="X54" s="14"/>
      <c r="Y54" s="14"/>
      <c r="Z54" s="20">
        <v>250</v>
      </c>
      <c r="AA54" s="20">
        <v>260</v>
      </c>
      <c r="AB54" s="32"/>
      <c r="AC54" s="32"/>
      <c r="AD54" s="18" t="s">
        <v>23</v>
      </c>
      <c r="AE54" s="14"/>
      <c r="AF54" s="14"/>
      <c r="AG54" s="14"/>
      <c r="AH54" s="14"/>
      <c r="AI54" s="20">
        <v>280</v>
      </c>
      <c r="AJ54" s="20">
        <v>290</v>
      </c>
      <c r="AK54" s="32"/>
      <c r="AL54" s="32"/>
      <c r="AM54"/>
    </row>
    <row r="55" spans="1:39" ht="9.75" customHeight="1" x14ac:dyDescent="0.25">
      <c r="A55" s="18" t="s">
        <v>24</v>
      </c>
      <c r="B55" s="18" t="s">
        <v>25</v>
      </c>
      <c r="C55" s="31"/>
      <c r="D55" s="16"/>
      <c r="E55" s="14"/>
      <c r="F55" s="14"/>
      <c r="G55" s="20">
        <v>210</v>
      </c>
      <c r="H55" s="20">
        <v>220</v>
      </c>
      <c r="I55" s="20">
        <v>230</v>
      </c>
      <c r="J55" s="32"/>
      <c r="K55" s="43">
        <v>210</v>
      </c>
      <c r="L55" s="18" t="s">
        <v>24</v>
      </c>
      <c r="M55" s="14"/>
      <c r="N55" s="14"/>
      <c r="O55" s="14"/>
      <c r="P55" s="20">
        <v>230</v>
      </c>
      <c r="Q55" s="20">
        <v>240</v>
      </c>
      <c r="R55" s="20">
        <v>250</v>
      </c>
      <c r="S55" s="32"/>
      <c r="T55" s="41">
        <v>220</v>
      </c>
      <c r="U55" s="18" t="s">
        <v>24</v>
      </c>
      <c r="V55" s="14"/>
      <c r="W55" s="14"/>
      <c r="X55" s="14"/>
      <c r="Y55" s="20">
        <v>250</v>
      </c>
      <c r="Z55" s="20">
        <v>260</v>
      </c>
      <c r="AA55" s="20">
        <v>270</v>
      </c>
      <c r="AB55" s="32"/>
      <c r="AC55" s="43">
        <v>230</v>
      </c>
      <c r="AD55" s="18" t="s">
        <v>24</v>
      </c>
      <c r="AE55" s="14"/>
      <c r="AF55" s="14"/>
      <c r="AG55" s="14"/>
      <c r="AH55" s="20">
        <v>280</v>
      </c>
      <c r="AI55" s="20">
        <v>290</v>
      </c>
      <c r="AJ55" s="20">
        <v>300</v>
      </c>
      <c r="AK55" s="32"/>
      <c r="AL55" s="44">
        <v>260</v>
      </c>
      <c r="AM55"/>
    </row>
    <row r="56" spans="1:39" ht="9.75" customHeight="1" x14ac:dyDescent="0.25">
      <c r="A56" s="18" t="s">
        <v>26</v>
      </c>
      <c r="B56" s="24" t="s">
        <v>27</v>
      </c>
      <c r="C56" s="31"/>
      <c r="D56" s="16"/>
      <c r="E56" s="14"/>
      <c r="F56" s="20">
        <v>210</v>
      </c>
      <c r="G56" s="20">
        <v>220</v>
      </c>
      <c r="H56" s="20">
        <v>230</v>
      </c>
      <c r="I56" s="20">
        <v>240</v>
      </c>
      <c r="J56" s="43">
        <v>200</v>
      </c>
      <c r="K56" s="43">
        <v>220</v>
      </c>
      <c r="L56" s="18" t="s">
        <v>26</v>
      </c>
      <c r="M56" s="14"/>
      <c r="N56" s="14"/>
      <c r="O56" s="20">
        <v>230</v>
      </c>
      <c r="P56" s="20">
        <v>240</v>
      </c>
      <c r="Q56" s="20">
        <v>250</v>
      </c>
      <c r="R56" s="20">
        <v>260</v>
      </c>
      <c r="S56" s="41">
        <v>210</v>
      </c>
      <c r="T56" s="43">
        <v>230</v>
      </c>
      <c r="U56" s="18" t="s">
        <v>26</v>
      </c>
      <c r="V56" s="14"/>
      <c r="W56" s="14"/>
      <c r="X56" s="20">
        <v>250</v>
      </c>
      <c r="Y56" s="20">
        <v>260</v>
      </c>
      <c r="Z56" s="20">
        <v>270</v>
      </c>
      <c r="AA56" s="20">
        <v>280</v>
      </c>
      <c r="AB56" s="43">
        <v>220</v>
      </c>
      <c r="AC56" s="43">
        <v>240</v>
      </c>
      <c r="AD56" s="18" t="s">
        <v>26</v>
      </c>
      <c r="AE56" s="14"/>
      <c r="AF56" s="14"/>
      <c r="AG56" s="20">
        <v>280</v>
      </c>
      <c r="AH56" s="20">
        <v>290</v>
      </c>
      <c r="AI56" s="20">
        <v>300</v>
      </c>
      <c r="AJ56" s="20">
        <v>310</v>
      </c>
      <c r="AK56" s="44">
        <v>250</v>
      </c>
      <c r="AL56" s="43">
        <v>270</v>
      </c>
      <c r="AM56"/>
    </row>
    <row r="57" spans="1:39" ht="9.75" customHeight="1" x14ac:dyDescent="0.25">
      <c r="A57" s="18" t="s">
        <v>28</v>
      </c>
      <c r="B57" s="24" t="s">
        <v>29</v>
      </c>
      <c r="C57" s="31"/>
      <c r="D57" s="13"/>
      <c r="E57" s="20">
        <v>210</v>
      </c>
      <c r="F57" s="20">
        <v>220</v>
      </c>
      <c r="G57" s="20">
        <v>230</v>
      </c>
      <c r="H57" s="20">
        <v>240</v>
      </c>
      <c r="I57" s="20">
        <v>250</v>
      </c>
      <c r="J57" s="43">
        <v>210</v>
      </c>
      <c r="K57" s="43">
        <v>230</v>
      </c>
      <c r="L57" s="18" t="s">
        <v>28</v>
      </c>
      <c r="M57" s="14"/>
      <c r="N57" s="20">
        <v>230</v>
      </c>
      <c r="O57" s="20">
        <v>240</v>
      </c>
      <c r="P57" s="20">
        <v>250</v>
      </c>
      <c r="Q57" s="20">
        <v>260</v>
      </c>
      <c r="R57" s="20">
        <v>270</v>
      </c>
      <c r="S57" s="41">
        <v>220</v>
      </c>
      <c r="T57" s="43">
        <v>240</v>
      </c>
      <c r="U57" s="18" t="s">
        <v>28</v>
      </c>
      <c r="V57" s="14"/>
      <c r="W57" s="20">
        <v>250</v>
      </c>
      <c r="X57" s="20">
        <v>260</v>
      </c>
      <c r="Y57" s="20">
        <v>270</v>
      </c>
      <c r="Z57" s="20">
        <v>280</v>
      </c>
      <c r="AA57" s="20">
        <v>290</v>
      </c>
      <c r="AB57" s="43">
        <v>230</v>
      </c>
      <c r="AC57" s="43">
        <v>250</v>
      </c>
      <c r="AD57" s="18" t="s">
        <v>28</v>
      </c>
      <c r="AE57" s="14"/>
      <c r="AF57" s="20">
        <v>280</v>
      </c>
      <c r="AG57" s="20">
        <v>290</v>
      </c>
      <c r="AH57" s="20">
        <v>300</v>
      </c>
      <c r="AI57" s="20">
        <v>310</v>
      </c>
      <c r="AJ57" s="20">
        <v>320</v>
      </c>
      <c r="AK57" s="44">
        <v>260</v>
      </c>
      <c r="AL57" s="43">
        <v>280</v>
      </c>
      <c r="AM57"/>
    </row>
    <row r="58" spans="1:39" ht="9.75" customHeight="1" x14ac:dyDescent="0.25">
      <c r="A58" s="18" t="s">
        <v>30</v>
      </c>
      <c r="B58" s="24" t="s">
        <v>31</v>
      </c>
      <c r="C58" s="19"/>
      <c r="D58" s="20">
        <v>210</v>
      </c>
      <c r="E58" s="20">
        <v>220</v>
      </c>
      <c r="F58" s="20">
        <v>230</v>
      </c>
      <c r="G58" s="20">
        <v>240</v>
      </c>
      <c r="H58" s="20">
        <v>250</v>
      </c>
      <c r="I58" s="20">
        <v>260</v>
      </c>
      <c r="J58" s="43">
        <v>220</v>
      </c>
      <c r="K58" s="43">
        <v>240</v>
      </c>
      <c r="L58" s="18" t="s">
        <v>30</v>
      </c>
      <c r="M58" s="20">
        <v>230</v>
      </c>
      <c r="N58" s="20">
        <v>240</v>
      </c>
      <c r="O58" s="20">
        <v>250</v>
      </c>
      <c r="P58" s="20">
        <v>260</v>
      </c>
      <c r="Q58" s="20">
        <v>270</v>
      </c>
      <c r="R58" s="13">
        <v>280</v>
      </c>
      <c r="S58" s="43">
        <v>230</v>
      </c>
      <c r="T58" s="43">
        <v>250</v>
      </c>
      <c r="U58" s="18" t="s">
        <v>30</v>
      </c>
      <c r="V58" s="20">
        <v>250</v>
      </c>
      <c r="W58" s="20">
        <v>260</v>
      </c>
      <c r="X58" s="20">
        <v>270</v>
      </c>
      <c r="Y58" s="20">
        <v>280</v>
      </c>
      <c r="Z58" s="20">
        <v>290</v>
      </c>
      <c r="AA58" s="20">
        <v>300</v>
      </c>
      <c r="AB58" s="43">
        <v>240</v>
      </c>
      <c r="AC58" s="43">
        <v>260</v>
      </c>
      <c r="AD58" s="18" t="s">
        <v>30</v>
      </c>
      <c r="AE58" s="20">
        <v>280</v>
      </c>
      <c r="AF58" s="20">
        <v>290</v>
      </c>
      <c r="AG58" s="20">
        <v>300</v>
      </c>
      <c r="AH58" s="20">
        <v>310</v>
      </c>
      <c r="AI58" s="20">
        <v>320</v>
      </c>
      <c r="AJ58" s="20">
        <v>330</v>
      </c>
      <c r="AK58" s="43">
        <v>270</v>
      </c>
      <c r="AL58" s="43">
        <v>290</v>
      </c>
      <c r="AM58"/>
    </row>
    <row r="59" spans="1:39" ht="9.75" customHeight="1" x14ac:dyDescent="0.25">
      <c r="A59" s="18" t="s">
        <v>32</v>
      </c>
      <c r="B59" s="24" t="s">
        <v>31</v>
      </c>
      <c r="C59" s="19"/>
      <c r="D59" s="20">
        <v>220</v>
      </c>
      <c r="E59" s="20">
        <v>230</v>
      </c>
      <c r="F59" s="20">
        <v>240</v>
      </c>
      <c r="G59" s="20">
        <v>250</v>
      </c>
      <c r="H59" s="20">
        <v>260</v>
      </c>
      <c r="I59" s="20">
        <v>270</v>
      </c>
      <c r="J59" s="43">
        <v>230</v>
      </c>
      <c r="K59" s="43">
        <v>250</v>
      </c>
      <c r="L59" s="18" t="s">
        <v>32</v>
      </c>
      <c r="M59" s="20">
        <v>240</v>
      </c>
      <c r="N59" s="20">
        <v>250</v>
      </c>
      <c r="O59" s="20">
        <v>260</v>
      </c>
      <c r="P59" s="20">
        <v>270</v>
      </c>
      <c r="Q59" s="13">
        <v>280</v>
      </c>
      <c r="R59" s="13">
        <v>290</v>
      </c>
      <c r="S59" s="43">
        <v>240</v>
      </c>
      <c r="T59" s="43">
        <v>260</v>
      </c>
      <c r="U59" s="18" t="s">
        <v>32</v>
      </c>
      <c r="V59" s="20">
        <v>260</v>
      </c>
      <c r="W59" s="20">
        <v>270</v>
      </c>
      <c r="X59" s="20">
        <v>280</v>
      </c>
      <c r="Y59" s="20">
        <v>290</v>
      </c>
      <c r="Z59" s="20">
        <v>300</v>
      </c>
      <c r="AA59" s="20">
        <v>310</v>
      </c>
      <c r="AB59" s="43">
        <v>250</v>
      </c>
      <c r="AC59" s="43">
        <v>270</v>
      </c>
      <c r="AD59" s="18" t="s">
        <v>32</v>
      </c>
      <c r="AE59" s="20">
        <v>290</v>
      </c>
      <c r="AF59" s="20">
        <v>300</v>
      </c>
      <c r="AG59" s="20">
        <v>310</v>
      </c>
      <c r="AH59" s="20">
        <v>320</v>
      </c>
      <c r="AI59" s="20">
        <v>330</v>
      </c>
      <c r="AJ59" s="20">
        <v>340</v>
      </c>
      <c r="AK59" s="43">
        <v>280</v>
      </c>
      <c r="AL59" s="43">
        <v>300</v>
      </c>
      <c r="AM59"/>
    </row>
    <row r="60" spans="1:39" ht="9.75" customHeight="1" x14ac:dyDescent="0.25">
      <c r="A60" s="18" t="s">
        <v>33</v>
      </c>
      <c r="B60" s="24" t="s">
        <v>31</v>
      </c>
      <c r="C60" s="19"/>
      <c r="D60" s="20">
        <v>230</v>
      </c>
      <c r="E60" s="20">
        <v>240</v>
      </c>
      <c r="F60" s="20">
        <v>250</v>
      </c>
      <c r="G60" s="20">
        <v>260</v>
      </c>
      <c r="H60" s="20">
        <v>270</v>
      </c>
      <c r="I60" s="20">
        <v>280</v>
      </c>
      <c r="J60" s="43">
        <v>240</v>
      </c>
      <c r="K60" s="43">
        <v>260</v>
      </c>
      <c r="L60" s="18" t="s">
        <v>33</v>
      </c>
      <c r="M60" s="20">
        <v>250</v>
      </c>
      <c r="N60" s="20">
        <v>260</v>
      </c>
      <c r="O60" s="20">
        <v>270</v>
      </c>
      <c r="P60" s="13">
        <v>280</v>
      </c>
      <c r="Q60" s="13">
        <v>290</v>
      </c>
      <c r="R60" s="20">
        <v>300</v>
      </c>
      <c r="S60" s="43">
        <v>250</v>
      </c>
      <c r="T60" s="43">
        <v>270</v>
      </c>
      <c r="U60" s="18" t="s">
        <v>33</v>
      </c>
      <c r="V60" s="20">
        <v>270</v>
      </c>
      <c r="W60" s="20">
        <v>280</v>
      </c>
      <c r="X60" s="20">
        <v>290</v>
      </c>
      <c r="Y60" s="20">
        <v>300</v>
      </c>
      <c r="Z60" s="20">
        <v>310</v>
      </c>
      <c r="AA60" s="20">
        <v>320</v>
      </c>
      <c r="AB60" s="43">
        <v>260</v>
      </c>
      <c r="AC60" s="43">
        <v>280</v>
      </c>
      <c r="AD60" s="18" t="s">
        <v>33</v>
      </c>
      <c r="AE60" s="20">
        <v>300</v>
      </c>
      <c r="AF60" s="20">
        <v>310</v>
      </c>
      <c r="AG60" s="20">
        <v>320</v>
      </c>
      <c r="AH60" s="20">
        <v>330</v>
      </c>
      <c r="AI60" s="20">
        <v>340</v>
      </c>
      <c r="AJ60" s="20">
        <v>350</v>
      </c>
      <c r="AK60" s="43">
        <v>290</v>
      </c>
      <c r="AL60" s="43">
        <v>310</v>
      </c>
      <c r="AM60"/>
    </row>
    <row r="61" spans="1:39" ht="9.75" customHeight="1" x14ac:dyDescent="0.25">
      <c r="A61" s="18" t="s">
        <v>34</v>
      </c>
      <c r="B61" s="24" t="s">
        <v>31</v>
      </c>
      <c r="C61" s="19"/>
      <c r="D61" s="20">
        <v>240</v>
      </c>
      <c r="E61" s="20">
        <v>250</v>
      </c>
      <c r="F61" s="20">
        <v>260</v>
      </c>
      <c r="G61" s="20">
        <v>270</v>
      </c>
      <c r="H61" s="20">
        <v>280</v>
      </c>
      <c r="I61" s="20">
        <v>290</v>
      </c>
      <c r="J61" s="43">
        <v>250</v>
      </c>
      <c r="K61" s="43">
        <v>270</v>
      </c>
      <c r="L61" s="18" t="s">
        <v>34</v>
      </c>
      <c r="M61" s="20">
        <v>260</v>
      </c>
      <c r="N61" s="20">
        <v>270</v>
      </c>
      <c r="O61" s="13">
        <v>280</v>
      </c>
      <c r="P61" s="13">
        <v>290</v>
      </c>
      <c r="Q61" s="20">
        <v>300</v>
      </c>
      <c r="R61" s="20">
        <v>310</v>
      </c>
      <c r="S61" s="43">
        <v>260</v>
      </c>
      <c r="T61" s="43">
        <v>280</v>
      </c>
      <c r="U61" s="18" t="s">
        <v>34</v>
      </c>
      <c r="V61" s="20">
        <v>280</v>
      </c>
      <c r="W61" s="20">
        <v>290</v>
      </c>
      <c r="X61" s="20">
        <v>300</v>
      </c>
      <c r="Y61" s="20">
        <v>310</v>
      </c>
      <c r="Z61" s="20">
        <v>320</v>
      </c>
      <c r="AA61" s="20">
        <v>330</v>
      </c>
      <c r="AB61" s="43">
        <v>270</v>
      </c>
      <c r="AC61" s="43">
        <v>290</v>
      </c>
      <c r="AD61" s="18" t="s">
        <v>34</v>
      </c>
      <c r="AE61" s="20">
        <v>310</v>
      </c>
      <c r="AF61" s="20">
        <v>320</v>
      </c>
      <c r="AG61" s="20">
        <v>330</v>
      </c>
      <c r="AH61" s="20">
        <v>340</v>
      </c>
      <c r="AI61" s="20">
        <v>350</v>
      </c>
      <c r="AJ61" s="20">
        <v>360</v>
      </c>
      <c r="AK61" s="43">
        <v>300</v>
      </c>
      <c r="AL61" s="43">
        <v>320</v>
      </c>
      <c r="AM61"/>
    </row>
    <row r="62" spans="1:39" ht="9.75" customHeight="1" x14ac:dyDescent="0.25">
      <c r="A62" s="18" t="s">
        <v>35</v>
      </c>
      <c r="B62" s="24" t="s">
        <v>31</v>
      </c>
      <c r="C62" s="19"/>
      <c r="D62" s="20">
        <v>250</v>
      </c>
      <c r="E62" s="20">
        <v>260</v>
      </c>
      <c r="F62" s="20">
        <v>270</v>
      </c>
      <c r="G62" s="20">
        <v>280</v>
      </c>
      <c r="H62" s="20">
        <v>290</v>
      </c>
      <c r="I62" s="36"/>
      <c r="J62" s="43">
        <v>260</v>
      </c>
      <c r="K62" s="43">
        <v>280</v>
      </c>
      <c r="L62" s="18" t="s">
        <v>35</v>
      </c>
      <c r="M62" s="20">
        <v>270</v>
      </c>
      <c r="N62" s="13">
        <v>280</v>
      </c>
      <c r="O62" s="13">
        <v>290</v>
      </c>
      <c r="P62" s="20">
        <v>300</v>
      </c>
      <c r="Q62" s="20">
        <v>310</v>
      </c>
      <c r="R62" s="13"/>
      <c r="S62" s="43">
        <v>270</v>
      </c>
      <c r="T62" s="43">
        <v>290</v>
      </c>
      <c r="U62" s="18" t="s">
        <v>35</v>
      </c>
      <c r="V62" s="20">
        <v>290</v>
      </c>
      <c r="W62" s="20">
        <v>300</v>
      </c>
      <c r="X62" s="20">
        <v>310</v>
      </c>
      <c r="Y62" s="20">
        <v>320</v>
      </c>
      <c r="Z62" s="20">
        <v>330</v>
      </c>
      <c r="AA62" s="36"/>
      <c r="AB62" s="43">
        <v>280</v>
      </c>
      <c r="AC62" s="43">
        <v>300</v>
      </c>
      <c r="AD62" s="18" t="s">
        <v>35</v>
      </c>
      <c r="AE62" s="20">
        <v>320</v>
      </c>
      <c r="AF62" s="20">
        <v>330</v>
      </c>
      <c r="AG62" s="20">
        <v>340</v>
      </c>
      <c r="AH62" s="20">
        <v>350</v>
      </c>
      <c r="AI62" s="20">
        <v>360</v>
      </c>
      <c r="AJ62" s="36"/>
      <c r="AK62" s="43">
        <v>310</v>
      </c>
      <c r="AL62" s="43">
        <v>330</v>
      </c>
      <c r="AM62"/>
    </row>
    <row r="63" spans="1:39" ht="9.75" customHeight="1" x14ac:dyDescent="0.25">
      <c r="A63" s="18" t="s">
        <v>36</v>
      </c>
      <c r="B63" s="24" t="s">
        <v>37</v>
      </c>
      <c r="C63" s="19"/>
      <c r="D63" s="20">
        <v>260</v>
      </c>
      <c r="E63" s="20">
        <v>270</v>
      </c>
      <c r="F63" s="20">
        <v>280</v>
      </c>
      <c r="G63" s="20">
        <v>290</v>
      </c>
      <c r="H63" s="36"/>
      <c r="I63" s="36"/>
      <c r="J63" s="43">
        <v>270</v>
      </c>
      <c r="K63" s="36"/>
      <c r="L63" s="18" t="s">
        <v>36</v>
      </c>
      <c r="M63" s="13">
        <v>280</v>
      </c>
      <c r="N63" s="13">
        <v>290</v>
      </c>
      <c r="O63" s="20">
        <v>300</v>
      </c>
      <c r="P63" s="20">
        <v>310</v>
      </c>
      <c r="Q63" s="13"/>
      <c r="R63" s="13"/>
      <c r="S63" s="43">
        <v>280</v>
      </c>
      <c r="T63" s="13"/>
      <c r="U63" s="18" t="s">
        <v>36</v>
      </c>
      <c r="V63" s="20">
        <v>300</v>
      </c>
      <c r="W63" s="20">
        <v>310</v>
      </c>
      <c r="X63" s="20">
        <v>320</v>
      </c>
      <c r="Y63" s="20">
        <v>330</v>
      </c>
      <c r="Z63" s="36"/>
      <c r="AA63" s="36"/>
      <c r="AB63" s="43">
        <v>290</v>
      </c>
      <c r="AC63" s="36"/>
      <c r="AD63" s="18" t="s">
        <v>36</v>
      </c>
      <c r="AE63" s="20">
        <v>330</v>
      </c>
      <c r="AF63" s="20">
        <v>340</v>
      </c>
      <c r="AG63" s="20">
        <v>350</v>
      </c>
      <c r="AH63" s="20">
        <v>360</v>
      </c>
      <c r="AI63" s="36"/>
      <c r="AJ63" s="36"/>
      <c r="AK63" s="43">
        <v>320</v>
      </c>
      <c r="AL63" s="36"/>
      <c r="AM63"/>
    </row>
    <row r="64" spans="1:39" ht="9.75" customHeight="1" x14ac:dyDescent="0.25">
      <c r="A64" s="20" t="s">
        <v>38</v>
      </c>
      <c r="B64" s="18" t="s">
        <v>39</v>
      </c>
      <c r="C64" s="19"/>
      <c r="D64" s="20">
        <v>270</v>
      </c>
      <c r="E64" s="20">
        <v>280</v>
      </c>
      <c r="F64" s="20">
        <v>290</v>
      </c>
      <c r="G64" s="36"/>
      <c r="H64" s="36"/>
      <c r="I64" s="36"/>
      <c r="J64" s="36"/>
      <c r="K64" s="36"/>
      <c r="L64" s="20" t="s">
        <v>38</v>
      </c>
      <c r="M64" s="13">
        <v>290</v>
      </c>
      <c r="N64" s="20">
        <v>300</v>
      </c>
      <c r="O64" s="20">
        <v>310</v>
      </c>
      <c r="P64" s="13"/>
      <c r="Q64" s="13"/>
      <c r="R64" s="13"/>
      <c r="S64" s="13"/>
      <c r="T64" s="13"/>
      <c r="U64" s="20" t="s">
        <v>38</v>
      </c>
      <c r="V64" s="20">
        <v>310</v>
      </c>
      <c r="W64" s="20">
        <v>320</v>
      </c>
      <c r="X64" s="20">
        <v>330</v>
      </c>
      <c r="Y64" s="36"/>
      <c r="Z64" s="36"/>
      <c r="AA64" s="36"/>
      <c r="AB64" s="36"/>
      <c r="AC64" s="36"/>
      <c r="AD64" s="20" t="s">
        <v>38</v>
      </c>
      <c r="AE64" s="20">
        <v>340</v>
      </c>
      <c r="AF64" s="20">
        <v>350</v>
      </c>
      <c r="AG64" s="20">
        <v>360</v>
      </c>
      <c r="AH64" s="36"/>
      <c r="AI64" s="36"/>
      <c r="AJ64" s="36"/>
      <c r="AK64" s="36"/>
      <c r="AL64" s="36"/>
      <c r="AM64"/>
    </row>
    <row r="65" spans="1:39" ht="9.75" customHeight="1" x14ac:dyDescent="0.25">
      <c r="A65" s="20" t="s">
        <v>40</v>
      </c>
      <c r="B65" s="18" t="s">
        <v>41</v>
      </c>
      <c r="C65" s="19"/>
      <c r="D65" s="20">
        <v>280</v>
      </c>
      <c r="E65" s="20">
        <v>290</v>
      </c>
      <c r="F65" s="36"/>
      <c r="G65" s="36"/>
      <c r="H65" s="36"/>
      <c r="I65" s="36"/>
      <c r="J65" s="36"/>
      <c r="K65" s="36"/>
      <c r="L65" s="20" t="s">
        <v>40</v>
      </c>
      <c r="M65" s="20">
        <v>300</v>
      </c>
      <c r="N65" s="20">
        <v>310</v>
      </c>
      <c r="O65" s="13"/>
      <c r="P65" s="13"/>
      <c r="Q65" s="13"/>
      <c r="R65" s="13"/>
      <c r="S65" s="13"/>
      <c r="T65" s="13"/>
      <c r="U65" s="20" t="s">
        <v>40</v>
      </c>
      <c r="V65" s="20">
        <v>320</v>
      </c>
      <c r="W65" s="20">
        <v>330</v>
      </c>
      <c r="X65" s="36"/>
      <c r="Y65" s="36"/>
      <c r="Z65" s="36"/>
      <c r="AA65" s="36"/>
      <c r="AB65" s="36"/>
      <c r="AC65" s="36"/>
      <c r="AD65" s="20" t="s">
        <v>40</v>
      </c>
      <c r="AE65" s="20">
        <v>350</v>
      </c>
      <c r="AF65" s="20">
        <v>360</v>
      </c>
      <c r="AG65" s="36"/>
      <c r="AH65" s="36"/>
      <c r="AI65" s="36"/>
      <c r="AJ65" s="36"/>
      <c r="AK65" s="36"/>
      <c r="AL65" s="36"/>
      <c r="AM65"/>
    </row>
    <row r="66" spans="1:39" ht="9.75" customHeight="1" x14ac:dyDescent="0.25">
      <c r="A66" s="20" t="s">
        <v>42</v>
      </c>
      <c r="B66" s="18" t="s">
        <v>43</v>
      </c>
      <c r="C66" s="19"/>
      <c r="D66" s="20">
        <v>290</v>
      </c>
      <c r="E66" s="36"/>
      <c r="F66" s="36"/>
      <c r="G66" s="36"/>
      <c r="H66" s="36"/>
      <c r="I66" s="36"/>
      <c r="J66" s="36"/>
      <c r="K66" s="36"/>
      <c r="L66" s="20" t="s">
        <v>42</v>
      </c>
      <c r="M66" s="20">
        <v>310</v>
      </c>
      <c r="N66" s="13"/>
      <c r="O66" s="13"/>
      <c r="P66" s="13"/>
      <c r="Q66" s="13"/>
      <c r="R66" s="13"/>
      <c r="S66" s="13"/>
      <c r="T66" s="13"/>
      <c r="U66" s="20" t="s">
        <v>42</v>
      </c>
      <c r="V66" s="20">
        <v>330</v>
      </c>
      <c r="W66" s="36"/>
      <c r="X66" s="36"/>
      <c r="Y66" s="36"/>
      <c r="Z66" s="36"/>
      <c r="AA66" s="36"/>
      <c r="AB66" s="36"/>
      <c r="AC66" s="36"/>
      <c r="AD66" s="20" t="s">
        <v>42</v>
      </c>
      <c r="AE66" s="20">
        <v>360</v>
      </c>
      <c r="AF66" s="36"/>
      <c r="AG66" s="36"/>
      <c r="AH66" s="36"/>
      <c r="AI66" s="36"/>
      <c r="AJ66" s="36"/>
      <c r="AK66" s="36"/>
      <c r="AL66" s="36"/>
      <c r="AM66"/>
    </row>
    <row r="67" spans="1:39" x14ac:dyDescent="0.25">
      <c r="AF67" s="194" t="s">
        <v>72</v>
      </c>
      <c r="AG67" s="194"/>
      <c r="AH67" s="194"/>
      <c r="AI67" s="194"/>
      <c r="AJ67" s="194"/>
      <c r="AK67" s="194"/>
      <c r="AL67" s="194"/>
    </row>
  </sheetData>
  <mergeCells count="26">
    <mergeCell ref="A2:B2"/>
    <mergeCell ref="D2:K2"/>
    <mergeCell ref="M2:T2"/>
    <mergeCell ref="V2:AC2"/>
    <mergeCell ref="AE2:AL2"/>
    <mergeCell ref="AE19:AL19"/>
    <mergeCell ref="D1:K1"/>
    <mergeCell ref="M1:T1"/>
    <mergeCell ref="V1:AC1"/>
    <mergeCell ref="AE1:AL1"/>
    <mergeCell ref="A3:B3"/>
    <mergeCell ref="A19:B19"/>
    <mergeCell ref="D19:K19"/>
    <mergeCell ref="M19:T19"/>
    <mergeCell ref="V19:AC19"/>
    <mergeCell ref="AF67:AL67"/>
    <mergeCell ref="A35:B35"/>
    <mergeCell ref="D35:K35"/>
    <mergeCell ref="M35:T35"/>
    <mergeCell ref="V35:AC35"/>
    <mergeCell ref="AE35:AL35"/>
    <mergeCell ref="A51:B51"/>
    <mergeCell ref="D51:K51"/>
    <mergeCell ref="M51:T51"/>
    <mergeCell ref="V51:AC51"/>
    <mergeCell ref="AE51:AL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10"/>
  <sheetViews>
    <sheetView workbookViewId="0">
      <selection activeCell="P32" sqref="A1:XFD1048576"/>
    </sheetView>
  </sheetViews>
  <sheetFormatPr defaultRowHeight="15" x14ac:dyDescent="0.25"/>
  <cols>
    <col min="1" max="1" width="21.7109375" customWidth="1"/>
    <col min="2" max="2" width="3.7109375" customWidth="1"/>
    <col min="3" max="6" width="6" hidden="1" customWidth="1"/>
    <col min="7" max="10" width="3" customWidth="1"/>
    <col min="11" max="11" width="0.42578125" customWidth="1"/>
    <col min="12" max="12" width="3.7109375" customWidth="1"/>
    <col min="13" max="16" width="6" hidden="1" customWidth="1"/>
    <col min="17" max="20" width="3" customWidth="1"/>
    <col min="21" max="21" width="0.42578125" customWidth="1"/>
    <col min="22" max="22" width="3.7109375" customWidth="1"/>
    <col min="23" max="26" width="6" hidden="1" customWidth="1"/>
    <col min="27" max="30" width="3" customWidth="1"/>
    <col min="31" max="31" width="0.42578125" customWidth="1"/>
    <col min="32" max="32" width="3.7109375" customWidth="1"/>
    <col min="33" max="36" width="6" hidden="1" customWidth="1"/>
    <col min="37" max="40" width="3" customWidth="1"/>
    <col min="41" max="41" width="0.42578125" customWidth="1"/>
    <col min="42" max="42" width="3.7109375" customWidth="1"/>
    <col min="43" max="46" width="6" hidden="1" customWidth="1"/>
    <col min="47" max="50" width="3" customWidth="1"/>
    <col min="51" max="51" width="0.42578125" customWidth="1"/>
    <col min="52" max="52" width="3.7109375" customWidth="1"/>
    <col min="53" max="56" width="6" hidden="1" customWidth="1"/>
    <col min="57" max="60" width="3" customWidth="1"/>
    <col min="61" max="61" width="6.140625" customWidth="1"/>
    <col min="62" max="62" width="6" customWidth="1"/>
    <col min="63" max="256" width="9.5703125" customWidth="1"/>
    <col min="257" max="1024" width="12.28515625" customWidth="1"/>
    <col min="1025" max="1025" width="10.28515625" customWidth="1"/>
  </cols>
  <sheetData>
    <row r="1" spans="1:62" ht="18.75" customHeight="1" x14ac:dyDescent="0.25">
      <c r="A1" s="208" t="s">
        <v>73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</row>
    <row r="2" spans="1:62" ht="12" customHeight="1" x14ac:dyDescent="0.25">
      <c r="A2" s="209" t="s">
        <v>74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09"/>
      <c r="AS2" s="209"/>
      <c r="AT2" s="209"/>
      <c r="AU2" s="209"/>
      <c r="AV2" s="209"/>
      <c r="AW2" s="209"/>
      <c r="AX2" s="209"/>
      <c r="AY2" s="209"/>
      <c r="AZ2" s="209"/>
      <c r="BA2" s="209"/>
      <c r="BB2" s="209"/>
      <c r="BC2" s="209"/>
      <c r="BD2" s="209"/>
      <c r="BE2" s="209"/>
      <c r="BF2" s="209"/>
      <c r="BG2" s="209"/>
      <c r="BH2" s="209"/>
      <c r="BJ2" s="45"/>
    </row>
    <row r="3" spans="1:62" x14ac:dyDescent="0.25">
      <c r="A3" s="46"/>
      <c r="B3" s="47" t="s">
        <v>75</v>
      </c>
      <c r="C3" s="48" t="s">
        <v>76</v>
      </c>
      <c r="D3" s="49" t="s">
        <v>77</v>
      </c>
      <c r="E3" s="49" t="s">
        <v>78</v>
      </c>
      <c r="F3" s="50" t="s">
        <v>79</v>
      </c>
      <c r="G3" s="207" t="s">
        <v>80</v>
      </c>
      <c r="H3" s="207"/>
      <c r="I3" s="207"/>
      <c r="J3" s="207"/>
      <c r="K3" s="51"/>
      <c r="L3" s="47" t="s">
        <v>75</v>
      </c>
      <c r="M3" s="48" t="s">
        <v>76</v>
      </c>
      <c r="N3" s="49" t="s">
        <v>77</v>
      </c>
      <c r="O3" s="49" t="s">
        <v>78</v>
      </c>
      <c r="P3" s="50" t="s">
        <v>79</v>
      </c>
      <c r="Q3" s="207" t="s">
        <v>81</v>
      </c>
      <c r="R3" s="207"/>
      <c r="S3" s="207"/>
      <c r="T3" s="207"/>
      <c r="U3" s="51"/>
      <c r="V3" s="47" t="s">
        <v>75</v>
      </c>
      <c r="W3" s="48" t="s">
        <v>76</v>
      </c>
      <c r="X3" s="49" t="s">
        <v>77</v>
      </c>
      <c r="Y3" s="49" t="s">
        <v>78</v>
      </c>
      <c r="Z3" s="50" t="s">
        <v>79</v>
      </c>
      <c r="AA3" s="207" t="s">
        <v>82</v>
      </c>
      <c r="AB3" s="207"/>
      <c r="AC3" s="207"/>
      <c r="AD3" s="207"/>
      <c r="AE3" s="51"/>
      <c r="AF3" s="47" t="s">
        <v>75</v>
      </c>
      <c r="AG3" s="49" t="s">
        <v>76</v>
      </c>
      <c r="AH3" s="49" t="s">
        <v>77</v>
      </c>
      <c r="AI3" s="49" t="s">
        <v>78</v>
      </c>
      <c r="AJ3" s="49" t="s">
        <v>79</v>
      </c>
      <c r="AK3" s="207" t="s">
        <v>83</v>
      </c>
      <c r="AL3" s="207"/>
      <c r="AM3" s="207"/>
      <c r="AN3" s="207"/>
      <c r="AO3" s="51"/>
      <c r="AP3" s="47" t="s">
        <v>75</v>
      </c>
      <c r="AQ3" s="48" t="s">
        <v>76</v>
      </c>
      <c r="AR3" s="49" t="s">
        <v>77</v>
      </c>
      <c r="AS3" s="49" t="s">
        <v>78</v>
      </c>
      <c r="AT3" s="50" t="s">
        <v>79</v>
      </c>
      <c r="AU3" s="207" t="s">
        <v>84</v>
      </c>
      <c r="AV3" s="207"/>
      <c r="AW3" s="207"/>
      <c r="AX3" s="207"/>
      <c r="AY3" s="51"/>
      <c r="AZ3" s="47" t="s">
        <v>75</v>
      </c>
      <c r="BA3" s="48" t="s">
        <v>76</v>
      </c>
      <c r="BB3" s="49" t="s">
        <v>77</v>
      </c>
      <c r="BC3" s="49" t="s">
        <v>78</v>
      </c>
      <c r="BD3" s="50" t="s">
        <v>79</v>
      </c>
      <c r="BE3" s="207" t="s">
        <v>85</v>
      </c>
      <c r="BF3" s="207"/>
      <c r="BG3" s="207"/>
      <c r="BH3" s="207"/>
      <c r="BJ3" s="45"/>
    </row>
    <row r="4" spans="1:62" ht="11.25" customHeight="1" x14ac:dyDescent="0.25">
      <c r="A4" s="52" t="s">
        <v>86</v>
      </c>
      <c r="B4" s="53" t="s">
        <v>87</v>
      </c>
      <c r="C4" s="54" t="s">
        <v>88</v>
      </c>
      <c r="D4" s="55" t="s">
        <v>88</v>
      </c>
      <c r="E4" s="55" t="s">
        <v>88</v>
      </c>
      <c r="F4" s="56" t="s">
        <v>88</v>
      </c>
      <c r="G4" s="57">
        <v>20</v>
      </c>
      <c r="H4" s="57">
        <v>30</v>
      </c>
      <c r="I4" s="57">
        <v>40</v>
      </c>
      <c r="J4" s="57">
        <v>70</v>
      </c>
      <c r="K4" s="58"/>
      <c r="L4" s="53" t="s">
        <v>87</v>
      </c>
      <c r="M4" s="54" t="s">
        <v>88</v>
      </c>
      <c r="N4" s="55" t="s">
        <v>88</v>
      </c>
      <c r="O4" s="55" t="s">
        <v>88</v>
      </c>
      <c r="P4" s="56" t="s">
        <v>88</v>
      </c>
      <c r="Q4" s="57">
        <v>20</v>
      </c>
      <c r="R4" s="57">
        <v>30</v>
      </c>
      <c r="S4" s="57">
        <v>40</v>
      </c>
      <c r="T4" s="57">
        <v>70</v>
      </c>
      <c r="U4" s="58"/>
      <c r="V4" s="53" t="s">
        <v>87</v>
      </c>
      <c r="W4" s="54" t="s">
        <v>88</v>
      </c>
      <c r="X4" s="55" t="s">
        <v>88</v>
      </c>
      <c r="Y4" s="55" t="s">
        <v>88</v>
      </c>
      <c r="Z4" s="56" t="s">
        <v>88</v>
      </c>
      <c r="AA4" s="57">
        <v>20</v>
      </c>
      <c r="AB4" s="57">
        <v>30</v>
      </c>
      <c r="AC4" s="57">
        <v>40</v>
      </c>
      <c r="AD4" s="57">
        <v>70</v>
      </c>
      <c r="AE4" s="58"/>
      <c r="AF4" s="53" t="s">
        <v>87</v>
      </c>
      <c r="AG4" s="55" t="s">
        <v>88</v>
      </c>
      <c r="AH4" s="55" t="s">
        <v>88</v>
      </c>
      <c r="AI4" s="55" t="s">
        <v>88</v>
      </c>
      <c r="AJ4" s="55" t="s">
        <v>88</v>
      </c>
      <c r="AK4" s="57">
        <v>20</v>
      </c>
      <c r="AL4" s="57">
        <v>30</v>
      </c>
      <c r="AM4" s="57">
        <v>40</v>
      </c>
      <c r="AN4" s="57">
        <v>70</v>
      </c>
      <c r="AO4" s="58"/>
      <c r="AP4" s="53" t="s">
        <v>87</v>
      </c>
      <c r="AQ4" s="54" t="s">
        <v>88</v>
      </c>
      <c r="AR4" s="55" t="s">
        <v>88</v>
      </c>
      <c r="AS4" s="55" t="s">
        <v>88</v>
      </c>
      <c r="AT4" s="56" t="s">
        <v>88</v>
      </c>
      <c r="AU4" s="57">
        <v>20</v>
      </c>
      <c r="AV4" s="57">
        <v>30</v>
      </c>
      <c r="AW4" s="57">
        <v>40</v>
      </c>
      <c r="AX4" s="57">
        <v>70</v>
      </c>
      <c r="AY4" s="58"/>
      <c r="AZ4" s="53" t="s">
        <v>87</v>
      </c>
      <c r="BA4" s="54" t="s">
        <v>88</v>
      </c>
      <c r="BB4" s="55" t="s">
        <v>88</v>
      </c>
      <c r="BC4" s="55" t="s">
        <v>88</v>
      </c>
      <c r="BD4" s="56" t="s">
        <v>88</v>
      </c>
      <c r="BE4" s="57">
        <v>20</v>
      </c>
      <c r="BF4" s="57">
        <v>30</v>
      </c>
      <c r="BG4" s="57">
        <v>40</v>
      </c>
      <c r="BH4" s="57">
        <v>70</v>
      </c>
      <c r="BJ4" s="45"/>
    </row>
    <row r="5" spans="1:62" ht="11.25" customHeight="1" x14ac:dyDescent="0.25">
      <c r="A5" s="59"/>
      <c r="B5" s="60" t="s">
        <v>89</v>
      </c>
      <c r="C5" s="61" t="s">
        <v>90</v>
      </c>
      <c r="D5" s="62" t="s">
        <v>90</v>
      </c>
      <c r="E5" s="62" t="s">
        <v>90</v>
      </c>
      <c r="F5" s="63" t="s">
        <v>90</v>
      </c>
      <c r="G5" s="64" t="s">
        <v>91</v>
      </c>
      <c r="H5" s="64" t="s">
        <v>91</v>
      </c>
      <c r="I5" s="64" t="s">
        <v>91</v>
      </c>
      <c r="J5" s="64" t="s">
        <v>91</v>
      </c>
      <c r="K5" s="58"/>
      <c r="L5" s="60" t="s">
        <v>89</v>
      </c>
      <c r="M5" s="61" t="s">
        <v>90</v>
      </c>
      <c r="N5" s="62" t="s">
        <v>90</v>
      </c>
      <c r="O5" s="62" t="s">
        <v>90</v>
      </c>
      <c r="P5" s="63" t="s">
        <v>90</v>
      </c>
      <c r="Q5" s="64" t="s">
        <v>91</v>
      </c>
      <c r="R5" s="64" t="s">
        <v>91</v>
      </c>
      <c r="S5" s="64" t="s">
        <v>91</v>
      </c>
      <c r="T5" s="64" t="s">
        <v>91</v>
      </c>
      <c r="U5" s="58"/>
      <c r="V5" s="60" t="s">
        <v>89</v>
      </c>
      <c r="W5" s="61" t="s">
        <v>90</v>
      </c>
      <c r="X5" s="62" t="s">
        <v>90</v>
      </c>
      <c r="Y5" s="62" t="s">
        <v>90</v>
      </c>
      <c r="Z5" s="63" t="s">
        <v>90</v>
      </c>
      <c r="AA5" s="64" t="s">
        <v>91</v>
      </c>
      <c r="AB5" s="64" t="s">
        <v>91</v>
      </c>
      <c r="AC5" s="64" t="s">
        <v>91</v>
      </c>
      <c r="AD5" s="64" t="s">
        <v>91</v>
      </c>
      <c r="AE5" s="58"/>
      <c r="AF5" s="60" t="s">
        <v>89</v>
      </c>
      <c r="AG5" s="55" t="s">
        <v>90</v>
      </c>
      <c r="AH5" s="55" t="s">
        <v>90</v>
      </c>
      <c r="AI5" s="55" t="s">
        <v>90</v>
      </c>
      <c r="AJ5" s="55" t="s">
        <v>90</v>
      </c>
      <c r="AK5" s="64" t="s">
        <v>91</v>
      </c>
      <c r="AL5" s="64" t="s">
        <v>91</v>
      </c>
      <c r="AM5" s="64" t="s">
        <v>91</v>
      </c>
      <c r="AN5" s="64" t="s">
        <v>91</v>
      </c>
      <c r="AO5" s="58"/>
      <c r="AP5" s="60" t="s">
        <v>89</v>
      </c>
      <c r="AQ5" s="61" t="s">
        <v>90</v>
      </c>
      <c r="AR5" s="62" t="s">
        <v>90</v>
      </c>
      <c r="AS5" s="62" t="s">
        <v>90</v>
      </c>
      <c r="AT5" s="63" t="s">
        <v>90</v>
      </c>
      <c r="AU5" s="64" t="s">
        <v>91</v>
      </c>
      <c r="AV5" s="64" t="s">
        <v>91</v>
      </c>
      <c r="AW5" s="64" t="s">
        <v>91</v>
      </c>
      <c r="AX5" s="64" t="s">
        <v>91</v>
      </c>
      <c r="AY5" s="58"/>
      <c r="AZ5" s="60" t="s">
        <v>89</v>
      </c>
      <c r="BA5" s="61" t="s">
        <v>90</v>
      </c>
      <c r="BB5" s="62" t="s">
        <v>90</v>
      </c>
      <c r="BC5" s="62" t="s">
        <v>90</v>
      </c>
      <c r="BD5" s="63" t="s">
        <v>90</v>
      </c>
      <c r="BE5" s="64" t="s">
        <v>91</v>
      </c>
      <c r="BF5" s="64" t="s">
        <v>91</v>
      </c>
      <c r="BG5" s="64" t="s">
        <v>91</v>
      </c>
      <c r="BH5" s="64" t="s">
        <v>91</v>
      </c>
      <c r="BJ5" s="45"/>
    </row>
    <row r="6" spans="1:62" ht="13.5" customHeight="1" x14ac:dyDescent="0.25">
      <c r="A6" s="65" t="s">
        <v>92</v>
      </c>
      <c r="B6" s="66">
        <v>3600</v>
      </c>
      <c r="C6" s="67">
        <v>2.8400000000000002E-2</v>
      </c>
      <c r="D6" s="67">
        <v>2.75E-2</v>
      </c>
      <c r="E6" s="67">
        <v>2.63E-2</v>
      </c>
      <c r="F6" s="67">
        <v>2.3099999999999999E-2</v>
      </c>
      <c r="G6" s="66">
        <f t="shared" ref="G6:G15" si="0">(B6*C6)</f>
        <v>102.24000000000001</v>
      </c>
      <c r="H6" s="66">
        <f t="shared" ref="H6:H15" si="1">(B6*D6)</f>
        <v>99</v>
      </c>
      <c r="I6" s="66">
        <f t="shared" ref="I6:I15" si="2">(B6*E6)</f>
        <v>94.68</v>
      </c>
      <c r="J6" s="66">
        <f t="shared" ref="J6:J15" si="3">(B6*F6)</f>
        <v>83.16</v>
      </c>
      <c r="K6" s="68"/>
      <c r="L6" s="66">
        <v>3384</v>
      </c>
      <c r="M6" s="67">
        <v>2.6700000000000002E-2</v>
      </c>
      <c r="N6" s="67">
        <v>2.58E-2</v>
      </c>
      <c r="O6" s="67">
        <v>2.47E-2</v>
      </c>
      <c r="P6" s="67">
        <v>2.1700000000000001E-2</v>
      </c>
      <c r="Q6" s="66">
        <f t="shared" ref="Q6:Q15" si="4">(L6*M6)</f>
        <v>90.352800000000002</v>
      </c>
      <c r="R6" s="66">
        <f t="shared" ref="R6:R15" si="5">(L6*N6)</f>
        <v>87.307199999999995</v>
      </c>
      <c r="S6" s="66">
        <f t="shared" ref="S6:S15" si="6">(L6*O6)</f>
        <v>83.584800000000001</v>
      </c>
      <c r="T6" s="66">
        <f t="shared" ref="T6:T15" si="7">(L6*P6)</f>
        <v>73.4328</v>
      </c>
      <c r="U6" s="68"/>
      <c r="V6" s="66">
        <v>3168</v>
      </c>
      <c r="W6" s="67"/>
      <c r="X6" s="67"/>
      <c r="Y6" s="67"/>
      <c r="Z6" s="67"/>
      <c r="AA6" s="66">
        <f t="shared" ref="AA6:AA15" si="8">(V6*W6)</f>
        <v>0</v>
      </c>
      <c r="AB6" s="66">
        <f t="shared" ref="AB6:AB15" si="9">(V6*X6)</f>
        <v>0</v>
      </c>
      <c r="AC6" s="66">
        <f t="shared" ref="AC6:AC15" si="10">(V6*Y6)</f>
        <v>0</v>
      </c>
      <c r="AD6" s="66">
        <f t="shared" ref="AD6:AD15" si="11">(V6*Z6)</f>
        <v>0</v>
      </c>
      <c r="AE6" s="58"/>
      <c r="AF6" s="66">
        <v>3052</v>
      </c>
      <c r="AG6" s="69"/>
      <c r="AH6" s="70"/>
      <c r="AI6" s="70"/>
      <c r="AJ6" s="71"/>
      <c r="AK6" s="66">
        <f t="shared" ref="AK6:AK15" si="12">(AF6*AG6)</f>
        <v>0</v>
      </c>
      <c r="AL6" s="66">
        <f t="shared" ref="AL6:AL15" si="13">(AF6*AH6)</f>
        <v>0</v>
      </c>
      <c r="AM6" s="66">
        <f t="shared" ref="AM6:AM15" si="14">(AF6*AI6)</f>
        <v>0</v>
      </c>
      <c r="AN6" s="66">
        <f t="shared" ref="AN6:AN15" si="15">(AF6*AJ6)</f>
        <v>0</v>
      </c>
      <c r="AO6" s="58"/>
      <c r="AP6" s="66">
        <v>2928</v>
      </c>
      <c r="AQ6" s="67"/>
      <c r="AR6" s="67"/>
      <c r="AS6" s="67"/>
      <c r="AT6" s="67"/>
      <c r="AU6" s="72">
        <f t="shared" ref="AU6:AU15" si="16">(AP6*AQ6)</f>
        <v>0</v>
      </c>
      <c r="AV6" s="72">
        <f t="shared" ref="AV6:AV15" si="17">(AP6*AR6)</f>
        <v>0</v>
      </c>
      <c r="AW6" s="72">
        <f t="shared" ref="AW6:AW15" si="18">(AP6*AS6)</f>
        <v>0</v>
      </c>
      <c r="AX6" s="72">
        <f t="shared" ref="AX6:AX15" si="19">(AP6*AT6)</f>
        <v>0</v>
      </c>
      <c r="AY6" s="58"/>
      <c r="AZ6" s="66">
        <v>2712</v>
      </c>
      <c r="BA6" s="67"/>
      <c r="BB6" s="67"/>
      <c r="BC6" s="67"/>
      <c r="BD6" s="67"/>
      <c r="BE6" s="72">
        <f t="shared" ref="BE6:BE15" si="20">(AZ6*BA6)</f>
        <v>0</v>
      </c>
      <c r="BF6" s="72">
        <f t="shared" ref="BF6:BF15" si="21">(AZ6*BB6)</f>
        <v>0</v>
      </c>
      <c r="BG6" s="72">
        <f t="shared" ref="BG6:BG15" si="22">(AZ6*BC6)</f>
        <v>0</v>
      </c>
      <c r="BH6" s="72">
        <f t="shared" ref="BH6:BH15" si="23">(AZ6*BD6)</f>
        <v>0</v>
      </c>
      <c r="BJ6" s="73"/>
    </row>
    <row r="7" spans="1:62" ht="13.5" customHeight="1" x14ac:dyDescent="0.25">
      <c r="A7" s="74" t="s">
        <v>93</v>
      </c>
      <c r="B7" s="75">
        <v>3600</v>
      </c>
      <c r="C7" s="76">
        <v>3.7900000000000003E-2</v>
      </c>
      <c r="D7" s="76">
        <v>3.6700000000000003E-2</v>
      </c>
      <c r="E7" s="76">
        <v>3.5099999999999999E-2</v>
      </c>
      <c r="F7" s="76">
        <v>3.0800000000000001E-2</v>
      </c>
      <c r="G7" s="77">
        <f t="shared" si="0"/>
        <v>136.44</v>
      </c>
      <c r="H7" s="77">
        <f t="shared" si="1"/>
        <v>132.12</v>
      </c>
      <c r="I7" s="77">
        <f t="shared" si="2"/>
        <v>126.36</v>
      </c>
      <c r="J7" s="77">
        <f t="shared" si="3"/>
        <v>110.88000000000001</v>
      </c>
      <c r="K7" s="78"/>
      <c r="L7" s="75">
        <v>3384</v>
      </c>
      <c r="M7" s="76">
        <v>3.5499999999999997E-2</v>
      </c>
      <c r="N7" s="76">
        <v>3.44E-2</v>
      </c>
      <c r="O7" s="76">
        <v>3.2899999999999999E-2</v>
      </c>
      <c r="P7" s="76">
        <v>2.8899999999999999E-2</v>
      </c>
      <c r="Q7" s="75">
        <f t="shared" si="4"/>
        <v>120.13199999999999</v>
      </c>
      <c r="R7" s="75">
        <f t="shared" si="5"/>
        <v>116.4096</v>
      </c>
      <c r="S7" s="75">
        <f t="shared" si="6"/>
        <v>111.33359999999999</v>
      </c>
      <c r="T7" s="75">
        <f t="shared" si="7"/>
        <v>97.797599999999989</v>
      </c>
      <c r="U7" s="78"/>
      <c r="V7" s="75">
        <v>3168</v>
      </c>
      <c r="W7" s="76">
        <v>3.3099999999999997E-2</v>
      </c>
      <c r="X7" s="76">
        <v>3.2099999999999997E-2</v>
      </c>
      <c r="Y7" s="76">
        <v>3.0700000000000002E-2</v>
      </c>
      <c r="Z7" s="76">
        <v>2.7E-2</v>
      </c>
      <c r="AA7" s="75">
        <f t="shared" si="8"/>
        <v>104.8608</v>
      </c>
      <c r="AB7" s="75">
        <f t="shared" si="9"/>
        <v>101.69279999999999</v>
      </c>
      <c r="AC7" s="75">
        <f t="shared" si="10"/>
        <v>97.257600000000011</v>
      </c>
      <c r="AD7" s="75">
        <f t="shared" si="11"/>
        <v>85.536000000000001</v>
      </c>
      <c r="AE7" s="79"/>
      <c r="AF7" s="75">
        <v>3052</v>
      </c>
      <c r="AG7" s="80"/>
      <c r="AH7" s="76"/>
      <c r="AI7" s="76"/>
      <c r="AJ7" s="81"/>
      <c r="AK7" s="75">
        <f t="shared" si="12"/>
        <v>0</v>
      </c>
      <c r="AL7" s="75">
        <f t="shared" si="13"/>
        <v>0</v>
      </c>
      <c r="AM7" s="75">
        <f t="shared" si="14"/>
        <v>0</v>
      </c>
      <c r="AN7" s="75">
        <f t="shared" si="15"/>
        <v>0</v>
      </c>
      <c r="AO7" s="79"/>
      <c r="AP7" s="75">
        <v>2928</v>
      </c>
      <c r="AQ7" s="76"/>
      <c r="AR7" s="76"/>
      <c r="AS7" s="76"/>
      <c r="AT7" s="76"/>
      <c r="AU7" s="82">
        <f t="shared" si="16"/>
        <v>0</v>
      </c>
      <c r="AV7" s="82">
        <f t="shared" si="17"/>
        <v>0</v>
      </c>
      <c r="AW7" s="82">
        <f t="shared" si="18"/>
        <v>0</v>
      </c>
      <c r="AX7" s="82">
        <f t="shared" si="19"/>
        <v>0</v>
      </c>
      <c r="AY7" s="79"/>
      <c r="AZ7" s="75">
        <v>2712</v>
      </c>
      <c r="BA7" s="76"/>
      <c r="BB7" s="76"/>
      <c r="BC7" s="76"/>
      <c r="BD7" s="76"/>
      <c r="BE7" s="82">
        <f t="shared" si="20"/>
        <v>0</v>
      </c>
      <c r="BF7" s="82">
        <f t="shared" si="21"/>
        <v>0</v>
      </c>
      <c r="BG7" s="82">
        <f t="shared" si="22"/>
        <v>0</v>
      </c>
      <c r="BH7" s="82">
        <f t="shared" si="23"/>
        <v>0</v>
      </c>
      <c r="BJ7" s="45"/>
    </row>
    <row r="8" spans="1:62" ht="13.5" customHeight="1" x14ac:dyDescent="0.25">
      <c r="A8" s="65" t="s">
        <v>94</v>
      </c>
      <c r="B8" s="66">
        <v>3600</v>
      </c>
      <c r="C8" s="67"/>
      <c r="D8" s="67"/>
      <c r="E8" s="67"/>
      <c r="F8" s="67"/>
      <c r="G8" s="83">
        <f t="shared" si="0"/>
        <v>0</v>
      </c>
      <c r="H8" s="83">
        <f t="shared" si="1"/>
        <v>0</v>
      </c>
      <c r="I8" s="83">
        <f t="shared" si="2"/>
        <v>0</v>
      </c>
      <c r="J8" s="83">
        <f t="shared" si="3"/>
        <v>0</v>
      </c>
      <c r="K8" s="68"/>
      <c r="L8" s="66">
        <v>3384</v>
      </c>
      <c r="M8" s="67">
        <v>5.33E-2</v>
      </c>
      <c r="N8" s="67">
        <v>5.16E-2</v>
      </c>
      <c r="O8" s="67">
        <v>4.9299999999999997E-2</v>
      </c>
      <c r="P8" s="67">
        <v>4.3400000000000001E-2</v>
      </c>
      <c r="Q8" s="83">
        <f t="shared" si="4"/>
        <v>180.3672</v>
      </c>
      <c r="R8" s="83">
        <f t="shared" si="5"/>
        <v>174.61439999999999</v>
      </c>
      <c r="S8" s="83">
        <f t="shared" si="6"/>
        <v>166.8312</v>
      </c>
      <c r="T8" s="83">
        <f t="shared" si="7"/>
        <v>146.8656</v>
      </c>
      <c r="U8" s="68"/>
      <c r="V8" s="66">
        <v>3168</v>
      </c>
      <c r="W8" s="45">
        <v>4.9700000000000001E-2</v>
      </c>
      <c r="X8" s="45">
        <v>4.82E-2</v>
      </c>
      <c r="Y8" s="45">
        <v>4.5999999999999999E-2</v>
      </c>
      <c r="Z8" s="45">
        <v>4.0500000000000001E-2</v>
      </c>
      <c r="AA8" s="83">
        <f t="shared" si="8"/>
        <v>157.4496</v>
      </c>
      <c r="AB8" s="83">
        <f t="shared" si="9"/>
        <v>152.69759999999999</v>
      </c>
      <c r="AC8" s="83">
        <f t="shared" si="10"/>
        <v>145.72800000000001</v>
      </c>
      <c r="AD8" s="83">
        <f t="shared" si="11"/>
        <v>128.304</v>
      </c>
      <c r="AE8" s="58"/>
      <c r="AF8" s="66">
        <v>3052</v>
      </c>
      <c r="AG8" s="84">
        <v>4.7899999999999998E-2</v>
      </c>
      <c r="AH8" s="84">
        <v>4.65E-2</v>
      </c>
      <c r="AI8" s="84">
        <v>4.4400000000000002E-2</v>
      </c>
      <c r="AJ8" s="84">
        <v>3.9100000000000003E-2</v>
      </c>
      <c r="AK8" s="83">
        <f t="shared" si="12"/>
        <v>146.1908</v>
      </c>
      <c r="AL8" s="83">
        <f t="shared" si="13"/>
        <v>141.91800000000001</v>
      </c>
      <c r="AM8" s="83">
        <f t="shared" si="14"/>
        <v>135.50880000000001</v>
      </c>
      <c r="AN8" s="83">
        <f t="shared" si="15"/>
        <v>119.33320000000001</v>
      </c>
      <c r="AO8" s="58"/>
      <c r="AP8" s="66">
        <v>2928</v>
      </c>
      <c r="AQ8" s="45">
        <v>4.6100000000000002E-2</v>
      </c>
      <c r="AR8" s="45">
        <v>4.48E-2</v>
      </c>
      <c r="AS8" s="45">
        <v>4.2799999999999998E-2</v>
      </c>
      <c r="AT8" s="45">
        <v>3.7699999999999997E-2</v>
      </c>
      <c r="AU8" s="85">
        <f t="shared" si="16"/>
        <v>134.98080000000002</v>
      </c>
      <c r="AV8" s="85">
        <f t="shared" si="17"/>
        <v>131.17439999999999</v>
      </c>
      <c r="AW8" s="85">
        <f t="shared" si="18"/>
        <v>125.3184</v>
      </c>
      <c r="AX8" s="85">
        <f t="shared" si="19"/>
        <v>110.3856</v>
      </c>
      <c r="AY8" s="58"/>
      <c r="AZ8" s="66">
        <v>2712</v>
      </c>
      <c r="BA8" s="45">
        <v>4.2599999999999999E-2</v>
      </c>
      <c r="BB8" s="45">
        <v>4.1300000000000003E-2</v>
      </c>
      <c r="BC8" s="45">
        <v>3.95E-2</v>
      </c>
      <c r="BD8" s="45">
        <v>3.4799999999999998E-2</v>
      </c>
      <c r="BE8" s="85">
        <f t="shared" si="20"/>
        <v>115.5312</v>
      </c>
      <c r="BF8" s="85">
        <f t="shared" si="21"/>
        <v>112.00560000000002</v>
      </c>
      <c r="BG8" s="85">
        <f t="shared" si="22"/>
        <v>107.124</v>
      </c>
      <c r="BH8" s="85">
        <f t="shared" si="23"/>
        <v>94.377599999999987</v>
      </c>
      <c r="BJ8" s="45"/>
    </row>
    <row r="9" spans="1:62" x14ac:dyDescent="0.25">
      <c r="A9" s="86" t="s">
        <v>95</v>
      </c>
      <c r="B9" s="57">
        <v>3600</v>
      </c>
      <c r="C9" s="87"/>
      <c r="D9" s="87"/>
      <c r="E9" s="87"/>
      <c r="F9" s="87"/>
      <c r="G9" s="57">
        <f t="shared" si="0"/>
        <v>0</v>
      </c>
      <c r="H9" s="57">
        <f t="shared" si="1"/>
        <v>0</v>
      </c>
      <c r="I9" s="57">
        <f t="shared" si="2"/>
        <v>0</v>
      </c>
      <c r="J9" s="57">
        <f t="shared" si="3"/>
        <v>0</v>
      </c>
      <c r="K9" s="88"/>
      <c r="L9" s="57">
        <v>3384</v>
      </c>
      <c r="M9" s="87"/>
      <c r="N9" s="87"/>
      <c r="O9" s="87"/>
      <c r="P9" s="87"/>
      <c r="Q9" s="57">
        <f t="shared" si="4"/>
        <v>0</v>
      </c>
      <c r="R9" s="57">
        <f t="shared" si="5"/>
        <v>0</v>
      </c>
      <c r="S9" s="57">
        <f t="shared" si="6"/>
        <v>0</v>
      </c>
      <c r="T9" s="57">
        <f t="shared" si="7"/>
        <v>0</v>
      </c>
      <c r="U9" s="88"/>
      <c r="V9" s="57">
        <v>3168</v>
      </c>
      <c r="W9" s="45">
        <v>5.5199999999999999E-2</v>
      </c>
      <c r="X9" s="45">
        <v>5.3600000000000002E-2</v>
      </c>
      <c r="Y9" s="45">
        <v>5.11E-2</v>
      </c>
      <c r="Z9" s="45">
        <v>4.4999999999999998E-2</v>
      </c>
      <c r="AA9" s="57">
        <f t="shared" si="8"/>
        <v>174.87360000000001</v>
      </c>
      <c r="AB9" s="57">
        <f t="shared" si="9"/>
        <v>169.8048</v>
      </c>
      <c r="AC9" s="57">
        <f t="shared" si="10"/>
        <v>161.88480000000001</v>
      </c>
      <c r="AD9" s="57">
        <f t="shared" si="11"/>
        <v>142.56</v>
      </c>
      <c r="AE9" s="58"/>
      <c r="AF9" s="57">
        <v>3052</v>
      </c>
      <c r="AG9" s="84">
        <v>5.3199999999999997E-2</v>
      </c>
      <c r="AH9" s="84">
        <v>5.1700000000000003E-2</v>
      </c>
      <c r="AI9" s="84">
        <v>4.9299999999999997E-2</v>
      </c>
      <c r="AJ9" s="84">
        <v>4.3400000000000001E-2</v>
      </c>
      <c r="AK9" s="57">
        <f t="shared" si="12"/>
        <v>162.3664</v>
      </c>
      <c r="AL9" s="57">
        <f t="shared" si="13"/>
        <v>157.7884</v>
      </c>
      <c r="AM9" s="57">
        <f t="shared" si="14"/>
        <v>150.46359999999999</v>
      </c>
      <c r="AN9" s="57">
        <f t="shared" si="15"/>
        <v>132.45680000000002</v>
      </c>
      <c r="AO9" s="58"/>
      <c r="AP9" s="57">
        <v>2928</v>
      </c>
      <c r="AQ9" s="45">
        <v>5.1200000000000002E-2</v>
      </c>
      <c r="AR9" s="45">
        <v>4.9799999999999997E-2</v>
      </c>
      <c r="AS9" s="45">
        <v>4.7500000000000001E-2</v>
      </c>
      <c r="AT9" s="45">
        <v>4.1799999999999997E-2</v>
      </c>
      <c r="AU9" s="89">
        <f t="shared" si="16"/>
        <v>149.9136</v>
      </c>
      <c r="AV9" s="89">
        <f t="shared" si="17"/>
        <v>145.81439999999998</v>
      </c>
      <c r="AW9" s="89">
        <f t="shared" si="18"/>
        <v>139.08000000000001</v>
      </c>
      <c r="AX9" s="89">
        <f t="shared" si="19"/>
        <v>122.39039999999999</v>
      </c>
      <c r="AY9" s="58"/>
      <c r="AZ9" s="57">
        <v>2712</v>
      </c>
      <c r="BA9" s="45">
        <v>4.7300000000000002E-2</v>
      </c>
      <c r="BB9" s="45">
        <v>4.5999999999999999E-2</v>
      </c>
      <c r="BC9" s="45">
        <v>4.3799999999999999E-2</v>
      </c>
      <c r="BD9" s="45">
        <v>3.8600000000000002E-2</v>
      </c>
      <c r="BE9" s="89">
        <f t="shared" si="20"/>
        <v>128.27760000000001</v>
      </c>
      <c r="BF9" s="89">
        <f t="shared" si="21"/>
        <v>124.752</v>
      </c>
      <c r="BG9" s="89">
        <f t="shared" si="22"/>
        <v>118.7856</v>
      </c>
      <c r="BH9" s="89">
        <f t="shared" si="23"/>
        <v>104.6832</v>
      </c>
      <c r="BJ9" s="45"/>
    </row>
    <row r="10" spans="1:62" x14ac:dyDescent="0.25">
      <c r="A10" s="65" t="s">
        <v>96</v>
      </c>
      <c r="B10" s="66">
        <v>3600</v>
      </c>
      <c r="C10" s="67"/>
      <c r="D10" s="67"/>
      <c r="E10" s="67"/>
      <c r="F10" s="67"/>
      <c r="G10" s="66">
        <f t="shared" si="0"/>
        <v>0</v>
      </c>
      <c r="H10" s="66">
        <f t="shared" si="1"/>
        <v>0</v>
      </c>
      <c r="I10" s="66">
        <f t="shared" si="2"/>
        <v>0</v>
      </c>
      <c r="J10" s="66">
        <f t="shared" si="3"/>
        <v>0</v>
      </c>
      <c r="K10" s="68"/>
      <c r="L10" s="66">
        <v>3384</v>
      </c>
      <c r="M10" s="67"/>
      <c r="N10" s="67"/>
      <c r="O10" s="67"/>
      <c r="P10" s="67"/>
      <c r="Q10" s="66">
        <f t="shared" si="4"/>
        <v>0</v>
      </c>
      <c r="R10" s="66">
        <f t="shared" si="5"/>
        <v>0</v>
      </c>
      <c r="S10" s="66">
        <f t="shared" si="6"/>
        <v>0</v>
      </c>
      <c r="T10" s="66">
        <f t="shared" si="7"/>
        <v>0</v>
      </c>
      <c r="U10" s="68"/>
      <c r="V10" s="66">
        <v>3168</v>
      </c>
      <c r="W10" s="45">
        <v>5.8400000000000001E-2</v>
      </c>
      <c r="X10" s="45">
        <v>5.67E-2</v>
      </c>
      <c r="Y10" s="45">
        <v>5.4100000000000002E-2</v>
      </c>
      <c r="Z10" s="45">
        <v>4.4699999999999997E-2</v>
      </c>
      <c r="AA10" s="66">
        <f t="shared" si="8"/>
        <v>185.0112</v>
      </c>
      <c r="AB10" s="66">
        <f t="shared" si="9"/>
        <v>179.62559999999999</v>
      </c>
      <c r="AC10" s="66">
        <f t="shared" si="10"/>
        <v>171.3888</v>
      </c>
      <c r="AD10" s="66">
        <f t="shared" si="11"/>
        <v>141.6096</v>
      </c>
      <c r="AE10" s="58"/>
      <c r="AF10" s="66">
        <v>3052</v>
      </c>
      <c r="AG10" s="84">
        <v>5.6300000000000003E-2</v>
      </c>
      <c r="AH10" s="84">
        <v>5.4699999999999999E-2</v>
      </c>
      <c r="AI10" s="84">
        <v>5.2200000000000003E-2</v>
      </c>
      <c r="AJ10" s="84">
        <v>4.5999999999999999E-2</v>
      </c>
      <c r="AK10" s="66">
        <f t="shared" si="12"/>
        <v>171.82760000000002</v>
      </c>
      <c r="AL10" s="66">
        <f t="shared" si="13"/>
        <v>166.9444</v>
      </c>
      <c r="AM10" s="66">
        <f t="shared" si="14"/>
        <v>159.31440000000001</v>
      </c>
      <c r="AN10" s="66">
        <f t="shared" si="15"/>
        <v>140.392</v>
      </c>
      <c r="AO10" s="58"/>
      <c r="AP10" s="66">
        <v>2928</v>
      </c>
      <c r="AQ10" s="45">
        <v>5.4199999999999998E-2</v>
      </c>
      <c r="AR10" s="45">
        <v>5.2699999999999997E-2</v>
      </c>
      <c r="AS10" s="45">
        <v>5.0299999999999997E-2</v>
      </c>
      <c r="AT10" s="45">
        <v>4.4299999999999999E-2</v>
      </c>
      <c r="AU10" s="72">
        <f t="shared" si="16"/>
        <v>158.69759999999999</v>
      </c>
      <c r="AV10" s="72">
        <f t="shared" si="17"/>
        <v>154.3056</v>
      </c>
      <c r="AW10" s="72">
        <f t="shared" si="18"/>
        <v>147.2784</v>
      </c>
      <c r="AX10" s="72">
        <f t="shared" si="19"/>
        <v>129.71039999999999</v>
      </c>
      <c r="AY10" s="58"/>
      <c r="AZ10" s="66">
        <v>2712</v>
      </c>
      <c r="BA10" s="45">
        <v>0.05</v>
      </c>
      <c r="BB10" s="45">
        <v>4.8599999999999997E-2</v>
      </c>
      <c r="BC10" s="45">
        <v>4.6399999999999997E-2</v>
      </c>
      <c r="BD10" s="45">
        <v>4.0899999999999999E-2</v>
      </c>
      <c r="BE10" s="72">
        <f t="shared" si="20"/>
        <v>135.6</v>
      </c>
      <c r="BF10" s="72">
        <f t="shared" si="21"/>
        <v>131.8032</v>
      </c>
      <c r="BG10" s="72">
        <f t="shared" si="22"/>
        <v>125.8368</v>
      </c>
      <c r="BH10" s="72">
        <f t="shared" si="23"/>
        <v>110.9208</v>
      </c>
      <c r="BJ10" s="45"/>
    </row>
    <row r="11" spans="1:62" x14ac:dyDescent="0.25">
      <c r="A11" s="86" t="s">
        <v>97</v>
      </c>
      <c r="B11" s="57">
        <v>3600</v>
      </c>
      <c r="C11" s="87"/>
      <c r="D11" s="87"/>
      <c r="E11" s="87"/>
      <c r="F11" s="87"/>
      <c r="G11" s="57">
        <f t="shared" si="0"/>
        <v>0</v>
      </c>
      <c r="H11" s="57">
        <f t="shared" si="1"/>
        <v>0</v>
      </c>
      <c r="I11" s="57">
        <f t="shared" si="2"/>
        <v>0</v>
      </c>
      <c r="J11" s="57">
        <f t="shared" si="3"/>
        <v>0</v>
      </c>
      <c r="K11" s="88"/>
      <c r="L11" s="57">
        <v>3384</v>
      </c>
      <c r="M11" s="87"/>
      <c r="N11" s="87"/>
      <c r="O11" s="87"/>
      <c r="P11" s="87"/>
      <c r="Q11" s="57">
        <f t="shared" si="4"/>
        <v>0</v>
      </c>
      <c r="R11" s="57">
        <f t="shared" si="5"/>
        <v>0</v>
      </c>
      <c r="S11" s="57">
        <f t="shared" si="6"/>
        <v>0</v>
      </c>
      <c r="T11" s="57">
        <f t="shared" si="7"/>
        <v>0</v>
      </c>
      <c r="U11" s="88"/>
      <c r="V11" s="57">
        <v>3168</v>
      </c>
      <c r="W11" s="45">
        <v>6.2E-2</v>
      </c>
      <c r="X11" s="45">
        <v>6.0299999999999999E-2</v>
      </c>
      <c r="Y11" s="45">
        <v>5.7599999999999998E-2</v>
      </c>
      <c r="Z11" s="45">
        <v>5.0599999999999999E-2</v>
      </c>
      <c r="AA11" s="57">
        <f t="shared" si="8"/>
        <v>196.416</v>
      </c>
      <c r="AB11" s="57">
        <f t="shared" si="9"/>
        <v>191.03039999999999</v>
      </c>
      <c r="AC11" s="57">
        <f t="shared" si="10"/>
        <v>182.4768</v>
      </c>
      <c r="AD11" s="57">
        <f t="shared" si="11"/>
        <v>160.30080000000001</v>
      </c>
      <c r="AE11" s="58"/>
      <c r="AF11" s="57">
        <v>3052</v>
      </c>
      <c r="AG11" s="84">
        <v>5.9799999999999999E-2</v>
      </c>
      <c r="AH11" s="84">
        <v>5.8099999999999999E-2</v>
      </c>
      <c r="AI11" s="84">
        <v>5.5500000000000001E-2</v>
      </c>
      <c r="AJ11" s="84">
        <v>4.8800000000000003E-2</v>
      </c>
      <c r="AK11" s="57">
        <f t="shared" si="12"/>
        <v>182.50960000000001</v>
      </c>
      <c r="AL11" s="57">
        <f t="shared" si="13"/>
        <v>177.3212</v>
      </c>
      <c r="AM11" s="57">
        <f t="shared" si="14"/>
        <v>169.386</v>
      </c>
      <c r="AN11" s="57">
        <f t="shared" si="15"/>
        <v>148.9376</v>
      </c>
      <c r="AO11" s="58"/>
      <c r="AP11" s="57">
        <v>2928</v>
      </c>
      <c r="AQ11" s="45">
        <v>5.7599999999999998E-2</v>
      </c>
      <c r="AR11" s="45">
        <v>5.5899999999999998E-2</v>
      </c>
      <c r="AS11" s="45">
        <v>5.3400000000000003E-2</v>
      </c>
      <c r="AT11" s="45">
        <v>4.7E-2</v>
      </c>
      <c r="AU11" s="89">
        <f t="shared" si="16"/>
        <v>168.65279999999998</v>
      </c>
      <c r="AV11" s="89">
        <f t="shared" si="17"/>
        <v>163.67519999999999</v>
      </c>
      <c r="AW11" s="89">
        <f t="shared" si="18"/>
        <v>156.3552</v>
      </c>
      <c r="AX11" s="89">
        <f t="shared" si="19"/>
        <v>137.61600000000001</v>
      </c>
      <c r="AY11" s="58"/>
      <c r="AZ11" s="57">
        <v>2712</v>
      </c>
      <c r="BA11" s="45">
        <v>5.3199999999999997E-2</v>
      </c>
      <c r="BB11" s="45">
        <v>5.16E-2</v>
      </c>
      <c r="BC11" s="45">
        <v>4.9299999999999997E-2</v>
      </c>
      <c r="BD11" s="45">
        <v>4.3400000000000001E-2</v>
      </c>
      <c r="BE11" s="89">
        <f t="shared" si="20"/>
        <v>144.2784</v>
      </c>
      <c r="BF11" s="89">
        <f t="shared" si="21"/>
        <v>139.9392</v>
      </c>
      <c r="BG11" s="89">
        <f t="shared" si="22"/>
        <v>133.70159999999998</v>
      </c>
      <c r="BH11" s="89">
        <f t="shared" si="23"/>
        <v>117.7008</v>
      </c>
      <c r="BJ11" s="73"/>
    </row>
    <row r="12" spans="1:62" x14ac:dyDescent="0.25">
      <c r="A12" s="65" t="s">
        <v>98</v>
      </c>
      <c r="B12" s="66">
        <v>3600</v>
      </c>
      <c r="C12" s="67"/>
      <c r="D12" s="67"/>
      <c r="E12" s="67"/>
      <c r="F12" s="67"/>
      <c r="G12" s="66">
        <f t="shared" si="0"/>
        <v>0</v>
      </c>
      <c r="H12" s="66">
        <f t="shared" si="1"/>
        <v>0</v>
      </c>
      <c r="I12" s="66">
        <f t="shared" si="2"/>
        <v>0</v>
      </c>
      <c r="J12" s="66">
        <f t="shared" si="3"/>
        <v>0</v>
      </c>
      <c r="K12" s="68"/>
      <c r="L12" s="66">
        <v>3384</v>
      </c>
      <c r="M12" s="67"/>
      <c r="N12" s="67"/>
      <c r="O12" s="67"/>
      <c r="P12" s="67"/>
      <c r="Q12" s="66">
        <f t="shared" si="4"/>
        <v>0</v>
      </c>
      <c r="R12" s="66">
        <f t="shared" si="5"/>
        <v>0</v>
      </c>
      <c r="S12" s="66">
        <f t="shared" si="6"/>
        <v>0</v>
      </c>
      <c r="T12" s="66">
        <f t="shared" si="7"/>
        <v>0</v>
      </c>
      <c r="U12" s="68"/>
      <c r="V12" s="66">
        <v>3168</v>
      </c>
      <c r="W12" s="45">
        <v>6.6199999999999995E-2</v>
      </c>
      <c r="X12" s="45">
        <v>6.4299999999999996E-2</v>
      </c>
      <c r="Y12" s="45">
        <v>6.1400000000000003E-2</v>
      </c>
      <c r="Z12" s="45">
        <v>5.3999999999999999E-2</v>
      </c>
      <c r="AA12" s="66">
        <f t="shared" si="8"/>
        <v>209.7216</v>
      </c>
      <c r="AB12" s="66">
        <f t="shared" si="9"/>
        <v>203.70239999999998</v>
      </c>
      <c r="AC12" s="66">
        <f t="shared" si="10"/>
        <v>194.51520000000002</v>
      </c>
      <c r="AD12" s="66">
        <f t="shared" si="11"/>
        <v>171.072</v>
      </c>
      <c r="AE12" s="58"/>
      <c r="AF12" s="66">
        <v>3052</v>
      </c>
      <c r="AG12" s="84">
        <v>6.3799999999999996E-2</v>
      </c>
      <c r="AH12" s="84">
        <v>6.2E-2</v>
      </c>
      <c r="AI12" s="84">
        <v>5.9200000000000003E-2</v>
      </c>
      <c r="AJ12" s="84">
        <v>5.21E-2</v>
      </c>
      <c r="AK12" s="66">
        <f t="shared" si="12"/>
        <v>194.71759999999998</v>
      </c>
      <c r="AL12" s="66">
        <f t="shared" si="13"/>
        <v>189.22399999999999</v>
      </c>
      <c r="AM12" s="66">
        <f t="shared" si="14"/>
        <v>180.67840000000001</v>
      </c>
      <c r="AN12" s="66">
        <f t="shared" si="15"/>
        <v>159.00919999999999</v>
      </c>
      <c r="AO12" s="58"/>
      <c r="AP12" s="66">
        <v>2928</v>
      </c>
      <c r="AQ12" s="45">
        <v>6.1400000000000003E-2</v>
      </c>
      <c r="AR12" s="45">
        <v>5.9700000000000003E-2</v>
      </c>
      <c r="AS12" s="45">
        <v>5.7000000000000002E-2</v>
      </c>
      <c r="AT12" s="45">
        <v>5.0200000000000002E-2</v>
      </c>
      <c r="AU12" s="72">
        <f t="shared" si="16"/>
        <v>179.7792</v>
      </c>
      <c r="AV12" s="72">
        <f t="shared" si="17"/>
        <v>174.80160000000001</v>
      </c>
      <c r="AW12" s="72">
        <f t="shared" si="18"/>
        <v>166.89600000000002</v>
      </c>
      <c r="AX12" s="72">
        <f t="shared" si="19"/>
        <v>146.98560000000001</v>
      </c>
      <c r="AY12" s="58"/>
      <c r="AZ12" s="66">
        <v>2712</v>
      </c>
      <c r="BA12" s="45">
        <v>5.67E-2</v>
      </c>
      <c r="BB12" s="45">
        <v>5.5100000000000003E-2</v>
      </c>
      <c r="BC12" s="45">
        <v>5.2600000000000001E-2</v>
      </c>
      <c r="BD12" s="45">
        <v>4.6300000000000001E-2</v>
      </c>
      <c r="BE12" s="72">
        <f t="shared" si="20"/>
        <v>153.7704</v>
      </c>
      <c r="BF12" s="72">
        <f t="shared" si="21"/>
        <v>149.43120000000002</v>
      </c>
      <c r="BG12" s="72">
        <f t="shared" si="22"/>
        <v>142.65119999999999</v>
      </c>
      <c r="BH12" s="72">
        <f t="shared" si="23"/>
        <v>125.5656</v>
      </c>
      <c r="BJ12" s="45"/>
    </row>
    <row r="13" spans="1:62" x14ac:dyDescent="0.25">
      <c r="A13" s="86" t="s">
        <v>99</v>
      </c>
      <c r="B13" s="57">
        <v>3600</v>
      </c>
      <c r="C13" s="87"/>
      <c r="D13" s="87"/>
      <c r="E13" s="87"/>
      <c r="F13" s="87"/>
      <c r="G13" s="57">
        <f t="shared" si="0"/>
        <v>0</v>
      </c>
      <c r="H13" s="57">
        <f t="shared" si="1"/>
        <v>0</v>
      </c>
      <c r="I13" s="57">
        <f t="shared" si="2"/>
        <v>0</v>
      </c>
      <c r="J13" s="57">
        <f t="shared" si="3"/>
        <v>0</v>
      </c>
      <c r="K13" s="88"/>
      <c r="L13" s="57">
        <v>3384</v>
      </c>
      <c r="M13" s="87"/>
      <c r="N13" s="87"/>
      <c r="O13" s="87"/>
      <c r="P13" s="87"/>
      <c r="Q13" s="57">
        <f t="shared" si="4"/>
        <v>0</v>
      </c>
      <c r="R13" s="57">
        <f t="shared" si="5"/>
        <v>0</v>
      </c>
      <c r="S13" s="57">
        <f t="shared" si="6"/>
        <v>0</v>
      </c>
      <c r="T13" s="57">
        <f t="shared" si="7"/>
        <v>0</v>
      </c>
      <c r="U13" s="88"/>
      <c r="V13" s="57">
        <v>3168</v>
      </c>
      <c r="W13" s="45">
        <v>7.0900000000000005E-2</v>
      </c>
      <c r="X13" s="45">
        <v>6.8900000000000003E-2</v>
      </c>
      <c r="Y13" s="45">
        <v>6.5699999999999995E-2</v>
      </c>
      <c r="Z13" s="45">
        <v>6.0400000000000002E-2</v>
      </c>
      <c r="AA13" s="57">
        <f t="shared" si="8"/>
        <v>224.61120000000003</v>
      </c>
      <c r="AB13" s="57">
        <f t="shared" si="9"/>
        <v>218.27520000000001</v>
      </c>
      <c r="AC13" s="57">
        <f t="shared" si="10"/>
        <v>208.13759999999999</v>
      </c>
      <c r="AD13" s="57">
        <f t="shared" si="11"/>
        <v>191.34720000000002</v>
      </c>
      <c r="AE13" s="58"/>
      <c r="AF13" s="57">
        <v>3052</v>
      </c>
      <c r="AG13" s="84">
        <v>6.8400000000000002E-2</v>
      </c>
      <c r="AH13" s="84">
        <v>6.6400000000000001E-2</v>
      </c>
      <c r="AI13" s="84">
        <v>6.3399999999999998E-2</v>
      </c>
      <c r="AJ13" s="84">
        <v>5.8200000000000002E-2</v>
      </c>
      <c r="AK13" s="57">
        <f t="shared" si="12"/>
        <v>208.7568</v>
      </c>
      <c r="AL13" s="57">
        <f t="shared" si="13"/>
        <v>202.65280000000001</v>
      </c>
      <c r="AM13" s="57">
        <f t="shared" si="14"/>
        <v>193.49680000000001</v>
      </c>
      <c r="AN13" s="57">
        <f t="shared" si="15"/>
        <v>177.62640000000002</v>
      </c>
      <c r="AO13" s="58"/>
      <c r="AP13" s="57">
        <v>2928</v>
      </c>
      <c r="AQ13" s="45">
        <v>6.59E-2</v>
      </c>
      <c r="AR13" s="45">
        <v>6.3899999999999998E-2</v>
      </c>
      <c r="AS13" s="45">
        <v>6.1100000000000002E-2</v>
      </c>
      <c r="AT13" s="45">
        <v>5.6000000000000001E-2</v>
      </c>
      <c r="AU13" s="89">
        <f t="shared" si="16"/>
        <v>192.95519999999999</v>
      </c>
      <c r="AV13" s="89">
        <f t="shared" si="17"/>
        <v>187.0992</v>
      </c>
      <c r="AW13" s="89">
        <f t="shared" si="18"/>
        <v>178.9008</v>
      </c>
      <c r="AX13" s="89">
        <f t="shared" si="19"/>
        <v>163.96799999999999</v>
      </c>
      <c r="AY13" s="58"/>
      <c r="AZ13" s="57">
        <v>2712</v>
      </c>
      <c r="BA13" s="45">
        <v>6.08E-2</v>
      </c>
      <c r="BB13" s="45">
        <v>5.8999999999999997E-2</v>
      </c>
      <c r="BC13" s="45">
        <v>5.6399999999999999E-2</v>
      </c>
      <c r="BD13" s="45">
        <v>5.1700000000000003E-2</v>
      </c>
      <c r="BE13" s="89">
        <f t="shared" si="20"/>
        <v>164.8896</v>
      </c>
      <c r="BF13" s="89">
        <f t="shared" si="21"/>
        <v>160.00799999999998</v>
      </c>
      <c r="BG13" s="89">
        <f t="shared" si="22"/>
        <v>152.95679999999999</v>
      </c>
      <c r="BH13" s="89">
        <f t="shared" si="23"/>
        <v>140.21040000000002</v>
      </c>
      <c r="BJ13" s="45"/>
    </row>
    <row r="14" spans="1:62" x14ac:dyDescent="0.25">
      <c r="A14" s="65" t="s">
        <v>100</v>
      </c>
      <c r="B14" s="66">
        <v>3600</v>
      </c>
      <c r="C14" s="67"/>
      <c r="D14" s="67"/>
      <c r="E14" s="67"/>
      <c r="F14" s="67"/>
      <c r="G14" s="66">
        <f t="shared" si="0"/>
        <v>0</v>
      </c>
      <c r="H14" s="66">
        <f t="shared" si="1"/>
        <v>0</v>
      </c>
      <c r="I14" s="66">
        <f t="shared" si="2"/>
        <v>0</v>
      </c>
      <c r="J14" s="66">
        <f t="shared" si="3"/>
        <v>0</v>
      </c>
      <c r="K14" s="68"/>
      <c r="L14" s="66">
        <v>3384</v>
      </c>
      <c r="M14" s="67"/>
      <c r="N14" s="67"/>
      <c r="O14" s="67"/>
      <c r="P14" s="67"/>
      <c r="Q14" s="66">
        <f t="shared" si="4"/>
        <v>0</v>
      </c>
      <c r="R14" s="66">
        <f t="shared" si="5"/>
        <v>0</v>
      </c>
      <c r="S14" s="66">
        <f t="shared" si="6"/>
        <v>0</v>
      </c>
      <c r="T14" s="66">
        <f t="shared" si="7"/>
        <v>0</v>
      </c>
      <c r="U14" s="68"/>
      <c r="V14" s="66">
        <v>3168</v>
      </c>
      <c r="W14" s="45">
        <v>7.6300000000000007E-2</v>
      </c>
      <c r="X14" s="45">
        <v>7.4099999999999999E-2</v>
      </c>
      <c r="Y14" s="45">
        <v>7.0800000000000002E-2</v>
      </c>
      <c r="Z14" s="45">
        <v>6.2300000000000001E-2</v>
      </c>
      <c r="AA14" s="66">
        <f t="shared" si="8"/>
        <v>241.71840000000003</v>
      </c>
      <c r="AB14" s="66">
        <f t="shared" si="9"/>
        <v>234.74879999999999</v>
      </c>
      <c r="AC14" s="66">
        <f t="shared" si="10"/>
        <v>224.2944</v>
      </c>
      <c r="AD14" s="66">
        <f t="shared" si="11"/>
        <v>197.3664</v>
      </c>
      <c r="AE14" s="58"/>
      <c r="AF14" s="66">
        <v>3052</v>
      </c>
      <c r="AG14" s="84">
        <v>7.3599999999999999E-2</v>
      </c>
      <c r="AH14" s="84">
        <v>7.1499999999999994E-2</v>
      </c>
      <c r="AI14" s="84">
        <v>6.83E-2</v>
      </c>
      <c r="AJ14" s="84">
        <v>6.0100000000000001E-2</v>
      </c>
      <c r="AK14" s="66">
        <f t="shared" si="12"/>
        <v>224.62719999999999</v>
      </c>
      <c r="AL14" s="66">
        <f t="shared" si="13"/>
        <v>218.21799999999999</v>
      </c>
      <c r="AM14" s="66">
        <f t="shared" si="14"/>
        <v>208.45159999999998</v>
      </c>
      <c r="AN14" s="66">
        <f t="shared" si="15"/>
        <v>183.42519999999999</v>
      </c>
      <c r="AO14" s="58"/>
      <c r="AP14" s="66">
        <v>2928</v>
      </c>
      <c r="AQ14" s="45">
        <v>7.0900000000000005E-2</v>
      </c>
      <c r="AR14" s="45">
        <v>6.8900000000000003E-2</v>
      </c>
      <c r="AS14" s="45">
        <v>6.5799999999999997E-2</v>
      </c>
      <c r="AT14" s="45">
        <v>5.79E-2</v>
      </c>
      <c r="AU14" s="72">
        <f t="shared" si="16"/>
        <v>207.59520000000001</v>
      </c>
      <c r="AV14" s="72">
        <f t="shared" si="17"/>
        <v>201.73920000000001</v>
      </c>
      <c r="AW14" s="72">
        <f t="shared" si="18"/>
        <v>192.66239999999999</v>
      </c>
      <c r="AX14" s="72">
        <f t="shared" si="19"/>
        <v>169.53120000000001</v>
      </c>
      <c r="AY14" s="58"/>
      <c r="AZ14" s="66">
        <v>2712</v>
      </c>
      <c r="BA14" s="45">
        <v>6.54E-2</v>
      </c>
      <c r="BB14" s="45">
        <v>6.3600000000000004E-2</v>
      </c>
      <c r="BC14" s="45">
        <v>6.0699999999999997E-2</v>
      </c>
      <c r="BD14" s="45">
        <v>5.3400000000000003E-2</v>
      </c>
      <c r="BE14" s="72">
        <f t="shared" si="20"/>
        <v>177.3648</v>
      </c>
      <c r="BF14" s="72">
        <f t="shared" si="21"/>
        <v>172.48320000000001</v>
      </c>
      <c r="BG14" s="72">
        <f t="shared" si="22"/>
        <v>164.61839999999998</v>
      </c>
      <c r="BH14" s="72">
        <f t="shared" si="23"/>
        <v>144.82080000000002</v>
      </c>
      <c r="BJ14" s="45"/>
    </row>
    <row r="15" spans="1:62" x14ac:dyDescent="0.25">
      <c r="A15" s="90" t="s">
        <v>101</v>
      </c>
      <c r="B15" s="57">
        <v>3600</v>
      </c>
      <c r="C15" s="91"/>
      <c r="D15" s="91"/>
      <c r="E15" s="91"/>
      <c r="F15" s="91"/>
      <c r="G15" s="57">
        <f t="shared" si="0"/>
        <v>0</v>
      </c>
      <c r="H15" s="57">
        <f t="shared" si="1"/>
        <v>0</v>
      </c>
      <c r="I15" s="57">
        <f t="shared" si="2"/>
        <v>0</v>
      </c>
      <c r="J15" s="57">
        <f t="shared" si="3"/>
        <v>0</v>
      </c>
      <c r="K15" s="92"/>
      <c r="L15" s="57">
        <v>3384</v>
      </c>
      <c r="M15" s="91"/>
      <c r="N15" s="91"/>
      <c r="O15" s="91"/>
      <c r="P15" s="91"/>
      <c r="Q15" s="57">
        <f t="shared" si="4"/>
        <v>0</v>
      </c>
      <c r="R15" s="57">
        <f t="shared" si="5"/>
        <v>0</v>
      </c>
      <c r="S15" s="57">
        <f t="shared" si="6"/>
        <v>0</v>
      </c>
      <c r="T15" s="57">
        <f t="shared" si="7"/>
        <v>0</v>
      </c>
      <c r="U15" s="92"/>
      <c r="V15" s="57">
        <v>3168</v>
      </c>
      <c r="W15" s="45">
        <v>8.2799999999999999E-2</v>
      </c>
      <c r="X15" s="45">
        <v>8.0399999999999999E-2</v>
      </c>
      <c r="Y15" s="45">
        <v>7.6700000000000004E-2</v>
      </c>
      <c r="Z15" s="45">
        <v>6.7500000000000004E-2</v>
      </c>
      <c r="AA15" s="57">
        <f t="shared" si="8"/>
        <v>262.31040000000002</v>
      </c>
      <c r="AB15" s="57">
        <f t="shared" si="9"/>
        <v>254.7072</v>
      </c>
      <c r="AC15" s="57">
        <f t="shared" si="10"/>
        <v>242.98560000000001</v>
      </c>
      <c r="AD15" s="57">
        <f t="shared" si="11"/>
        <v>213.84</v>
      </c>
      <c r="AE15" s="93"/>
      <c r="AF15" s="57">
        <v>3052</v>
      </c>
      <c r="AG15" s="84">
        <v>7.9799999999999996E-2</v>
      </c>
      <c r="AH15" s="84">
        <v>7.7499999999999999E-2</v>
      </c>
      <c r="AI15" s="84">
        <v>7.3999999999999996E-2</v>
      </c>
      <c r="AJ15" s="84">
        <v>6.5100000000000005E-2</v>
      </c>
      <c r="AK15" s="57">
        <f t="shared" si="12"/>
        <v>243.5496</v>
      </c>
      <c r="AL15" s="57">
        <f t="shared" si="13"/>
        <v>236.53</v>
      </c>
      <c r="AM15" s="57">
        <f t="shared" si="14"/>
        <v>225.84799999999998</v>
      </c>
      <c r="AN15" s="57">
        <f t="shared" si="15"/>
        <v>198.68520000000001</v>
      </c>
      <c r="AO15" s="93"/>
      <c r="AP15" s="57">
        <v>2928</v>
      </c>
      <c r="AQ15" s="45">
        <v>7.6799999999999993E-2</v>
      </c>
      <c r="AR15" s="45">
        <v>7.46E-2</v>
      </c>
      <c r="AS15" s="45">
        <v>7.1300000000000002E-2</v>
      </c>
      <c r="AT15" s="45">
        <v>6.2700000000000006E-2</v>
      </c>
      <c r="AU15" s="89">
        <f t="shared" si="16"/>
        <v>224.87039999999999</v>
      </c>
      <c r="AV15" s="89">
        <f t="shared" si="17"/>
        <v>218.4288</v>
      </c>
      <c r="AW15" s="89">
        <f t="shared" si="18"/>
        <v>208.7664</v>
      </c>
      <c r="AX15" s="89">
        <f t="shared" si="19"/>
        <v>183.58560000000003</v>
      </c>
      <c r="AY15" s="93"/>
      <c r="AZ15" s="57">
        <v>2712</v>
      </c>
      <c r="BA15" s="45">
        <v>7.0900000000000005E-2</v>
      </c>
      <c r="BB15" s="45">
        <v>6.8900000000000003E-2</v>
      </c>
      <c r="BC15" s="45">
        <v>6.5799999999999997E-2</v>
      </c>
      <c r="BD15" s="45">
        <v>5.79E-2</v>
      </c>
      <c r="BE15" s="89">
        <f t="shared" si="20"/>
        <v>192.2808</v>
      </c>
      <c r="BF15" s="89">
        <f t="shared" si="21"/>
        <v>186.85680000000002</v>
      </c>
      <c r="BG15" s="89">
        <f t="shared" si="22"/>
        <v>178.4496</v>
      </c>
      <c r="BH15" s="89">
        <f t="shared" si="23"/>
        <v>157.0248</v>
      </c>
      <c r="BJ15" s="45"/>
    </row>
    <row r="16" spans="1:62" ht="12" customHeight="1" x14ac:dyDescent="0.25">
      <c r="A16" s="207" t="s">
        <v>102</v>
      </c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7"/>
      <c r="BB16" s="207"/>
      <c r="BC16" s="207"/>
      <c r="BD16" s="207"/>
      <c r="BE16" s="207"/>
      <c r="BF16" s="207"/>
      <c r="BG16" s="207"/>
      <c r="BH16" s="207"/>
      <c r="BJ16" s="73"/>
    </row>
    <row r="17" spans="1:62" x14ac:dyDescent="0.25">
      <c r="A17" s="94"/>
      <c r="B17" s="47" t="s">
        <v>75</v>
      </c>
      <c r="C17" s="48" t="s">
        <v>76</v>
      </c>
      <c r="D17" s="49" t="s">
        <v>77</v>
      </c>
      <c r="E17" s="49" t="s">
        <v>78</v>
      </c>
      <c r="F17" s="50" t="s">
        <v>79</v>
      </c>
      <c r="G17" s="207" t="s">
        <v>80</v>
      </c>
      <c r="H17" s="207"/>
      <c r="I17" s="207"/>
      <c r="J17" s="207"/>
      <c r="K17" s="51"/>
      <c r="L17" s="47" t="s">
        <v>75</v>
      </c>
      <c r="M17" s="48" t="s">
        <v>76</v>
      </c>
      <c r="N17" s="49" t="s">
        <v>77</v>
      </c>
      <c r="O17" s="49" t="s">
        <v>78</v>
      </c>
      <c r="P17" s="50" t="s">
        <v>79</v>
      </c>
      <c r="Q17" s="207" t="s">
        <v>81</v>
      </c>
      <c r="R17" s="207"/>
      <c r="S17" s="207"/>
      <c r="T17" s="207"/>
      <c r="U17" s="51"/>
      <c r="V17" s="47" t="s">
        <v>75</v>
      </c>
      <c r="W17" s="48" t="s">
        <v>76</v>
      </c>
      <c r="X17" s="49" t="s">
        <v>77</v>
      </c>
      <c r="Y17" s="49" t="s">
        <v>78</v>
      </c>
      <c r="Z17" s="50" t="s">
        <v>79</v>
      </c>
      <c r="AA17" s="207" t="s">
        <v>82</v>
      </c>
      <c r="AB17" s="207"/>
      <c r="AC17" s="207"/>
      <c r="AD17" s="207"/>
      <c r="AE17" s="95"/>
      <c r="AF17" s="47" t="s">
        <v>75</v>
      </c>
      <c r="AG17" s="49" t="s">
        <v>76</v>
      </c>
      <c r="AH17" s="49" t="s">
        <v>77</v>
      </c>
      <c r="AI17" s="49" t="s">
        <v>78</v>
      </c>
      <c r="AJ17" s="49" t="s">
        <v>79</v>
      </c>
      <c r="AK17" s="207" t="s">
        <v>83</v>
      </c>
      <c r="AL17" s="207"/>
      <c r="AM17" s="207"/>
      <c r="AN17" s="207"/>
      <c r="AO17" s="95"/>
      <c r="AP17" s="47" t="s">
        <v>75</v>
      </c>
      <c r="AQ17" s="48" t="s">
        <v>76</v>
      </c>
      <c r="AR17" s="49" t="s">
        <v>77</v>
      </c>
      <c r="AS17" s="49" t="s">
        <v>78</v>
      </c>
      <c r="AT17" s="50" t="s">
        <v>79</v>
      </c>
      <c r="AU17" s="207" t="s">
        <v>84</v>
      </c>
      <c r="AV17" s="207"/>
      <c r="AW17" s="207"/>
      <c r="AX17" s="207"/>
      <c r="AY17" s="95"/>
      <c r="AZ17" s="47" t="s">
        <v>75</v>
      </c>
      <c r="BA17" s="48" t="s">
        <v>76</v>
      </c>
      <c r="BB17" s="49" t="s">
        <v>77</v>
      </c>
      <c r="BC17" s="49" t="s">
        <v>78</v>
      </c>
      <c r="BD17" s="50" t="s">
        <v>79</v>
      </c>
      <c r="BE17" s="207" t="s">
        <v>85</v>
      </c>
      <c r="BF17" s="207"/>
      <c r="BG17" s="207"/>
      <c r="BH17" s="207"/>
      <c r="BJ17" s="45"/>
    </row>
    <row r="18" spans="1:62" ht="11.25" customHeight="1" x14ac:dyDescent="0.25">
      <c r="A18" s="52" t="s">
        <v>86</v>
      </c>
      <c r="B18" s="53" t="s">
        <v>87</v>
      </c>
      <c r="C18" s="54" t="s">
        <v>88</v>
      </c>
      <c r="D18" s="55" t="s">
        <v>88</v>
      </c>
      <c r="E18" s="55" t="s">
        <v>88</v>
      </c>
      <c r="F18" s="56" t="s">
        <v>88</v>
      </c>
      <c r="G18" s="57">
        <v>20</v>
      </c>
      <c r="H18" s="57">
        <v>30</v>
      </c>
      <c r="I18" s="57">
        <v>40</v>
      </c>
      <c r="J18" s="57">
        <v>70</v>
      </c>
      <c r="K18" s="58"/>
      <c r="L18" s="53" t="s">
        <v>87</v>
      </c>
      <c r="M18" s="54" t="s">
        <v>88</v>
      </c>
      <c r="N18" s="55" t="s">
        <v>88</v>
      </c>
      <c r="O18" s="55" t="s">
        <v>88</v>
      </c>
      <c r="P18" s="56" t="s">
        <v>88</v>
      </c>
      <c r="Q18" s="57">
        <v>20</v>
      </c>
      <c r="R18" s="57">
        <v>30</v>
      </c>
      <c r="S18" s="57">
        <v>40</v>
      </c>
      <c r="T18" s="57">
        <v>70</v>
      </c>
      <c r="U18" s="58"/>
      <c r="V18" s="53" t="s">
        <v>87</v>
      </c>
      <c r="W18" s="54" t="s">
        <v>88</v>
      </c>
      <c r="X18" s="55" t="s">
        <v>88</v>
      </c>
      <c r="Y18" s="55" t="s">
        <v>88</v>
      </c>
      <c r="Z18" s="56" t="s">
        <v>88</v>
      </c>
      <c r="AA18" s="96">
        <v>20</v>
      </c>
      <c r="AB18" s="57">
        <v>30</v>
      </c>
      <c r="AC18" s="57">
        <v>40</v>
      </c>
      <c r="AD18" s="57">
        <v>70</v>
      </c>
      <c r="AE18" s="97"/>
      <c r="AF18" s="53" t="s">
        <v>87</v>
      </c>
      <c r="AG18" s="55" t="s">
        <v>88</v>
      </c>
      <c r="AH18" s="55" t="s">
        <v>88</v>
      </c>
      <c r="AI18" s="55" t="s">
        <v>88</v>
      </c>
      <c r="AJ18" s="55" t="s">
        <v>88</v>
      </c>
      <c r="AK18" s="57">
        <v>20</v>
      </c>
      <c r="AL18" s="57">
        <v>30</v>
      </c>
      <c r="AM18" s="57">
        <v>40</v>
      </c>
      <c r="AN18" s="57">
        <v>70</v>
      </c>
      <c r="AO18" s="97"/>
      <c r="AP18" s="53" t="s">
        <v>87</v>
      </c>
      <c r="AQ18" s="54" t="s">
        <v>88</v>
      </c>
      <c r="AR18" s="55" t="s">
        <v>88</v>
      </c>
      <c r="AS18" s="55" t="s">
        <v>88</v>
      </c>
      <c r="AT18" s="56" t="s">
        <v>88</v>
      </c>
      <c r="AU18" s="57">
        <v>20</v>
      </c>
      <c r="AV18" s="57">
        <v>30</v>
      </c>
      <c r="AW18" s="57">
        <v>40</v>
      </c>
      <c r="AX18" s="57">
        <v>70</v>
      </c>
      <c r="AY18" s="97"/>
      <c r="AZ18" s="53" t="s">
        <v>87</v>
      </c>
      <c r="BA18" s="54" t="s">
        <v>88</v>
      </c>
      <c r="BB18" s="55" t="s">
        <v>88</v>
      </c>
      <c r="BC18" s="55" t="s">
        <v>88</v>
      </c>
      <c r="BD18" s="56" t="s">
        <v>88</v>
      </c>
      <c r="BE18" s="57">
        <v>20</v>
      </c>
      <c r="BF18" s="57">
        <v>30</v>
      </c>
      <c r="BG18" s="57">
        <v>40</v>
      </c>
      <c r="BH18" s="57">
        <v>70</v>
      </c>
      <c r="BJ18" s="45"/>
    </row>
    <row r="19" spans="1:62" ht="11.25" customHeight="1" x14ac:dyDescent="0.25">
      <c r="A19" s="98"/>
      <c r="B19" s="60" t="s">
        <v>89</v>
      </c>
      <c r="C19" s="61" t="s">
        <v>90</v>
      </c>
      <c r="D19" s="62" t="s">
        <v>90</v>
      </c>
      <c r="E19" s="62" t="s">
        <v>90</v>
      </c>
      <c r="F19" s="63" t="s">
        <v>90</v>
      </c>
      <c r="G19" s="64" t="s">
        <v>91</v>
      </c>
      <c r="H19" s="64" t="s">
        <v>91</v>
      </c>
      <c r="I19" s="64" t="s">
        <v>91</v>
      </c>
      <c r="J19" s="64" t="s">
        <v>91</v>
      </c>
      <c r="K19" s="58"/>
      <c r="L19" s="60" t="s">
        <v>89</v>
      </c>
      <c r="M19" s="61" t="s">
        <v>90</v>
      </c>
      <c r="N19" s="62" t="s">
        <v>90</v>
      </c>
      <c r="O19" s="62" t="s">
        <v>90</v>
      </c>
      <c r="P19" s="63" t="s">
        <v>90</v>
      </c>
      <c r="Q19" s="64" t="s">
        <v>91</v>
      </c>
      <c r="R19" s="64" t="s">
        <v>91</v>
      </c>
      <c r="S19" s="64" t="s">
        <v>91</v>
      </c>
      <c r="T19" s="64" t="s">
        <v>91</v>
      </c>
      <c r="U19" s="58"/>
      <c r="V19" s="60" t="s">
        <v>89</v>
      </c>
      <c r="W19" s="61" t="s">
        <v>90</v>
      </c>
      <c r="X19" s="62" t="s">
        <v>90</v>
      </c>
      <c r="Y19" s="62" t="s">
        <v>90</v>
      </c>
      <c r="Z19" s="63" t="s">
        <v>90</v>
      </c>
      <c r="AA19" s="99" t="s">
        <v>91</v>
      </c>
      <c r="AB19" s="64" t="s">
        <v>91</v>
      </c>
      <c r="AC19" s="64" t="s">
        <v>91</v>
      </c>
      <c r="AD19" s="64" t="s">
        <v>91</v>
      </c>
      <c r="AE19" s="97"/>
      <c r="AF19" s="60" t="s">
        <v>89</v>
      </c>
      <c r="AG19" s="55" t="s">
        <v>90</v>
      </c>
      <c r="AH19" s="55" t="s">
        <v>90</v>
      </c>
      <c r="AI19" s="55" t="s">
        <v>90</v>
      </c>
      <c r="AJ19" s="55" t="s">
        <v>90</v>
      </c>
      <c r="AK19" s="64" t="s">
        <v>91</v>
      </c>
      <c r="AL19" s="64" t="s">
        <v>91</v>
      </c>
      <c r="AM19" s="64" t="s">
        <v>91</v>
      </c>
      <c r="AN19" s="64" t="s">
        <v>91</v>
      </c>
      <c r="AO19" s="97"/>
      <c r="AP19" s="60" t="s">
        <v>89</v>
      </c>
      <c r="AQ19" s="61" t="s">
        <v>90</v>
      </c>
      <c r="AR19" s="62" t="s">
        <v>90</v>
      </c>
      <c r="AS19" s="62" t="s">
        <v>90</v>
      </c>
      <c r="AT19" s="63" t="s">
        <v>90</v>
      </c>
      <c r="AU19" s="64" t="s">
        <v>91</v>
      </c>
      <c r="AV19" s="64" t="s">
        <v>91</v>
      </c>
      <c r="AW19" s="64" t="s">
        <v>91</v>
      </c>
      <c r="AX19" s="64" t="s">
        <v>91</v>
      </c>
      <c r="AY19" s="97"/>
      <c r="AZ19" s="60" t="s">
        <v>89</v>
      </c>
      <c r="BA19" s="61" t="s">
        <v>90</v>
      </c>
      <c r="BB19" s="62" t="s">
        <v>90</v>
      </c>
      <c r="BC19" s="62" t="s">
        <v>90</v>
      </c>
      <c r="BD19" s="63" t="s">
        <v>90</v>
      </c>
      <c r="BE19" s="64" t="s">
        <v>91</v>
      </c>
      <c r="BF19" s="64" t="s">
        <v>91</v>
      </c>
      <c r="BG19" s="64" t="s">
        <v>91</v>
      </c>
      <c r="BH19" s="64" t="s">
        <v>91</v>
      </c>
      <c r="BJ19" s="45"/>
    </row>
    <row r="20" spans="1:62" x14ac:dyDescent="0.25">
      <c r="A20" s="65" t="s">
        <v>92</v>
      </c>
      <c r="B20" s="66">
        <v>3408</v>
      </c>
      <c r="C20" s="67">
        <v>2.8400000000000002E-2</v>
      </c>
      <c r="D20" s="67">
        <v>2.75E-2</v>
      </c>
      <c r="E20" s="67">
        <v>2.63E-2</v>
      </c>
      <c r="F20" s="67">
        <v>2.3099999999999999E-2</v>
      </c>
      <c r="G20" s="66">
        <f t="shared" ref="G20:G29" si="24">(B20*C20)</f>
        <v>96.787199999999999</v>
      </c>
      <c r="H20" s="66">
        <f t="shared" ref="H20:H29" si="25">(B20*D20)</f>
        <v>93.72</v>
      </c>
      <c r="I20" s="66">
        <f t="shared" ref="I20:I29" si="26">(B20*E20)</f>
        <v>89.630399999999995</v>
      </c>
      <c r="J20" s="66">
        <f t="shared" ref="J20:J29" si="27">(B20*F20)</f>
        <v>78.724800000000002</v>
      </c>
      <c r="K20" s="58"/>
      <c r="L20" s="66">
        <v>3192</v>
      </c>
      <c r="M20" s="67">
        <v>2.6700000000000002E-2</v>
      </c>
      <c r="N20" s="67">
        <v>2.58E-2</v>
      </c>
      <c r="O20" s="67">
        <v>2.47E-2</v>
      </c>
      <c r="P20" s="67">
        <v>2.1700000000000001E-2</v>
      </c>
      <c r="Q20" s="66">
        <f t="shared" ref="Q20:Q29" si="28">(L20*M20)</f>
        <v>85.226399999999998</v>
      </c>
      <c r="R20" s="66">
        <f t="shared" ref="R20:R29" si="29">(L20*N20)</f>
        <v>82.3536</v>
      </c>
      <c r="S20" s="66">
        <f t="shared" ref="S20:S29" si="30">(L20*O20)</f>
        <v>78.842399999999998</v>
      </c>
      <c r="T20" s="66">
        <f t="shared" ref="T20:T29" si="31">(L20*P20)</f>
        <v>69.266400000000004</v>
      </c>
      <c r="U20" s="58"/>
      <c r="V20" s="66">
        <v>2976</v>
      </c>
      <c r="W20" s="67"/>
      <c r="X20" s="67"/>
      <c r="Y20" s="67"/>
      <c r="Z20" s="67"/>
      <c r="AA20" s="66">
        <f t="shared" ref="AA20:AA29" si="32">(V20*W20)</f>
        <v>0</v>
      </c>
      <c r="AB20" s="66">
        <f t="shared" ref="AB20:AB29" si="33">(V20*X20)</f>
        <v>0</v>
      </c>
      <c r="AC20" s="66">
        <f t="shared" ref="AC20:AC29" si="34">(V20*Y20)</f>
        <v>0</v>
      </c>
      <c r="AD20" s="66">
        <f t="shared" ref="AD20:AD29" si="35">(V20*Z20)</f>
        <v>0</v>
      </c>
      <c r="AE20" s="97"/>
      <c r="AF20" s="66">
        <v>2880</v>
      </c>
      <c r="AG20" s="69"/>
      <c r="AH20" s="70"/>
      <c r="AI20" s="70"/>
      <c r="AJ20" s="71"/>
      <c r="AK20" s="66">
        <f t="shared" ref="AK20:AK29" si="36">(AF20*AG20)</f>
        <v>0</v>
      </c>
      <c r="AL20" s="66">
        <f t="shared" ref="AL20:AL29" si="37">(AF20*AH20)</f>
        <v>0</v>
      </c>
      <c r="AM20" s="66">
        <f t="shared" ref="AM20:AM29" si="38">(AF20*AI20)</f>
        <v>0</v>
      </c>
      <c r="AN20" s="66">
        <f t="shared" ref="AN20:AN29" si="39">(AF20*AJ20)</f>
        <v>0</v>
      </c>
      <c r="AO20" s="97"/>
      <c r="AP20" s="66">
        <v>2760</v>
      </c>
      <c r="AQ20" s="69"/>
      <c r="AR20" s="70"/>
      <c r="AS20" s="70"/>
      <c r="AT20" s="71"/>
      <c r="AU20" s="72">
        <f t="shared" ref="AU20:AU29" si="40">(AP20*AQ20)</f>
        <v>0</v>
      </c>
      <c r="AV20" s="72">
        <f t="shared" ref="AV20:AV29" si="41">(AP20*AR20)</f>
        <v>0</v>
      </c>
      <c r="AW20" s="72">
        <f t="shared" ref="AW20:AW29" si="42">(AP20*AS20)</f>
        <v>0</v>
      </c>
      <c r="AX20" s="72">
        <f t="shared" ref="AX20:AX29" si="43">(AP20*AT20)</f>
        <v>0</v>
      </c>
      <c r="AY20" s="97"/>
      <c r="AZ20" s="66">
        <v>2544</v>
      </c>
      <c r="BA20" s="69"/>
      <c r="BB20" s="70"/>
      <c r="BC20" s="70"/>
      <c r="BD20" s="71"/>
      <c r="BE20" s="100">
        <f t="shared" ref="BE20:BE29" si="44">(AZ20*BA20)</f>
        <v>0</v>
      </c>
      <c r="BF20" s="85">
        <f t="shared" ref="BF20:BF29" si="45">(AZ20*BB20)</f>
        <v>0</v>
      </c>
      <c r="BG20" s="85">
        <f t="shared" ref="BG20:BG29" si="46">(AZ20*BC20)</f>
        <v>0</v>
      </c>
      <c r="BH20" s="85">
        <f t="shared" ref="BH20:BH29" si="47">(AZ20*BD20)</f>
        <v>0</v>
      </c>
      <c r="BJ20" s="45"/>
    </row>
    <row r="21" spans="1:62" s="1" customFormat="1" x14ac:dyDescent="0.25">
      <c r="A21" s="74" t="s">
        <v>93</v>
      </c>
      <c r="B21" s="75">
        <v>3408</v>
      </c>
      <c r="C21" s="76">
        <v>3.7900000000000003E-2</v>
      </c>
      <c r="D21" s="76">
        <v>3.6700000000000003E-2</v>
      </c>
      <c r="E21" s="76">
        <v>3.5099999999999999E-2</v>
      </c>
      <c r="F21" s="76">
        <v>3.0800000000000001E-2</v>
      </c>
      <c r="G21" s="75">
        <f t="shared" si="24"/>
        <v>129.16320000000002</v>
      </c>
      <c r="H21" s="75">
        <f t="shared" si="25"/>
        <v>125.07360000000001</v>
      </c>
      <c r="I21" s="75">
        <f t="shared" si="26"/>
        <v>119.6208</v>
      </c>
      <c r="J21" s="75">
        <f t="shared" si="27"/>
        <v>104.96640000000001</v>
      </c>
      <c r="K21" s="79"/>
      <c r="L21" s="75">
        <v>3192</v>
      </c>
      <c r="M21" s="76">
        <v>3.5499999999999997E-2</v>
      </c>
      <c r="N21" s="76">
        <v>3.44E-2</v>
      </c>
      <c r="O21" s="76">
        <v>3.2899999999999999E-2</v>
      </c>
      <c r="P21" s="76">
        <v>2.8899999999999999E-2</v>
      </c>
      <c r="Q21" s="75">
        <f t="shared" si="28"/>
        <v>113.31599999999999</v>
      </c>
      <c r="R21" s="75">
        <f t="shared" si="29"/>
        <v>109.8048</v>
      </c>
      <c r="S21" s="75">
        <f t="shared" si="30"/>
        <v>105.01679999999999</v>
      </c>
      <c r="T21" s="75">
        <f t="shared" si="31"/>
        <v>92.248799999999989</v>
      </c>
      <c r="U21" s="79"/>
      <c r="V21" s="75">
        <v>2976</v>
      </c>
      <c r="W21" s="76">
        <v>3.3099999999999997E-2</v>
      </c>
      <c r="X21" s="76">
        <v>3.2099999999999997E-2</v>
      </c>
      <c r="Y21" s="76">
        <v>3.0700000000000002E-2</v>
      </c>
      <c r="Z21" s="76">
        <v>2.7E-2</v>
      </c>
      <c r="AA21" s="75">
        <f t="shared" si="32"/>
        <v>98.505599999999987</v>
      </c>
      <c r="AB21" s="75">
        <f t="shared" si="33"/>
        <v>95.529599999999988</v>
      </c>
      <c r="AC21" s="75">
        <f t="shared" si="34"/>
        <v>91.363200000000006</v>
      </c>
      <c r="AD21" s="75">
        <f t="shared" si="35"/>
        <v>80.352000000000004</v>
      </c>
      <c r="AE21" s="101"/>
      <c r="AF21" s="75">
        <v>2880</v>
      </c>
      <c r="AG21" s="80"/>
      <c r="AH21" s="76"/>
      <c r="AI21" s="76"/>
      <c r="AJ21" s="81"/>
      <c r="AK21" s="75">
        <f t="shared" si="36"/>
        <v>0</v>
      </c>
      <c r="AL21" s="75">
        <f t="shared" si="37"/>
        <v>0</v>
      </c>
      <c r="AM21" s="75">
        <f t="shared" si="38"/>
        <v>0</v>
      </c>
      <c r="AN21" s="75">
        <f t="shared" si="39"/>
        <v>0</v>
      </c>
      <c r="AO21" s="101"/>
      <c r="AP21" s="75">
        <v>2760</v>
      </c>
      <c r="AQ21" s="80"/>
      <c r="AR21" s="76"/>
      <c r="AS21" s="76"/>
      <c r="AT21" s="81"/>
      <c r="AU21" s="82">
        <f t="shared" si="40"/>
        <v>0</v>
      </c>
      <c r="AV21" s="82">
        <f t="shared" si="41"/>
        <v>0</v>
      </c>
      <c r="AW21" s="82">
        <f t="shared" si="42"/>
        <v>0</v>
      </c>
      <c r="AX21" s="82">
        <f t="shared" si="43"/>
        <v>0</v>
      </c>
      <c r="AY21" s="101"/>
      <c r="AZ21" s="75">
        <v>2544</v>
      </c>
      <c r="BA21" s="80"/>
      <c r="BB21" s="76"/>
      <c r="BC21" s="76"/>
      <c r="BD21" s="81"/>
      <c r="BE21" s="102">
        <f t="shared" si="44"/>
        <v>0</v>
      </c>
      <c r="BF21" s="103">
        <f t="shared" si="45"/>
        <v>0</v>
      </c>
      <c r="BG21" s="103">
        <f t="shared" si="46"/>
        <v>0</v>
      </c>
      <c r="BH21" s="103">
        <f t="shared" si="47"/>
        <v>0</v>
      </c>
      <c r="BJ21" s="73"/>
    </row>
    <row r="22" spans="1:62" x14ac:dyDescent="0.25">
      <c r="A22" s="65" t="s">
        <v>94</v>
      </c>
      <c r="B22" s="66">
        <v>3408</v>
      </c>
      <c r="C22" s="67"/>
      <c r="D22" s="67"/>
      <c r="E22" s="67"/>
      <c r="F22" s="67"/>
      <c r="G22" s="83">
        <f t="shared" si="24"/>
        <v>0</v>
      </c>
      <c r="H22" s="83">
        <f t="shared" si="25"/>
        <v>0</v>
      </c>
      <c r="I22" s="83">
        <f t="shared" si="26"/>
        <v>0</v>
      </c>
      <c r="J22" s="83">
        <f t="shared" si="27"/>
        <v>0</v>
      </c>
      <c r="K22" s="68"/>
      <c r="L22" s="66">
        <v>3192</v>
      </c>
      <c r="M22" s="67">
        <v>5.33E-2</v>
      </c>
      <c r="N22" s="67">
        <v>5.16E-2</v>
      </c>
      <c r="O22" s="67">
        <v>4.9299999999999997E-2</v>
      </c>
      <c r="P22" s="67">
        <v>4.3400000000000001E-2</v>
      </c>
      <c r="Q22" s="83">
        <f t="shared" si="28"/>
        <v>170.1336</v>
      </c>
      <c r="R22" s="83">
        <f t="shared" si="29"/>
        <v>164.7072</v>
      </c>
      <c r="S22" s="83">
        <f t="shared" si="30"/>
        <v>157.3656</v>
      </c>
      <c r="T22" s="83">
        <f t="shared" si="31"/>
        <v>138.53280000000001</v>
      </c>
      <c r="U22" s="68"/>
      <c r="V22" s="66">
        <v>2976</v>
      </c>
      <c r="W22" s="45">
        <v>4.9700000000000001E-2</v>
      </c>
      <c r="X22" s="45">
        <v>4.82E-2</v>
      </c>
      <c r="Y22" s="45">
        <v>4.5999999999999999E-2</v>
      </c>
      <c r="Z22" s="45">
        <v>4.0500000000000001E-2</v>
      </c>
      <c r="AA22" s="83">
        <f t="shared" si="32"/>
        <v>147.90720000000002</v>
      </c>
      <c r="AB22" s="83">
        <f t="shared" si="33"/>
        <v>143.44319999999999</v>
      </c>
      <c r="AC22" s="83">
        <f t="shared" si="34"/>
        <v>136.89599999999999</v>
      </c>
      <c r="AD22" s="83">
        <f t="shared" si="35"/>
        <v>120.52800000000001</v>
      </c>
      <c r="AE22" s="97"/>
      <c r="AF22" s="66">
        <v>2880</v>
      </c>
      <c r="AG22" s="104">
        <v>4.7899999999999998E-2</v>
      </c>
      <c r="AH22" s="84">
        <v>4.65E-2</v>
      </c>
      <c r="AI22" s="84">
        <v>4.4400000000000002E-2</v>
      </c>
      <c r="AJ22" s="105">
        <v>3.9100000000000003E-2</v>
      </c>
      <c r="AK22" s="83">
        <f t="shared" si="36"/>
        <v>137.952</v>
      </c>
      <c r="AL22" s="83">
        <f t="shared" si="37"/>
        <v>133.91999999999999</v>
      </c>
      <c r="AM22" s="83">
        <f t="shared" si="38"/>
        <v>127.872</v>
      </c>
      <c r="AN22" s="83">
        <f t="shared" si="39"/>
        <v>112.608</v>
      </c>
      <c r="AO22" s="97"/>
      <c r="AP22" s="66">
        <v>2760</v>
      </c>
      <c r="AQ22" s="106">
        <v>4.6100000000000002E-2</v>
      </c>
      <c r="AR22" s="45">
        <v>4.48E-2</v>
      </c>
      <c r="AS22" s="45">
        <v>4.2799999999999998E-2</v>
      </c>
      <c r="AT22" s="107">
        <v>3.7699999999999997E-2</v>
      </c>
      <c r="AU22" s="85">
        <f t="shared" si="40"/>
        <v>127.236</v>
      </c>
      <c r="AV22" s="85">
        <f t="shared" si="41"/>
        <v>123.648</v>
      </c>
      <c r="AW22" s="85">
        <f t="shared" si="42"/>
        <v>118.128</v>
      </c>
      <c r="AX22" s="85">
        <f t="shared" si="43"/>
        <v>104.05199999999999</v>
      </c>
      <c r="AY22" s="97"/>
      <c r="AZ22" s="66">
        <v>2544</v>
      </c>
      <c r="BA22" s="106">
        <v>4.2599999999999999E-2</v>
      </c>
      <c r="BB22" s="45">
        <v>4.1300000000000003E-2</v>
      </c>
      <c r="BC22" s="45">
        <v>3.95E-2</v>
      </c>
      <c r="BD22" s="107">
        <v>3.4799999999999998E-2</v>
      </c>
      <c r="BE22" s="100">
        <f t="shared" si="44"/>
        <v>108.37439999999999</v>
      </c>
      <c r="BF22" s="85">
        <f t="shared" si="45"/>
        <v>105.06720000000001</v>
      </c>
      <c r="BG22" s="85">
        <f t="shared" si="46"/>
        <v>100.488</v>
      </c>
      <c r="BH22" s="85">
        <f t="shared" si="47"/>
        <v>88.531199999999998</v>
      </c>
      <c r="BJ22" s="45"/>
    </row>
    <row r="23" spans="1:62" x14ac:dyDescent="0.25">
      <c r="A23" s="86" t="s">
        <v>95</v>
      </c>
      <c r="B23" s="57">
        <v>3408</v>
      </c>
      <c r="C23" s="87"/>
      <c r="D23" s="87"/>
      <c r="E23" s="87"/>
      <c r="F23" s="87"/>
      <c r="G23" s="57">
        <f t="shared" si="24"/>
        <v>0</v>
      </c>
      <c r="H23" s="57">
        <f t="shared" si="25"/>
        <v>0</v>
      </c>
      <c r="I23" s="57">
        <f t="shared" si="26"/>
        <v>0</v>
      </c>
      <c r="J23" s="57">
        <f t="shared" si="27"/>
        <v>0</v>
      </c>
      <c r="K23" s="88"/>
      <c r="L23" s="57">
        <v>3192</v>
      </c>
      <c r="M23" s="87"/>
      <c r="N23" s="87"/>
      <c r="O23" s="87"/>
      <c r="P23" s="87"/>
      <c r="Q23" s="57">
        <f t="shared" si="28"/>
        <v>0</v>
      </c>
      <c r="R23" s="57">
        <f t="shared" si="29"/>
        <v>0</v>
      </c>
      <c r="S23" s="57">
        <f t="shared" si="30"/>
        <v>0</v>
      </c>
      <c r="T23" s="57">
        <f t="shared" si="31"/>
        <v>0</v>
      </c>
      <c r="U23" s="88"/>
      <c r="V23" s="57">
        <v>2976</v>
      </c>
      <c r="W23" s="45">
        <v>5.5199999999999999E-2</v>
      </c>
      <c r="X23" s="45">
        <v>5.3600000000000002E-2</v>
      </c>
      <c r="Y23" s="45">
        <v>5.11E-2</v>
      </c>
      <c r="Z23" s="45">
        <v>4.4999999999999998E-2</v>
      </c>
      <c r="AA23" s="57">
        <f t="shared" si="32"/>
        <v>164.27519999999998</v>
      </c>
      <c r="AB23" s="57">
        <f t="shared" si="33"/>
        <v>159.5136</v>
      </c>
      <c r="AC23" s="57">
        <f t="shared" si="34"/>
        <v>152.0736</v>
      </c>
      <c r="AD23" s="57">
        <f t="shared" si="35"/>
        <v>133.91999999999999</v>
      </c>
      <c r="AE23" s="97"/>
      <c r="AF23" s="57">
        <v>2880</v>
      </c>
      <c r="AG23" s="104">
        <v>5.3199999999999997E-2</v>
      </c>
      <c r="AH23" s="84">
        <v>5.1700000000000003E-2</v>
      </c>
      <c r="AI23" s="84">
        <v>4.9299999999999997E-2</v>
      </c>
      <c r="AJ23" s="105">
        <v>4.3400000000000001E-2</v>
      </c>
      <c r="AK23" s="57">
        <f t="shared" si="36"/>
        <v>153.21599999999998</v>
      </c>
      <c r="AL23" s="57">
        <f t="shared" si="37"/>
        <v>148.89600000000002</v>
      </c>
      <c r="AM23" s="57">
        <f t="shared" si="38"/>
        <v>141.98399999999998</v>
      </c>
      <c r="AN23" s="57">
        <f t="shared" si="39"/>
        <v>124.992</v>
      </c>
      <c r="AO23" s="97"/>
      <c r="AP23" s="57">
        <v>2760</v>
      </c>
      <c r="AQ23" s="106">
        <v>5.1200000000000002E-2</v>
      </c>
      <c r="AR23" s="45">
        <v>4.9799999999999997E-2</v>
      </c>
      <c r="AS23" s="45">
        <v>4.7500000000000001E-2</v>
      </c>
      <c r="AT23" s="107">
        <v>4.1799999999999997E-2</v>
      </c>
      <c r="AU23" s="89">
        <f t="shared" si="40"/>
        <v>141.31200000000001</v>
      </c>
      <c r="AV23" s="89">
        <f t="shared" si="41"/>
        <v>137.44799999999998</v>
      </c>
      <c r="AW23" s="89">
        <f t="shared" si="42"/>
        <v>131.1</v>
      </c>
      <c r="AX23" s="89">
        <f t="shared" si="43"/>
        <v>115.36799999999999</v>
      </c>
      <c r="AY23" s="97"/>
      <c r="AZ23" s="57">
        <v>2544</v>
      </c>
      <c r="BA23" s="106">
        <v>4.7300000000000002E-2</v>
      </c>
      <c r="BB23" s="45">
        <v>4.5999999999999999E-2</v>
      </c>
      <c r="BC23" s="45">
        <v>4.3799999999999999E-2</v>
      </c>
      <c r="BD23" s="107">
        <v>3.8600000000000002E-2</v>
      </c>
      <c r="BE23" s="108">
        <f t="shared" si="44"/>
        <v>120.33120000000001</v>
      </c>
      <c r="BF23" s="89">
        <f t="shared" si="45"/>
        <v>117.024</v>
      </c>
      <c r="BG23" s="89">
        <f t="shared" si="46"/>
        <v>111.4272</v>
      </c>
      <c r="BH23" s="89">
        <f t="shared" si="47"/>
        <v>98.198400000000007</v>
      </c>
      <c r="BJ23" s="45"/>
    </row>
    <row r="24" spans="1:62" x14ac:dyDescent="0.25">
      <c r="A24" s="65" t="s">
        <v>96</v>
      </c>
      <c r="B24" s="66">
        <v>3408</v>
      </c>
      <c r="C24" s="67"/>
      <c r="D24" s="67"/>
      <c r="E24" s="67"/>
      <c r="F24" s="67"/>
      <c r="G24" s="66">
        <f t="shared" si="24"/>
        <v>0</v>
      </c>
      <c r="H24" s="66">
        <f t="shared" si="25"/>
        <v>0</v>
      </c>
      <c r="I24" s="66">
        <f t="shared" si="26"/>
        <v>0</v>
      </c>
      <c r="J24" s="66">
        <f t="shared" si="27"/>
        <v>0</v>
      </c>
      <c r="K24" s="68"/>
      <c r="L24" s="66">
        <v>3192</v>
      </c>
      <c r="M24" s="67"/>
      <c r="N24" s="67"/>
      <c r="O24" s="67"/>
      <c r="P24" s="67"/>
      <c r="Q24" s="66">
        <f t="shared" si="28"/>
        <v>0</v>
      </c>
      <c r="R24" s="66">
        <f t="shared" si="29"/>
        <v>0</v>
      </c>
      <c r="S24" s="66">
        <f t="shared" si="30"/>
        <v>0</v>
      </c>
      <c r="T24" s="66">
        <f t="shared" si="31"/>
        <v>0</v>
      </c>
      <c r="U24" s="68"/>
      <c r="V24" s="66">
        <v>2976</v>
      </c>
      <c r="W24" s="45">
        <v>5.8400000000000001E-2</v>
      </c>
      <c r="X24" s="45">
        <v>5.67E-2</v>
      </c>
      <c r="Y24" s="45">
        <v>5.4100000000000002E-2</v>
      </c>
      <c r="Z24" s="45">
        <v>4.4699999999999997E-2</v>
      </c>
      <c r="AA24" s="66">
        <f t="shared" si="32"/>
        <v>173.79840000000002</v>
      </c>
      <c r="AB24" s="66">
        <f t="shared" si="33"/>
        <v>168.73920000000001</v>
      </c>
      <c r="AC24" s="66">
        <f t="shared" si="34"/>
        <v>161.0016</v>
      </c>
      <c r="AD24" s="66">
        <f t="shared" si="35"/>
        <v>133.02719999999999</v>
      </c>
      <c r="AE24" s="97"/>
      <c r="AF24" s="66">
        <v>2880</v>
      </c>
      <c r="AG24" s="104">
        <v>5.6300000000000003E-2</v>
      </c>
      <c r="AH24" s="84">
        <v>5.4699999999999999E-2</v>
      </c>
      <c r="AI24" s="84">
        <v>5.2200000000000003E-2</v>
      </c>
      <c r="AJ24" s="105">
        <v>4.5999999999999999E-2</v>
      </c>
      <c r="AK24" s="66">
        <f t="shared" si="36"/>
        <v>162.14400000000001</v>
      </c>
      <c r="AL24" s="66">
        <f t="shared" si="37"/>
        <v>157.536</v>
      </c>
      <c r="AM24" s="66">
        <f t="shared" si="38"/>
        <v>150.33600000000001</v>
      </c>
      <c r="AN24" s="66">
        <f t="shared" si="39"/>
        <v>132.47999999999999</v>
      </c>
      <c r="AO24" s="97"/>
      <c r="AP24" s="66">
        <v>2760</v>
      </c>
      <c r="AQ24" s="106">
        <v>5.4199999999999998E-2</v>
      </c>
      <c r="AR24" s="45">
        <v>5.2699999999999997E-2</v>
      </c>
      <c r="AS24" s="45">
        <v>5.0299999999999997E-2</v>
      </c>
      <c r="AT24" s="107">
        <v>4.4299999999999999E-2</v>
      </c>
      <c r="AU24" s="72">
        <f t="shared" si="40"/>
        <v>149.59199999999998</v>
      </c>
      <c r="AV24" s="72">
        <f t="shared" si="41"/>
        <v>145.452</v>
      </c>
      <c r="AW24" s="72">
        <f t="shared" si="42"/>
        <v>138.828</v>
      </c>
      <c r="AX24" s="72">
        <f t="shared" si="43"/>
        <v>122.268</v>
      </c>
      <c r="AY24" s="97"/>
      <c r="AZ24" s="66">
        <v>2544</v>
      </c>
      <c r="BA24" s="106">
        <v>0.05</v>
      </c>
      <c r="BB24" s="45">
        <v>4.8599999999999997E-2</v>
      </c>
      <c r="BC24" s="45">
        <v>4.6399999999999997E-2</v>
      </c>
      <c r="BD24" s="107">
        <v>4.0899999999999999E-2</v>
      </c>
      <c r="BE24" s="109">
        <f t="shared" si="44"/>
        <v>127.2</v>
      </c>
      <c r="BF24" s="72">
        <f t="shared" si="45"/>
        <v>123.63839999999999</v>
      </c>
      <c r="BG24" s="72">
        <f t="shared" si="46"/>
        <v>118.04159999999999</v>
      </c>
      <c r="BH24" s="72">
        <f t="shared" si="47"/>
        <v>104.0496</v>
      </c>
      <c r="BJ24" s="45"/>
    </row>
    <row r="25" spans="1:62" x14ac:dyDescent="0.25">
      <c r="A25" s="86" t="s">
        <v>97</v>
      </c>
      <c r="B25" s="57">
        <v>3408</v>
      </c>
      <c r="C25" s="87"/>
      <c r="D25" s="87"/>
      <c r="E25" s="87"/>
      <c r="F25" s="87"/>
      <c r="G25" s="57">
        <f t="shared" si="24"/>
        <v>0</v>
      </c>
      <c r="H25" s="57">
        <f t="shared" si="25"/>
        <v>0</v>
      </c>
      <c r="I25" s="57">
        <f t="shared" si="26"/>
        <v>0</v>
      </c>
      <c r="J25" s="57">
        <f t="shared" si="27"/>
        <v>0</v>
      </c>
      <c r="K25" s="88"/>
      <c r="L25" s="57">
        <v>3192</v>
      </c>
      <c r="M25" s="87"/>
      <c r="N25" s="87"/>
      <c r="O25" s="87"/>
      <c r="P25" s="87"/>
      <c r="Q25" s="57">
        <f t="shared" si="28"/>
        <v>0</v>
      </c>
      <c r="R25" s="57">
        <f t="shared" si="29"/>
        <v>0</v>
      </c>
      <c r="S25" s="57">
        <f t="shared" si="30"/>
        <v>0</v>
      </c>
      <c r="T25" s="57">
        <f t="shared" si="31"/>
        <v>0</v>
      </c>
      <c r="U25" s="88"/>
      <c r="V25" s="57">
        <v>2976</v>
      </c>
      <c r="W25" s="45">
        <v>6.2E-2</v>
      </c>
      <c r="X25" s="45">
        <v>6.0299999999999999E-2</v>
      </c>
      <c r="Y25" s="45">
        <v>5.7599999999999998E-2</v>
      </c>
      <c r="Z25" s="45">
        <v>5.0599999999999999E-2</v>
      </c>
      <c r="AA25" s="57">
        <f t="shared" si="32"/>
        <v>184.512</v>
      </c>
      <c r="AB25" s="57">
        <f t="shared" si="33"/>
        <v>179.4528</v>
      </c>
      <c r="AC25" s="57">
        <f t="shared" si="34"/>
        <v>171.41759999999999</v>
      </c>
      <c r="AD25" s="57">
        <f t="shared" si="35"/>
        <v>150.5856</v>
      </c>
      <c r="AE25" s="97"/>
      <c r="AF25" s="57">
        <v>2880</v>
      </c>
      <c r="AG25" s="104">
        <v>5.9799999999999999E-2</v>
      </c>
      <c r="AH25" s="84">
        <v>5.8099999999999999E-2</v>
      </c>
      <c r="AI25" s="84">
        <v>5.5500000000000001E-2</v>
      </c>
      <c r="AJ25" s="105">
        <v>4.8800000000000003E-2</v>
      </c>
      <c r="AK25" s="57">
        <f t="shared" si="36"/>
        <v>172.22399999999999</v>
      </c>
      <c r="AL25" s="57">
        <f t="shared" si="37"/>
        <v>167.328</v>
      </c>
      <c r="AM25" s="57">
        <f t="shared" si="38"/>
        <v>159.84</v>
      </c>
      <c r="AN25" s="57">
        <f t="shared" si="39"/>
        <v>140.54400000000001</v>
      </c>
      <c r="AO25" s="97"/>
      <c r="AP25" s="57">
        <v>2760</v>
      </c>
      <c r="AQ25" s="106">
        <v>5.7599999999999998E-2</v>
      </c>
      <c r="AR25" s="45">
        <v>5.5899999999999998E-2</v>
      </c>
      <c r="AS25" s="45">
        <v>5.3400000000000003E-2</v>
      </c>
      <c r="AT25" s="107">
        <v>4.7E-2</v>
      </c>
      <c r="AU25" s="89">
        <f t="shared" si="40"/>
        <v>158.976</v>
      </c>
      <c r="AV25" s="89">
        <f t="shared" si="41"/>
        <v>154.28399999999999</v>
      </c>
      <c r="AW25" s="89">
        <f t="shared" si="42"/>
        <v>147.38400000000001</v>
      </c>
      <c r="AX25" s="89">
        <f t="shared" si="43"/>
        <v>129.72</v>
      </c>
      <c r="AY25" s="97"/>
      <c r="AZ25" s="57">
        <v>2544</v>
      </c>
      <c r="BA25" s="106">
        <v>5.3199999999999997E-2</v>
      </c>
      <c r="BB25" s="45">
        <v>5.16E-2</v>
      </c>
      <c r="BC25" s="45">
        <v>4.9299999999999997E-2</v>
      </c>
      <c r="BD25" s="107">
        <v>4.3400000000000001E-2</v>
      </c>
      <c r="BE25" s="108">
        <f t="shared" si="44"/>
        <v>135.3408</v>
      </c>
      <c r="BF25" s="89">
        <f t="shared" si="45"/>
        <v>131.2704</v>
      </c>
      <c r="BG25" s="89">
        <f t="shared" si="46"/>
        <v>125.41919999999999</v>
      </c>
      <c r="BH25" s="89">
        <f t="shared" si="47"/>
        <v>110.4096</v>
      </c>
      <c r="BJ25" s="45"/>
    </row>
    <row r="26" spans="1:62" x14ac:dyDescent="0.25">
      <c r="A26" s="65" t="s">
        <v>98</v>
      </c>
      <c r="B26" s="66">
        <v>3408</v>
      </c>
      <c r="C26" s="67"/>
      <c r="D26" s="67"/>
      <c r="E26" s="67"/>
      <c r="F26" s="67"/>
      <c r="G26" s="66">
        <f t="shared" si="24"/>
        <v>0</v>
      </c>
      <c r="H26" s="66">
        <f t="shared" si="25"/>
        <v>0</v>
      </c>
      <c r="I26" s="66">
        <f t="shared" si="26"/>
        <v>0</v>
      </c>
      <c r="J26" s="66">
        <f t="shared" si="27"/>
        <v>0</v>
      </c>
      <c r="K26" s="68"/>
      <c r="L26" s="66">
        <v>3192</v>
      </c>
      <c r="M26" s="67"/>
      <c r="N26" s="67"/>
      <c r="O26" s="67"/>
      <c r="P26" s="67"/>
      <c r="Q26" s="66">
        <f t="shared" si="28"/>
        <v>0</v>
      </c>
      <c r="R26" s="66">
        <f t="shared" si="29"/>
        <v>0</v>
      </c>
      <c r="S26" s="66">
        <f t="shared" si="30"/>
        <v>0</v>
      </c>
      <c r="T26" s="66">
        <f t="shared" si="31"/>
        <v>0</v>
      </c>
      <c r="U26" s="68"/>
      <c r="V26" s="66">
        <v>2976</v>
      </c>
      <c r="W26" s="45">
        <v>6.6199999999999995E-2</v>
      </c>
      <c r="X26" s="45">
        <v>6.4299999999999996E-2</v>
      </c>
      <c r="Y26" s="45">
        <v>6.1400000000000003E-2</v>
      </c>
      <c r="Z26" s="45">
        <v>5.3999999999999999E-2</v>
      </c>
      <c r="AA26" s="66">
        <f t="shared" si="32"/>
        <v>197.01119999999997</v>
      </c>
      <c r="AB26" s="66">
        <f t="shared" si="33"/>
        <v>191.35679999999999</v>
      </c>
      <c r="AC26" s="66">
        <f t="shared" si="34"/>
        <v>182.72640000000001</v>
      </c>
      <c r="AD26" s="66">
        <f t="shared" si="35"/>
        <v>160.70400000000001</v>
      </c>
      <c r="AE26" s="97"/>
      <c r="AF26" s="66">
        <v>2880</v>
      </c>
      <c r="AG26" s="104">
        <v>6.3799999999999996E-2</v>
      </c>
      <c r="AH26" s="84">
        <v>6.2E-2</v>
      </c>
      <c r="AI26" s="84">
        <v>5.9200000000000003E-2</v>
      </c>
      <c r="AJ26" s="105">
        <v>5.21E-2</v>
      </c>
      <c r="AK26" s="66">
        <f t="shared" si="36"/>
        <v>183.744</v>
      </c>
      <c r="AL26" s="66">
        <f t="shared" si="37"/>
        <v>178.56</v>
      </c>
      <c r="AM26" s="66">
        <f t="shared" si="38"/>
        <v>170.49600000000001</v>
      </c>
      <c r="AN26" s="66">
        <f t="shared" si="39"/>
        <v>150.048</v>
      </c>
      <c r="AO26" s="97"/>
      <c r="AP26" s="66">
        <v>2760</v>
      </c>
      <c r="AQ26" s="106">
        <v>6.1400000000000003E-2</v>
      </c>
      <c r="AR26" s="45">
        <v>5.9700000000000003E-2</v>
      </c>
      <c r="AS26" s="45">
        <v>5.7000000000000002E-2</v>
      </c>
      <c r="AT26" s="107">
        <v>5.0200000000000002E-2</v>
      </c>
      <c r="AU26" s="72">
        <f t="shared" si="40"/>
        <v>169.464</v>
      </c>
      <c r="AV26" s="72">
        <f t="shared" si="41"/>
        <v>164.77200000000002</v>
      </c>
      <c r="AW26" s="72">
        <f t="shared" si="42"/>
        <v>157.32</v>
      </c>
      <c r="AX26" s="72">
        <f t="shared" si="43"/>
        <v>138.55199999999999</v>
      </c>
      <c r="AY26" s="97"/>
      <c r="AZ26" s="66">
        <v>2544</v>
      </c>
      <c r="BA26" s="106">
        <v>5.67E-2</v>
      </c>
      <c r="BB26" s="45">
        <v>5.5100000000000003E-2</v>
      </c>
      <c r="BC26" s="45">
        <v>5.2600000000000001E-2</v>
      </c>
      <c r="BD26" s="107">
        <v>4.6300000000000001E-2</v>
      </c>
      <c r="BE26" s="109">
        <f t="shared" si="44"/>
        <v>144.2448</v>
      </c>
      <c r="BF26" s="72">
        <f t="shared" si="45"/>
        <v>140.17440000000002</v>
      </c>
      <c r="BG26" s="72">
        <f t="shared" si="46"/>
        <v>133.81440000000001</v>
      </c>
      <c r="BH26" s="72">
        <f t="shared" si="47"/>
        <v>117.7872</v>
      </c>
      <c r="BJ26" s="73"/>
    </row>
    <row r="27" spans="1:62" x14ac:dyDescent="0.25">
      <c r="A27" s="86" t="s">
        <v>99</v>
      </c>
      <c r="B27" s="57">
        <v>3408</v>
      </c>
      <c r="C27" s="87"/>
      <c r="D27" s="87"/>
      <c r="E27" s="87"/>
      <c r="F27" s="87"/>
      <c r="G27" s="57">
        <f t="shared" si="24"/>
        <v>0</v>
      </c>
      <c r="H27" s="57">
        <f t="shared" si="25"/>
        <v>0</v>
      </c>
      <c r="I27" s="57">
        <f t="shared" si="26"/>
        <v>0</v>
      </c>
      <c r="J27" s="57">
        <f t="shared" si="27"/>
        <v>0</v>
      </c>
      <c r="K27" s="88"/>
      <c r="L27" s="57">
        <v>3192</v>
      </c>
      <c r="M27" s="87"/>
      <c r="N27" s="87"/>
      <c r="O27" s="87"/>
      <c r="P27" s="87"/>
      <c r="Q27" s="57">
        <f t="shared" si="28"/>
        <v>0</v>
      </c>
      <c r="R27" s="57">
        <f t="shared" si="29"/>
        <v>0</v>
      </c>
      <c r="S27" s="57">
        <f t="shared" si="30"/>
        <v>0</v>
      </c>
      <c r="T27" s="57">
        <f t="shared" si="31"/>
        <v>0</v>
      </c>
      <c r="U27" s="88"/>
      <c r="V27" s="57">
        <v>2976</v>
      </c>
      <c r="W27" s="45">
        <v>7.0900000000000005E-2</v>
      </c>
      <c r="X27" s="45">
        <v>6.8900000000000003E-2</v>
      </c>
      <c r="Y27" s="45">
        <v>6.5699999999999995E-2</v>
      </c>
      <c r="Z27" s="45">
        <v>6.0400000000000002E-2</v>
      </c>
      <c r="AA27" s="57">
        <f t="shared" si="32"/>
        <v>210.9984</v>
      </c>
      <c r="AB27" s="57">
        <f t="shared" si="33"/>
        <v>205.04640000000001</v>
      </c>
      <c r="AC27" s="57">
        <f t="shared" si="34"/>
        <v>195.52319999999997</v>
      </c>
      <c r="AD27" s="57">
        <f t="shared" si="35"/>
        <v>179.75040000000001</v>
      </c>
      <c r="AE27" s="97"/>
      <c r="AF27" s="57">
        <v>2880</v>
      </c>
      <c r="AG27" s="104">
        <v>6.8400000000000002E-2</v>
      </c>
      <c r="AH27" s="84">
        <v>6.6400000000000001E-2</v>
      </c>
      <c r="AI27" s="84">
        <v>6.3399999999999998E-2</v>
      </c>
      <c r="AJ27" s="105">
        <v>5.8200000000000002E-2</v>
      </c>
      <c r="AK27" s="57">
        <f t="shared" si="36"/>
        <v>196.99200000000002</v>
      </c>
      <c r="AL27" s="57">
        <f t="shared" si="37"/>
        <v>191.232</v>
      </c>
      <c r="AM27" s="57">
        <f t="shared" si="38"/>
        <v>182.59199999999998</v>
      </c>
      <c r="AN27" s="57">
        <f t="shared" si="39"/>
        <v>167.61600000000001</v>
      </c>
      <c r="AO27" s="97"/>
      <c r="AP27" s="57">
        <v>2760</v>
      </c>
      <c r="AQ27" s="106">
        <v>6.59E-2</v>
      </c>
      <c r="AR27" s="45">
        <v>6.3899999999999998E-2</v>
      </c>
      <c r="AS27" s="45">
        <v>6.1100000000000002E-2</v>
      </c>
      <c r="AT27" s="107">
        <v>5.6000000000000001E-2</v>
      </c>
      <c r="AU27" s="89">
        <f t="shared" si="40"/>
        <v>181.88400000000001</v>
      </c>
      <c r="AV27" s="89">
        <f t="shared" si="41"/>
        <v>176.364</v>
      </c>
      <c r="AW27" s="89">
        <f t="shared" si="42"/>
        <v>168.636</v>
      </c>
      <c r="AX27" s="89">
        <f t="shared" si="43"/>
        <v>154.56</v>
      </c>
      <c r="AY27" s="97"/>
      <c r="AZ27" s="57">
        <v>2522</v>
      </c>
      <c r="BA27" s="106">
        <v>6.08E-2</v>
      </c>
      <c r="BB27" s="45">
        <v>5.8999999999999997E-2</v>
      </c>
      <c r="BC27" s="45">
        <v>5.6399999999999999E-2</v>
      </c>
      <c r="BD27" s="107">
        <v>5.1700000000000003E-2</v>
      </c>
      <c r="BE27" s="108">
        <f t="shared" si="44"/>
        <v>153.33760000000001</v>
      </c>
      <c r="BF27" s="89">
        <f t="shared" si="45"/>
        <v>148.798</v>
      </c>
      <c r="BG27" s="89">
        <f t="shared" si="46"/>
        <v>142.24080000000001</v>
      </c>
      <c r="BH27" s="89">
        <f t="shared" si="47"/>
        <v>130.38740000000001</v>
      </c>
      <c r="BJ27" s="45"/>
    </row>
    <row r="28" spans="1:62" x14ac:dyDescent="0.25">
      <c r="A28" s="65" t="s">
        <v>100</v>
      </c>
      <c r="B28" s="66">
        <v>3408</v>
      </c>
      <c r="C28" s="67"/>
      <c r="D28" s="67"/>
      <c r="E28" s="67"/>
      <c r="F28" s="67"/>
      <c r="G28" s="66">
        <f t="shared" si="24"/>
        <v>0</v>
      </c>
      <c r="H28" s="66">
        <f t="shared" si="25"/>
        <v>0</v>
      </c>
      <c r="I28" s="66">
        <f t="shared" si="26"/>
        <v>0</v>
      </c>
      <c r="J28" s="66">
        <f t="shared" si="27"/>
        <v>0</v>
      </c>
      <c r="K28" s="68"/>
      <c r="L28" s="66">
        <v>3192</v>
      </c>
      <c r="M28" s="67"/>
      <c r="N28" s="67"/>
      <c r="O28" s="67"/>
      <c r="P28" s="67"/>
      <c r="Q28" s="66">
        <f t="shared" si="28"/>
        <v>0</v>
      </c>
      <c r="R28" s="66">
        <f t="shared" si="29"/>
        <v>0</v>
      </c>
      <c r="S28" s="66">
        <f t="shared" si="30"/>
        <v>0</v>
      </c>
      <c r="T28" s="66">
        <f t="shared" si="31"/>
        <v>0</v>
      </c>
      <c r="U28" s="68"/>
      <c r="V28" s="66">
        <v>2976</v>
      </c>
      <c r="W28" s="45">
        <v>7.6300000000000007E-2</v>
      </c>
      <c r="X28" s="45">
        <v>7.4099999999999999E-2</v>
      </c>
      <c r="Y28" s="45">
        <v>7.0800000000000002E-2</v>
      </c>
      <c r="Z28" s="45">
        <v>6.2300000000000001E-2</v>
      </c>
      <c r="AA28" s="66">
        <f t="shared" si="32"/>
        <v>227.06880000000001</v>
      </c>
      <c r="AB28" s="66">
        <f t="shared" si="33"/>
        <v>220.52160000000001</v>
      </c>
      <c r="AC28" s="66">
        <f t="shared" si="34"/>
        <v>210.70080000000002</v>
      </c>
      <c r="AD28" s="66">
        <f t="shared" si="35"/>
        <v>185.40479999999999</v>
      </c>
      <c r="AE28" s="97"/>
      <c r="AF28" s="66">
        <v>2880</v>
      </c>
      <c r="AG28" s="104">
        <v>7.3599999999999999E-2</v>
      </c>
      <c r="AH28" s="84">
        <v>7.1499999999999994E-2</v>
      </c>
      <c r="AI28" s="84">
        <v>6.83E-2</v>
      </c>
      <c r="AJ28" s="105">
        <v>6.0100000000000001E-2</v>
      </c>
      <c r="AK28" s="66">
        <f t="shared" si="36"/>
        <v>211.96799999999999</v>
      </c>
      <c r="AL28" s="66">
        <f t="shared" si="37"/>
        <v>205.92</v>
      </c>
      <c r="AM28" s="66">
        <f t="shared" si="38"/>
        <v>196.70400000000001</v>
      </c>
      <c r="AN28" s="66">
        <f t="shared" si="39"/>
        <v>173.08799999999999</v>
      </c>
      <c r="AO28" s="97"/>
      <c r="AP28" s="66">
        <v>2760</v>
      </c>
      <c r="AQ28" s="106">
        <v>7.0900000000000005E-2</v>
      </c>
      <c r="AR28" s="45">
        <v>6.8900000000000003E-2</v>
      </c>
      <c r="AS28" s="45">
        <v>6.5799999999999997E-2</v>
      </c>
      <c r="AT28" s="107">
        <v>5.79E-2</v>
      </c>
      <c r="AU28" s="72">
        <f t="shared" si="40"/>
        <v>195.68400000000003</v>
      </c>
      <c r="AV28" s="72">
        <f t="shared" si="41"/>
        <v>190.16400000000002</v>
      </c>
      <c r="AW28" s="72">
        <f t="shared" si="42"/>
        <v>181.608</v>
      </c>
      <c r="AX28" s="72">
        <f t="shared" si="43"/>
        <v>159.804</v>
      </c>
      <c r="AY28" s="97"/>
      <c r="AZ28" s="66">
        <v>2544</v>
      </c>
      <c r="BA28" s="106">
        <v>6.54E-2</v>
      </c>
      <c r="BB28" s="45">
        <v>6.3600000000000004E-2</v>
      </c>
      <c r="BC28" s="45">
        <v>6.0699999999999997E-2</v>
      </c>
      <c r="BD28" s="107">
        <v>5.3400000000000003E-2</v>
      </c>
      <c r="BE28" s="109">
        <f t="shared" si="44"/>
        <v>166.3776</v>
      </c>
      <c r="BF28" s="72">
        <f t="shared" si="45"/>
        <v>161.79840000000002</v>
      </c>
      <c r="BG28" s="72">
        <f t="shared" si="46"/>
        <v>154.42079999999999</v>
      </c>
      <c r="BH28" s="72">
        <f t="shared" si="47"/>
        <v>135.84960000000001</v>
      </c>
      <c r="BJ28" s="45"/>
    </row>
    <row r="29" spans="1:62" x14ac:dyDescent="0.25">
      <c r="A29" s="90" t="s">
        <v>101</v>
      </c>
      <c r="B29" s="57">
        <v>3408</v>
      </c>
      <c r="C29" s="91"/>
      <c r="D29" s="91"/>
      <c r="E29" s="91"/>
      <c r="F29" s="91"/>
      <c r="G29" s="57">
        <f t="shared" si="24"/>
        <v>0</v>
      </c>
      <c r="H29" s="57">
        <f t="shared" si="25"/>
        <v>0</v>
      </c>
      <c r="I29" s="57">
        <f t="shared" si="26"/>
        <v>0</v>
      </c>
      <c r="J29" s="57">
        <f t="shared" si="27"/>
        <v>0</v>
      </c>
      <c r="K29" s="92"/>
      <c r="L29" s="57">
        <v>3192</v>
      </c>
      <c r="M29" s="91"/>
      <c r="N29" s="91"/>
      <c r="O29" s="91"/>
      <c r="P29" s="91"/>
      <c r="Q29" s="57">
        <f t="shared" si="28"/>
        <v>0</v>
      </c>
      <c r="R29" s="57">
        <f t="shared" si="29"/>
        <v>0</v>
      </c>
      <c r="S29" s="57">
        <f t="shared" si="30"/>
        <v>0</v>
      </c>
      <c r="T29" s="57">
        <f t="shared" si="31"/>
        <v>0</v>
      </c>
      <c r="U29" s="92"/>
      <c r="V29" s="57">
        <v>2976</v>
      </c>
      <c r="W29" s="45">
        <v>8.2799999999999999E-2</v>
      </c>
      <c r="X29" s="45">
        <v>8.0399999999999999E-2</v>
      </c>
      <c r="Y29" s="45">
        <v>7.6700000000000004E-2</v>
      </c>
      <c r="Z29" s="45">
        <v>6.7500000000000004E-2</v>
      </c>
      <c r="AA29" s="57">
        <f t="shared" si="32"/>
        <v>246.4128</v>
      </c>
      <c r="AB29" s="57">
        <f t="shared" si="33"/>
        <v>239.2704</v>
      </c>
      <c r="AC29" s="57">
        <f t="shared" si="34"/>
        <v>228.25920000000002</v>
      </c>
      <c r="AD29" s="57">
        <f t="shared" si="35"/>
        <v>200.88000000000002</v>
      </c>
      <c r="AE29" s="110"/>
      <c r="AF29" s="57">
        <v>2880</v>
      </c>
      <c r="AG29" s="111">
        <v>7.9799999999999996E-2</v>
      </c>
      <c r="AH29" s="112">
        <v>7.7499999999999999E-2</v>
      </c>
      <c r="AI29" s="112">
        <v>7.3999999999999996E-2</v>
      </c>
      <c r="AJ29" s="113">
        <v>6.5100000000000005E-2</v>
      </c>
      <c r="AK29" s="57">
        <f t="shared" si="36"/>
        <v>229.82399999999998</v>
      </c>
      <c r="AL29" s="57">
        <f t="shared" si="37"/>
        <v>223.2</v>
      </c>
      <c r="AM29" s="57">
        <f t="shared" si="38"/>
        <v>213.11999999999998</v>
      </c>
      <c r="AN29" s="57">
        <f t="shared" si="39"/>
        <v>187.48800000000003</v>
      </c>
      <c r="AO29" s="110"/>
      <c r="AP29" s="57">
        <v>2760</v>
      </c>
      <c r="AQ29" s="114">
        <v>7.6799999999999993E-2</v>
      </c>
      <c r="AR29" s="115">
        <v>7.46E-2</v>
      </c>
      <c r="AS29" s="115">
        <v>7.1300000000000002E-2</v>
      </c>
      <c r="AT29" s="116">
        <v>6.2700000000000006E-2</v>
      </c>
      <c r="AU29" s="89">
        <f t="shared" si="40"/>
        <v>211.96799999999999</v>
      </c>
      <c r="AV29" s="89">
        <f t="shared" si="41"/>
        <v>205.89599999999999</v>
      </c>
      <c r="AW29" s="89">
        <f t="shared" si="42"/>
        <v>196.78800000000001</v>
      </c>
      <c r="AX29" s="89">
        <f t="shared" si="43"/>
        <v>173.05200000000002</v>
      </c>
      <c r="AY29" s="110"/>
      <c r="AZ29" s="57">
        <v>2544</v>
      </c>
      <c r="BA29" s="114">
        <v>7.0900000000000005E-2</v>
      </c>
      <c r="BB29" s="115">
        <v>6.8900000000000003E-2</v>
      </c>
      <c r="BC29" s="115">
        <v>6.5799999999999997E-2</v>
      </c>
      <c r="BD29" s="116">
        <v>5.79E-2</v>
      </c>
      <c r="BE29" s="108">
        <f t="shared" si="44"/>
        <v>180.36960000000002</v>
      </c>
      <c r="BF29" s="89">
        <f t="shared" si="45"/>
        <v>175.2816</v>
      </c>
      <c r="BG29" s="89">
        <f t="shared" si="46"/>
        <v>167.39519999999999</v>
      </c>
      <c r="BH29" s="89">
        <f t="shared" si="47"/>
        <v>147.29759999999999</v>
      </c>
      <c r="BJ29" s="45"/>
    </row>
    <row r="30" spans="1:62" ht="12" customHeight="1" x14ac:dyDescent="0.25">
      <c r="A30" s="207" t="s">
        <v>103</v>
      </c>
      <c r="B30" s="207"/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J30" s="45"/>
    </row>
    <row r="31" spans="1:62" x14ac:dyDescent="0.25">
      <c r="A31" s="94"/>
      <c r="B31" s="47" t="s">
        <v>75</v>
      </c>
      <c r="C31" s="48" t="s">
        <v>76</v>
      </c>
      <c r="D31" s="49" t="s">
        <v>77</v>
      </c>
      <c r="E31" s="49" t="s">
        <v>78</v>
      </c>
      <c r="F31" s="50" t="s">
        <v>79</v>
      </c>
      <c r="G31" s="207" t="s">
        <v>80</v>
      </c>
      <c r="H31" s="207"/>
      <c r="I31" s="207"/>
      <c r="J31" s="207"/>
      <c r="K31" s="51"/>
      <c r="L31" s="47" t="s">
        <v>75</v>
      </c>
      <c r="M31" s="48" t="s">
        <v>76</v>
      </c>
      <c r="N31" s="49" t="s">
        <v>77</v>
      </c>
      <c r="O31" s="49" t="s">
        <v>78</v>
      </c>
      <c r="P31" s="50" t="s">
        <v>79</v>
      </c>
      <c r="Q31" s="207" t="s">
        <v>81</v>
      </c>
      <c r="R31" s="207"/>
      <c r="S31" s="207"/>
      <c r="T31" s="207"/>
      <c r="U31" s="51"/>
      <c r="V31" s="47" t="s">
        <v>75</v>
      </c>
      <c r="W31" s="48" t="s">
        <v>76</v>
      </c>
      <c r="X31" s="49" t="s">
        <v>77</v>
      </c>
      <c r="Y31" s="49" t="s">
        <v>78</v>
      </c>
      <c r="Z31" s="50" t="s">
        <v>79</v>
      </c>
      <c r="AA31" s="207" t="s">
        <v>82</v>
      </c>
      <c r="AB31" s="207"/>
      <c r="AC31" s="207"/>
      <c r="AD31" s="207"/>
      <c r="AE31" s="95"/>
      <c r="AF31" s="47" t="s">
        <v>75</v>
      </c>
      <c r="AG31" s="49" t="s">
        <v>76</v>
      </c>
      <c r="AH31" s="49" t="s">
        <v>77</v>
      </c>
      <c r="AI31" s="49" t="s">
        <v>78</v>
      </c>
      <c r="AJ31" s="49" t="s">
        <v>79</v>
      </c>
      <c r="AK31" s="207" t="s">
        <v>83</v>
      </c>
      <c r="AL31" s="207"/>
      <c r="AM31" s="207"/>
      <c r="AN31" s="207"/>
      <c r="AO31" s="95"/>
      <c r="AP31" s="47" t="s">
        <v>75</v>
      </c>
      <c r="AQ31" s="48" t="s">
        <v>76</v>
      </c>
      <c r="AR31" s="49" t="s">
        <v>77</v>
      </c>
      <c r="AS31" s="49" t="s">
        <v>78</v>
      </c>
      <c r="AT31" s="50" t="s">
        <v>79</v>
      </c>
      <c r="AU31" s="207" t="s">
        <v>84</v>
      </c>
      <c r="AV31" s="207"/>
      <c r="AW31" s="207"/>
      <c r="AX31" s="207"/>
      <c r="AY31" s="95"/>
      <c r="AZ31" s="47" t="s">
        <v>75</v>
      </c>
      <c r="BA31" s="48" t="s">
        <v>76</v>
      </c>
      <c r="BB31" s="49" t="s">
        <v>77</v>
      </c>
      <c r="BC31" s="49" t="s">
        <v>78</v>
      </c>
      <c r="BD31" s="50" t="s">
        <v>79</v>
      </c>
      <c r="BE31" s="207" t="s">
        <v>85</v>
      </c>
      <c r="BF31" s="207"/>
      <c r="BG31" s="207"/>
      <c r="BH31" s="207"/>
      <c r="BJ31" s="73"/>
    </row>
    <row r="32" spans="1:62" ht="11.25" customHeight="1" x14ac:dyDescent="0.25">
      <c r="A32" s="52" t="s">
        <v>86</v>
      </c>
      <c r="B32" s="53" t="s">
        <v>87</v>
      </c>
      <c r="C32" s="54" t="s">
        <v>88</v>
      </c>
      <c r="D32" s="55" t="s">
        <v>88</v>
      </c>
      <c r="E32" s="55" t="s">
        <v>88</v>
      </c>
      <c r="F32" s="56" t="s">
        <v>88</v>
      </c>
      <c r="G32" s="57">
        <v>20</v>
      </c>
      <c r="H32" s="57">
        <v>30</v>
      </c>
      <c r="I32" s="57">
        <v>40</v>
      </c>
      <c r="J32" s="57">
        <v>70</v>
      </c>
      <c r="K32" s="58"/>
      <c r="L32" s="53" t="s">
        <v>87</v>
      </c>
      <c r="M32" s="54" t="s">
        <v>88</v>
      </c>
      <c r="N32" s="55" t="s">
        <v>88</v>
      </c>
      <c r="O32" s="55" t="s">
        <v>88</v>
      </c>
      <c r="P32" s="56" t="s">
        <v>88</v>
      </c>
      <c r="Q32" s="57">
        <v>20</v>
      </c>
      <c r="R32" s="57">
        <v>30</v>
      </c>
      <c r="S32" s="57">
        <v>40</v>
      </c>
      <c r="T32" s="57">
        <v>70</v>
      </c>
      <c r="U32" s="58"/>
      <c r="V32" s="53" t="s">
        <v>87</v>
      </c>
      <c r="W32" s="54" t="s">
        <v>88</v>
      </c>
      <c r="X32" s="55" t="s">
        <v>88</v>
      </c>
      <c r="Y32" s="55" t="s">
        <v>88</v>
      </c>
      <c r="Z32" s="56" t="s">
        <v>88</v>
      </c>
      <c r="AA32" s="57">
        <v>20</v>
      </c>
      <c r="AB32" s="57">
        <v>30</v>
      </c>
      <c r="AC32" s="57">
        <v>40</v>
      </c>
      <c r="AD32" s="57">
        <v>70</v>
      </c>
      <c r="AE32" s="97"/>
      <c r="AF32" s="53" t="s">
        <v>87</v>
      </c>
      <c r="AG32" s="55" t="s">
        <v>88</v>
      </c>
      <c r="AH32" s="55" t="s">
        <v>88</v>
      </c>
      <c r="AI32" s="55" t="s">
        <v>88</v>
      </c>
      <c r="AJ32" s="55" t="s">
        <v>88</v>
      </c>
      <c r="AK32" s="57">
        <v>20</v>
      </c>
      <c r="AL32" s="57">
        <v>30</v>
      </c>
      <c r="AM32" s="57">
        <v>40</v>
      </c>
      <c r="AN32" s="57">
        <v>70</v>
      </c>
      <c r="AO32" s="97"/>
      <c r="AP32" s="53" t="s">
        <v>87</v>
      </c>
      <c r="AQ32" s="54" t="s">
        <v>88</v>
      </c>
      <c r="AR32" s="55" t="s">
        <v>88</v>
      </c>
      <c r="AS32" s="55" t="s">
        <v>88</v>
      </c>
      <c r="AT32" s="56" t="s">
        <v>88</v>
      </c>
      <c r="AU32" s="57">
        <v>20</v>
      </c>
      <c r="AV32" s="57">
        <v>30</v>
      </c>
      <c r="AW32" s="57">
        <v>40</v>
      </c>
      <c r="AX32" s="57">
        <v>70</v>
      </c>
      <c r="AY32" s="97"/>
      <c r="AZ32" s="53" t="s">
        <v>87</v>
      </c>
      <c r="BA32" s="54" t="s">
        <v>88</v>
      </c>
      <c r="BB32" s="55" t="s">
        <v>88</v>
      </c>
      <c r="BC32" s="55" t="s">
        <v>88</v>
      </c>
      <c r="BD32" s="56" t="s">
        <v>88</v>
      </c>
      <c r="BE32" s="57">
        <v>20</v>
      </c>
      <c r="BF32" s="57">
        <v>30</v>
      </c>
      <c r="BG32" s="57">
        <v>40</v>
      </c>
      <c r="BH32" s="57">
        <v>70</v>
      </c>
      <c r="BJ32" s="45"/>
    </row>
    <row r="33" spans="1:62" ht="11.25" customHeight="1" x14ac:dyDescent="0.25">
      <c r="A33" s="98"/>
      <c r="B33" s="60" t="s">
        <v>89</v>
      </c>
      <c r="C33" s="61" t="s">
        <v>90</v>
      </c>
      <c r="D33" s="62" t="s">
        <v>90</v>
      </c>
      <c r="E33" s="62" t="s">
        <v>90</v>
      </c>
      <c r="F33" s="63" t="s">
        <v>90</v>
      </c>
      <c r="G33" s="64" t="s">
        <v>91</v>
      </c>
      <c r="H33" s="64" t="s">
        <v>91</v>
      </c>
      <c r="I33" s="64" t="s">
        <v>91</v>
      </c>
      <c r="J33" s="64" t="s">
        <v>91</v>
      </c>
      <c r="K33" s="58"/>
      <c r="L33" s="60" t="s">
        <v>89</v>
      </c>
      <c r="M33" s="61" t="s">
        <v>90</v>
      </c>
      <c r="N33" s="62" t="s">
        <v>90</v>
      </c>
      <c r="O33" s="62" t="s">
        <v>90</v>
      </c>
      <c r="P33" s="63" t="s">
        <v>90</v>
      </c>
      <c r="Q33" s="64" t="s">
        <v>91</v>
      </c>
      <c r="R33" s="64" t="s">
        <v>91</v>
      </c>
      <c r="S33" s="64" t="s">
        <v>91</v>
      </c>
      <c r="T33" s="64" t="s">
        <v>91</v>
      </c>
      <c r="U33" s="58"/>
      <c r="V33" s="60" t="s">
        <v>89</v>
      </c>
      <c r="W33" s="61" t="s">
        <v>90</v>
      </c>
      <c r="X33" s="62" t="s">
        <v>90</v>
      </c>
      <c r="Y33" s="62" t="s">
        <v>90</v>
      </c>
      <c r="Z33" s="63" t="s">
        <v>90</v>
      </c>
      <c r="AA33" s="64" t="s">
        <v>91</v>
      </c>
      <c r="AB33" s="64" t="s">
        <v>91</v>
      </c>
      <c r="AC33" s="64" t="s">
        <v>91</v>
      </c>
      <c r="AD33" s="64" t="s">
        <v>91</v>
      </c>
      <c r="AE33" s="97"/>
      <c r="AF33" s="60" t="s">
        <v>89</v>
      </c>
      <c r="AG33" s="55" t="s">
        <v>90</v>
      </c>
      <c r="AH33" s="55" t="s">
        <v>90</v>
      </c>
      <c r="AI33" s="55" t="s">
        <v>90</v>
      </c>
      <c r="AJ33" s="55" t="s">
        <v>90</v>
      </c>
      <c r="AK33" s="64" t="s">
        <v>91</v>
      </c>
      <c r="AL33" s="64" t="s">
        <v>91</v>
      </c>
      <c r="AM33" s="64" t="s">
        <v>91</v>
      </c>
      <c r="AN33" s="64" t="s">
        <v>91</v>
      </c>
      <c r="AO33" s="97"/>
      <c r="AP33" s="60" t="s">
        <v>89</v>
      </c>
      <c r="AQ33" s="61" t="s">
        <v>90</v>
      </c>
      <c r="AR33" s="62" t="s">
        <v>90</v>
      </c>
      <c r="AS33" s="62" t="s">
        <v>90</v>
      </c>
      <c r="AT33" s="63" t="s">
        <v>90</v>
      </c>
      <c r="AU33" s="64" t="s">
        <v>91</v>
      </c>
      <c r="AV33" s="64" t="s">
        <v>91</v>
      </c>
      <c r="AW33" s="64" t="s">
        <v>91</v>
      </c>
      <c r="AX33" s="64" t="s">
        <v>91</v>
      </c>
      <c r="AY33" s="97"/>
      <c r="AZ33" s="60" t="s">
        <v>89</v>
      </c>
      <c r="BA33" s="61" t="s">
        <v>90</v>
      </c>
      <c r="BB33" s="62" t="s">
        <v>90</v>
      </c>
      <c r="BC33" s="62" t="s">
        <v>90</v>
      </c>
      <c r="BD33" s="63" t="s">
        <v>90</v>
      </c>
      <c r="BE33" s="64" t="s">
        <v>91</v>
      </c>
      <c r="BF33" s="64" t="s">
        <v>91</v>
      </c>
      <c r="BG33" s="64" t="s">
        <v>91</v>
      </c>
      <c r="BH33" s="64" t="s">
        <v>91</v>
      </c>
      <c r="BJ33" s="45"/>
    </row>
    <row r="34" spans="1:62" x14ac:dyDescent="0.25">
      <c r="A34" s="65" t="s">
        <v>92</v>
      </c>
      <c r="B34" s="66">
        <v>3216</v>
      </c>
      <c r="C34" s="67">
        <v>2.8400000000000002E-2</v>
      </c>
      <c r="D34" s="67">
        <v>2.75E-2</v>
      </c>
      <c r="E34" s="67">
        <v>2.63E-2</v>
      </c>
      <c r="F34" s="67">
        <v>2.3099999999999999E-2</v>
      </c>
      <c r="G34" s="66">
        <f t="shared" ref="G34:G43" si="48">(B34*C34)</f>
        <v>91.334400000000002</v>
      </c>
      <c r="H34" s="66">
        <f t="shared" ref="H34:H43" si="49">(B34*D34)</f>
        <v>88.44</v>
      </c>
      <c r="I34" s="66">
        <f t="shared" ref="I34:I43" si="50">(B34*E34)</f>
        <v>84.580799999999996</v>
      </c>
      <c r="J34" s="66">
        <f t="shared" ref="J34:J43" si="51">(B34*F34)</f>
        <v>74.289599999999993</v>
      </c>
      <c r="K34" s="68"/>
      <c r="L34" s="66">
        <v>3000</v>
      </c>
      <c r="M34" s="67">
        <v>2.6700000000000002E-2</v>
      </c>
      <c r="N34" s="67">
        <v>2.58E-2</v>
      </c>
      <c r="O34" s="67">
        <v>2.47E-2</v>
      </c>
      <c r="P34" s="67">
        <v>2.1700000000000001E-2</v>
      </c>
      <c r="Q34" s="66">
        <f t="shared" ref="Q34:Q43" si="52">(L34*M34)</f>
        <v>80.100000000000009</v>
      </c>
      <c r="R34" s="66">
        <f t="shared" ref="R34:R43" si="53">(L34*N34)</f>
        <v>77.400000000000006</v>
      </c>
      <c r="S34" s="66">
        <f t="shared" ref="S34:S43" si="54">(L34*O34)</f>
        <v>74.099999999999994</v>
      </c>
      <c r="T34" s="66">
        <f t="shared" ref="T34:T43" si="55">(L34*P34)</f>
        <v>65.100000000000009</v>
      </c>
      <c r="U34" s="68"/>
      <c r="V34" s="66">
        <v>2808</v>
      </c>
      <c r="W34" s="67"/>
      <c r="X34" s="67"/>
      <c r="Y34" s="67"/>
      <c r="Z34" s="67"/>
      <c r="AA34" s="66">
        <f t="shared" ref="AA34:AA43" si="56">(V34*W34)</f>
        <v>0</v>
      </c>
      <c r="AB34" s="66">
        <f t="shared" ref="AB34:AB43" si="57">(V34*X34)</f>
        <v>0</v>
      </c>
      <c r="AC34" s="66">
        <f t="shared" ref="AC34:AC43" si="58">(V34*Y34)</f>
        <v>0</v>
      </c>
      <c r="AD34" s="66">
        <f t="shared" ref="AD34:AD43" si="59">(V34*Z34)</f>
        <v>0</v>
      </c>
      <c r="AE34" s="97"/>
      <c r="AF34" s="66">
        <v>2760</v>
      </c>
      <c r="AG34" s="69"/>
      <c r="AH34" s="70"/>
      <c r="AI34" s="70"/>
      <c r="AJ34" s="71"/>
      <c r="AK34" s="66">
        <f t="shared" ref="AK34:AK43" si="60">(AF34*AG34)</f>
        <v>0</v>
      </c>
      <c r="AL34" s="66">
        <f t="shared" ref="AL34:AL43" si="61">(AF34*AH34)</f>
        <v>0</v>
      </c>
      <c r="AM34" s="66">
        <f t="shared" ref="AM34:AM43" si="62">(AF34*AI34)</f>
        <v>0</v>
      </c>
      <c r="AN34" s="66">
        <f t="shared" ref="AN34:AN43" si="63">(AF34*AJ34)</f>
        <v>0</v>
      </c>
      <c r="AO34" s="97"/>
      <c r="AP34" s="66">
        <v>2616</v>
      </c>
      <c r="AQ34" s="69"/>
      <c r="AR34" s="70"/>
      <c r="AS34" s="70"/>
      <c r="AT34" s="71"/>
      <c r="AU34" s="72">
        <f t="shared" ref="AU34:AU43" si="64">(AP34*AQ34)</f>
        <v>0</v>
      </c>
      <c r="AV34" s="72">
        <f t="shared" ref="AV34:AV43" si="65">(AP34*AR34)</f>
        <v>0</v>
      </c>
      <c r="AW34" s="72">
        <f t="shared" ref="AW34:AW43" si="66">(AP34*AS34)</f>
        <v>0</v>
      </c>
      <c r="AX34" s="72">
        <f t="shared" ref="AX34:AX43" si="67">(AP34*AT34)</f>
        <v>0</v>
      </c>
      <c r="AY34" s="97"/>
      <c r="AZ34" s="66">
        <v>2400</v>
      </c>
      <c r="BA34" s="69"/>
      <c r="BB34" s="70"/>
      <c r="BC34" s="70"/>
      <c r="BD34" s="71"/>
      <c r="BE34" s="100">
        <f t="shared" ref="BE34:BE43" si="68">(AZ34*BA34)</f>
        <v>0</v>
      </c>
      <c r="BF34" s="85">
        <f t="shared" ref="BF34:BF43" si="69">(AZ34*BB34)</f>
        <v>0</v>
      </c>
      <c r="BG34" s="85">
        <f t="shared" ref="BG34:BG43" si="70">(AZ34*BC34)</f>
        <v>0</v>
      </c>
      <c r="BH34" s="85">
        <f t="shared" ref="BH34:BH43" si="71">(AZ34*BD34)</f>
        <v>0</v>
      </c>
      <c r="BJ34" s="45"/>
    </row>
    <row r="35" spans="1:62" s="1" customFormat="1" x14ac:dyDescent="0.25">
      <c r="A35" s="74" t="s">
        <v>93</v>
      </c>
      <c r="B35" s="75">
        <v>3216</v>
      </c>
      <c r="C35" s="76">
        <v>3.7900000000000003E-2</v>
      </c>
      <c r="D35" s="76">
        <v>3.6700000000000003E-2</v>
      </c>
      <c r="E35" s="76">
        <v>3.5099999999999999E-2</v>
      </c>
      <c r="F35" s="76">
        <v>3.0800000000000001E-2</v>
      </c>
      <c r="G35" s="75">
        <f t="shared" si="48"/>
        <v>121.88640000000001</v>
      </c>
      <c r="H35" s="75">
        <f t="shared" si="49"/>
        <v>118.02720000000001</v>
      </c>
      <c r="I35" s="75">
        <f t="shared" si="50"/>
        <v>112.88159999999999</v>
      </c>
      <c r="J35" s="75">
        <f t="shared" si="51"/>
        <v>99.052800000000005</v>
      </c>
      <c r="K35" s="78"/>
      <c r="L35" s="75">
        <v>3000</v>
      </c>
      <c r="M35" s="76">
        <v>3.5499999999999997E-2</v>
      </c>
      <c r="N35" s="76">
        <v>3.44E-2</v>
      </c>
      <c r="O35" s="76">
        <v>3.2899999999999999E-2</v>
      </c>
      <c r="P35" s="76">
        <v>2.8899999999999999E-2</v>
      </c>
      <c r="Q35" s="75">
        <f t="shared" si="52"/>
        <v>106.49999999999999</v>
      </c>
      <c r="R35" s="75">
        <f t="shared" si="53"/>
        <v>103.2</v>
      </c>
      <c r="S35" s="75">
        <f t="shared" si="54"/>
        <v>98.7</v>
      </c>
      <c r="T35" s="75">
        <f t="shared" si="55"/>
        <v>86.7</v>
      </c>
      <c r="U35" s="78"/>
      <c r="V35" s="75">
        <v>2808</v>
      </c>
      <c r="W35" s="76">
        <v>3.3099999999999997E-2</v>
      </c>
      <c r="X35" s="76">
        <v>3.2099999999999997E-2</v>
      </c>
      <c r="Y35" s="76">
        <v>3.0700000000000002E-2</v>
      </c>
      <c r="Z35" s="76">
        <v>2.7E-2</v>
      </c>
      <c r="AA35" s="75">
        <f t="shared" si="56"/>
        <v>92.944799999999987</v>
      </c>
      <c r="AB35" s="75">
        <f t="shared" si="57"/>
        <v>90.136799999999994</v>
      </c>
      <c r="AC35" s="75">
        <f t="shared" si="58"/>
        <v>86.205600000000004</v>
      </c>
      <c r="AD35" s="75">
        <f t="shared" si="59"/>
        <v>75.816000000000003</v>
      </c>
      <c r="AE35" s="101"/>
      <c r="AF35" s="75">
        <v>2760</v>
      </c>
      <c r="AG35" s="80"/>
      <c r="AH35" s="76"/>
      <c r="AI35" s="76"/>
      <c r="AJ35" s="81"/>
      <c r="AK35" s="75">
        <f t="shared" si="60"/>
        <v>0</v>
      </c>
      <c r="AL35" s="75">
        <f t="shared" si="61"/>
        <v>0</v>
      </c>
      <c r="AM35" s="75">
        <f t="shared" si="62"/>
        <v>0</v>
      </c>
      <c r="AN35" s="75">
        <f t="shared" si="63"/>
        <v>0</v>
      </c>
      <c r="AO35" s="101"/>
      <c r="AP35" s="75">
        <v>2616</v>
      </c>
      <c r="AQ35" s="80"/>
      <c r="AR35" s="76"/>
      <c r="AS35" s="76"/>
      <c r="AT35" s="81"/>
      <c r="AU35" s="82">
        <f t="shared" si="64"/>
        <v>0</v>
      </c>
      <c r="AV35" s="82">
        <f t="shared" si="65"/>
        <v>0</v>
      </c>
      <c r="AW35" s="82">
        <f t="shared" si="66"/>
        <v>0</v>
      </c>
      <c r="AX35" s="82">
        <f t="shared" si="67"/>
        <v>0</v>
      </c>
      <c r="AY35" s="101"/>
      <c r="AZ35" s="75">
        <v>2400</v>
      </c>
      <c r="BA35" s="80"/>
      <c r="BB35" s="76"/>
      <c r="BC35" s="76"/>
      <c r="BD35" s="81"/>
      <c r="BE35" s="102">
        <f t="shared" si="68"/>
        <v>0</v>
      </c>
      <c r="BF35" s="103">
        <f t="shared" si="69"/>
        <v>0</v>
      </c>
      <c r="BG35" s="103">
        <f t="shared" si="70"/>
        <v>0</v>
      </c>
      <c r="BH35" s="103">
        <f t="shared" si="71"/>
        <v>0</v>
      </c>
      <c r="BJ35" s="45"/>
    </row>
    <row r="36" spans="1:62" x14ac:dyDescent="0.25">
      <c r="A36" s="65" t="s">
        <v>94</v>
      </c>
      <c r="B36" s="66">
        <v>3216</v>
      </c>
      <c r="C36" s="67"/>
      <c r="D36" s="67"/>
      <c r="E36" s="67"/>
      <c r="F36" s="67"/>
      <c r="G36" s="83">
        <f t="shared" si="48"/>
        <v>0</v>
      </c>
      <c r="H36" s="83">
        <f t="shared" si="49"/>
        <v>0</v>
      </c>
      <c r="I36" s="83">
        <f t="shared" si="50"/>
        <v>0</v>
      </c>
      <c r="J36" s="83">
        <f t="shared" si="51"/>
        <v>0</v>
      </c>
      <c r="K36" s="68"/>
      <c r="L36" s="66">
        <v>3000</v>
      </c>
      <c r="M36" s="67">
        <v>5.33E-2</v>
      </c>
      <c r="N36" s="67">
        <v>5.16E-2</v>
      </c>
      <c r="O36" s="67">
        <v>4.9299999999999997E-2</v>
      </c>
      <c r="P36" s="67">
        <v>4.3400000000000001E-2</v>
      </c>
      <c r="Q36" s="83">
        <f t="shared" si="52"/>
        <v>159.9</v>
      </c>
      <c r="R36" s="83">
        <f t="shared" si="53"/>
        <v>154.80000000000001</v>
      </c>
      <c r="S36" s="83">
        <f t="shared" si="54"/>
        <v>147.89999999999998</v>
      </c>
      <c r="T36" s="83">
        <f t="shared" si="55"/>
        <v>130.20000000000002</v>
      </c>
      <c r="U36" s="68"/>
      <c r="V36" s="66">
        <v>2808</v>
      </c>
      <c r="W36" s="45">
        <v>4.9700000000000001E-2</v>
      </c>
      <c r="X36" s="45">
        <v>4.82E-2</v>
      </c>
      <c r="Y36" s="45">
        <v>4.5999999999999999E-2</v>
      </c>
      <c r="Z36" s="45">
        <v>4.0500000000000001E-2</v>
      </c>
      <c r="AA36" s="83">
        <f t="shared" si="56"/>
        <v>139.55760000000001</v>
      </c>
      <c r="AB36" s="83">
        <f t="shared" si="57"/>
        <v>135.34559999999999</v>
      </c>
      <c r="AC36" s="83">
        <f t="shared" si="58"/>
        <v>129.16800000000001</v>
      </c>
      <c r="AD36" s="83">
        <f t="shared" si="59"/>
        <v>113.724</v>
      </c>
      <c r="AE36" s="97"/>
      <c r="AF36" s="66">
        <v>2760</v>
      </c>
      <c r="AG36" s="104">
        <v>4.7899999999999998E-2</v>
      </c>
      <c r="AH36" s="84">
        <v>4.65E-2</v>
      </c>
      <c r="AI36" s="84">
        <v>4.4400000000000002E-2</v>
      </c>
      <c r="AJ36" s="105">
        <v>3.9100000000000003E-2</v>
      </c>
      <c r="AK36" s="83">
        <f t="shared" si="60"/>
        <v>132.20400000000001</v>
      </c>
      <c r="AL36" s="83">
        <f t="shared" si="61"/>
        <v>128.34</v>
      </c>
      <c r="AM36" s="83">
        <f t="shared" si="62"/>
        <v>122.54400000000001</v>
      </c>
      <c r="AN36" s="83">
        <f t="shared" si="63"/>
        <v>107.91600000000001</v>
      </c>
      <c r="AO36" s="97"/>
      <c r="AP36" s="66">
        <v>2616</v>
      </c>
      <c r="AQ36" s="106">
        <v>4.6100000000000002E-2</v>
      </c>
      <c r="AR36" s="45">
        <v>4.48E-2</v>
      </c>
      <c r="AS36" s="45">
        <v>4.2799999999999998E-2</v>
      </c>
      <c r="AT36" s="107">
        <v>3.7699999999999997E-2</v>
      </c>
      <c r="AU36" s="85">
        <f t="shared" si="64"/>
        <v>120.5976</v>
      </c>
      <c r="AV36" s="85">
        <f t="shared" si="65"/>
        <v>117.1968</v>
      </c>
      <c r="AW36" s="85">
        <f t="shared" si="66"/>
        <v>111.9648</v>
      </c>
      <c r="AX36" s="85">
        <f t="shared" si="67"/>
        <v>98.623199999999997</v>
      </c>
      <c r="AY36" s="97"/>
      <c r="AZ36" s="66">
        <v>2400</v>
      </c>
      <c r="BA36" s="106">
        <v>4.2599999999999999E-2</v>
      </c>
      <c r="BB36" s="45">
        <v>4.1300000000000003E-2</v>
      </c>
      <c r="BC36" s="45">
        <v>3.95E-2</v>
      </c>
      <c r="BD36" s="107">
        <v>3.4799999999999998E-2</v>
      </c>
      <c r="BE36" s="100">
        <f t="shared" si="68"/>
        <v>102.24</v>
      </c>
      <c r="BF36" s="85">
        <f t="shared" si="69"/>
        <v>99.12</v>
      </c>
      <c r="BG36" s="85">
        <f t="shared" si="70"/>
        <v>94.8</v>
      </c>
      <c r="BH36" s="85">
        <f t="shared" si="71"/>
        <v>83.52</v>
      </c>
      <c r="BJ36" s="73"/>
    </row>
    <row r="37" spans="1:62" x14ac:dyDescent="0.25">
      <c r="A37" s="86" t="s">
        <v>95</v>
      </c>
      <c r="B37" s="57">
        <v>3216</v>
      </c>
      <c r="C37" s="87"/>
      <c r="D37" s="87"/>
      <c r="E37" s="87"/>
      <c r="F37" s="87"/>
      <c r="G37" s="57">
        <f t="shared" si="48"/>
        <v>0</v>
      </c>
      <c r="H37" s="57">
        <f t="shared" si="49"/>
        <v>0</v>
      </c>
      <c r="I37" s="57">
        <f t="shared" si="50"/>
        <v>0</v>
      </c>
      <c r="J37" s="57">
        <f t="shared" si="51"/>
        <v>0</v>
      </c>
      <c r="K37" s="88"/>
      <c r="L37" s="57">
        <v>3000</v>
      </c>
      <c r="M37" s="87"/>
      <c r="N37" s="87"/>
      <c r="O37" s="87"/>
      <c r="P37" s="87"/>
      <c r="Q37" s="57">
        <f t="shared" si="52"/>
        <v>0</v>
      </c>
      <c r="R37" s="57">
        <f t="shared" si="53"/>
        <v>0</v>
      </c>
      <c r="S37" s="57">
        <f t="shared" si="54"/>
        <v>0</v>
      </c>
      <c r="T37" s="57">
        <f t="shared" si="55"/>
        <v>0</v>
      </c>
      <c r="U37" s="88"/>
      <c r="V37" s="57">
        <v>2808</v>
      </c>
      <c r="W37" s="45">
        <v>5.5199999999999999E-2</v>
      </c>
      <c r="X37" s="45">
        <v>5.3600000000000002E-2</v>
      </c>
      <c r="Y37" s="45">
        <v>5.11E-2</v>
      </c>
      <c r="Z37" s="45">
        <v>4.4999999999999998E-2</v>
      </c>
      <c r="AA37" s="57">
        <f t="shared" si="56"/>
        <v>155.0016</v>
      </c>
      <c r="AB37" s="57">
        <f t="shared" si="57"/>
        <v>150.50880000000001</v>
      </c>
      <c r="AC37" s="57">
        <f t="shared" si="58"/>
        <v>143.4888</v>
      </c>
      <c r="AD37" s="57">
        <f t="shared" si="59"/>
        <v>126.36</v>
      </c>
      <c r="AE37" s="97"/>
      <c r="AF37" s="57">
        <v>2760</v>
      </c>
      <c r="AG37" s="104">
        <v>5.3199999999999997E-2</v>
      </c>
      <c r="AH37" s="84">
        <v>5.1700000000000003E-2</v>
      </c>
      <c r="AI37" s="84">
        <v>4.9299999999999997E-2</v>
      </c>
      <c r="AJ37" s="105">
        <v>4.3400000000000001E-2</v>
      </c>
      <c r="AK37" s="57">
        <f t="shared" si="60"/>
        <v>146.83199999999999</v>
      </c>
      <c r="AL37" s="57">
        <f t="shared" si="61"/>
        <v>142.69200000000001</v>
      </c>
      <c r="AM37" s="57">
        <f t="shared" si="62"/>
        <v>136.06799999999998</v>
      </c>
      <c r="AN37" s="57">
        <f t="shared" si="63"/>
        <v>119.78400000000001</v>
      </c>
      <c r="AO37" s="97"/>
      <c r="AP37" s="57">
        <v>2616</v>
      </c>
      <c r="AQ37" s="106">
        <v>5.1200000000000002E-2</v>
      </c>
      <c r="AR37" s="45">
        <v>4.9799999999999997E-2</v>
      </c>
      <c r="AS37" s="45">
        <v>4.7500000000000001E-2</v>
      </c>
      <c r="AT37" s="107">
        <v>4.1799999999999997E-2</v>
      </c>
      <c r="AU37" s="89">
        <f t="shared" si="64"/>
        <v>133.9392</v>
      </c>
      <c r="AV37" s="89">
        <f t="shared" si="65"/>
        <v>130.27679999999998</v>
      </c>
      <c r="AW37" s="89">
        <f t="shared" si="66"/>
        <v>124.26</v>
      </c>
      <c r="AX37" s="89">
        <f t="shared" si="67"/>
        <v>109.3488</v>
      </c>
      <c r="AY37" s="97"/>
      <c r="AZ37" s="57">
        <v>2400</v>
      </c>
      <c r="BA37" s="106">
        <v>4.7300000000000002E-2</v>
      </c>
      <c r="BB37" s="45">
        <v>4.5999999999999999E-2</v>
      </c>
      <c r="BC37" s="45">
        <v>4.3799999999999999E-2</v>
      </c>
      <c r="BD37" s="107">
        <v>3.8600000000000002E-2</v>
      </c>
      <c r="BE37" s="108">
        <f t="shared" si="68"/>
        <v>113.52000000000001</v>
      </c>
      <c r="BF37" s="89">
        <f t="shared" si="69"/>
        <v>110.39999999999999</v>
      </c>
      <c r="BG37" s="89">
        <f t="shared" si="70"/>
        <v>105.11999999999999</v>
      </c>
      <c r="BH37" s="89">
        <f t="shared" si="71"/>
        <v>92.64</v>
      </c>
      <c r="BJ37" s="45"/>
    </row>
    <row r="38" spans="1:62" x14ac:dyDescent="0.25">
      <c r="A38" s="65" t="s">
        <v>96</v>
      </c>
      <c r="B38" s="66">
        <v>3216</v>
      </c>
      <c r="C38" s="67"/>
      <c r="D38" s="67"/>
      <c r="E38" s="67"/>
      <c r="F38" s="67"/>
      <c r="G38" s="66">
        <f t="shared" si="48"/>
        <v>0</v>
      </c>
      <c r="H38" s="66">
        <f t="shared" si="49"/>
        <v>0</v>
      </c>
      <c r="I38" s="66">
        <f t="shared" si="50"/>
        <v>0</v>
      </c>
      <c r="J38" s="66">
        <f t="shared" si="51"/>
        <v>0</v>
      </c>
      <c r="K38" s="68"/>
      <c r="L38" s="66">
        <v>3000</v>
      </c>
      <c r="M38" s="67"/>
      <c r="N38" s="67"/>
      <c r="O38" s="67"/>
      <c r="P38" s="67"/>
      <c r="Q38" s="66">
        <f t="shared" si="52"/>
        <v>0</v>
      </c>
      <c r="R38" s="66">
        <f t="shared" si="53"/>
        <v>0</v>
      </c>
      <c r="S38" s="66">
        <f t="shared" si="54"/>
        <v>0</v>
      </c>
      <c r="T38" s="66">
        <f t="shared" si="55"/>
        <v>0</v>
      </c>
      <c r="U38" s="68"/>
      <c r="V38" s="66">
        <v>2808</v>
      </c>
      <c r="W38" s="45">
        <v>5.8400000000000001E-2</v>
      </c>
      <c r="X38" s="45">
        <v>5.67E-2</v>
      </c>
      <c r="Y38" s="45">
        <v>5.4100000000000002E-2</v>
      </c>
      <c r="Z38" s="45">
        <v>4.4699999999999997E-2</v>
      </c>
      <c r="AA38" s="66">
        <f t="shared" si="56"/>
        <v>163.9872</v>
      </c>
      <c r="AB38" s="66">
        <f t="shared" si="57"/>
        <v>159.21360000000001</v>
      </c>
      <c r="AC38" s="66">
        <f t="shared" si="58"/>
        <v>151.9128</v>
      </c>
      <c r="AD38" s="66">
        <f t="shared" si="59"/>
        <v>125.51759999999999</v>
      </c>
      <c r="AE38" s="97"/>
      <c r="AF38" s="66">
        <v>2760</v>
      </c>
      <c r="AG38" s="104">
        <v>5.6300000000000003E-2</v>
      </c>
      <c r="AH38" s="84">
        <v>5.4699999999999999E-2</v>
      </c>
      <c r="AI38" s="84">
        <v>5.2200000000000003E-2</v>
      </c>
      <c r="AJ38" s="105">
        <v>4.5999999999999999E-2</v>
      </c>
      <c r="AK38" s="66">
        <f t="shared" si="60"/>
        <v>155.38800000000001</v>
      </c>
      <c r="AL38" s="66">
        <f t="shared" si="61"/>
        <v>150.97200000000001</v>
      </c>
      <c r="AM38" s="66">
        <f t="shared" si="62"/>
        <v>144.072</v>
      </c>
      <c r="AN38" s="66">
        <f t="shared" si="63"/>
        <v>126.96</v>
      </c>
      <c r="AO38" s="97"/>
      <c r="AP38" s="66">
        <v>2616</v>
      </c>
      <c r="AQ38" s="106">
        <v>5.4199999999999998E-2</v>
      </c>
      <c r="AR38" s="45">
        <v>5.2699999999999997E-2</v>
      </c>
      <c r="AS38" s="45">
        <v>5.0299999999999997E-2</v>
      </c>
      <c r="AT38" s="107">
        <v>4.4299999999999999E-2</v>
      </c>
      <c r="AU38" s="72">
        <f t="shared" si="64"/>
        <v>141.78719999999998</v>
      </c>
      <c r="AV38" s="72">
        <f t="shared" si="65"/>
        <v>137.86319999999998</v>
      </c>
      <c r="AW38" s="72">
        <f t="shared" si="66"/>
        <v>131.5848</v>
      </c>
      <c r="AX38" s="72">
        <f t="shared" si="67"/>
        <v>115.8888</v>
      </c>
      <c r="AY38" s="97"/>
      <c r="AZ38" s="66">
        <v>2400</v>
      </c>
      <c r="BA38" s="106">
        <v>0.05</v>
      </c>
      <c r="BB38" s="45">
        <v>4.8599999999999997E-2</v>
      </c>
      <c r="BC38" s="45">
        <v>4.6399999999999997E-2</v>
      </c>
      <c r="BD38" s="107">
        <v>4.0899999999999999E-2</v>
      </c>
      <c r="BE38" s="109">
        <f t="shared" si="68"/>
        <v>120</v>
      </c>
      <c r="BF38" s="72">
        <f t="shared" si="69"/>
        <v>116.64</v>
      </c>
      <c r="BG38" s="72">
        <f t="shared" si="70"/>
        <v>111.35999999999999</v>
      </c>
      <c r="BH38" s="72">
        <f t="shared" si="71"/>
        <v>98.16</v>
      </c>
      <c r="BJ38" s="45"/>
    </row>
    <row r="39" spans="1:62" x14ac:dyDescent="0.25">
      <c r="A39" s="86" t="s">
        <v>97</v>
      </c>
      <c r="B39" s="57">
        <v>3216</v>
      </c>
      <c r="C39" s="87"/>
      <c r="D39" s="87"/>
      <c r="E39" s="87"/>
      <c r="F39" s="87"/>
      <c r="G39" s="57">
        <f t="shared" si="48"/>
        <v>0</v>
      </c>
      <c r="H39" s="57">
        <f t="shared" si="49"/>
        <v>0</v>
      </c>
      <c r="I39" s="57">
        <f t="shared" si="50"/>
        <v>0</v>
      </c>
      <c r="J39" s="57">
        <f t="shared" si="51"/>
        <v>0</v>
      </c>
      <c r="K39" s="88"/>
      <c r="L39" s="57">
        <v>3000</v>
      </c>
      <c r="M39" s="87"/>
      <c r="N39" s="87"/>
      <c r="O39" s="87"/>
      <c r="P39" s="87"/>
      <c r="Q39" s="57">
        <f t="shared" si="52"/>
        <v>0</v>
      </c>
      <c r="R39" s="57">
        <f t="shared" si="53"/>
        <v>0</v>
      </c>
      <c r="S39" s="57">
        <f t="shared" si="54"/>
        <v>0</v>
      </c>
      <c r="T39" s="57">
        <f t="shared" si="55"/>
        <v>0</v>
      </c>
      <c r="U39" s="88"/>
      <c r="V39" s="57">
        <v>2808</v>
      </c>
      <c r="W39" s="45">
        <v>6.2E-2</v>
      </c>
      <c r="X39" s="45">
        <v>6.0299999999999999E-2</v>
      </c>
      <c r="Y39" s="45">
        <v>5.7599999999999998E-2</v>
      </c>
      <c r="Z39" s="45">
        <v>5.0599999999999999E-2</v>
      </c>
      <c r="AA39" s="57">
        <f t="shared" si="56"/>
        <v>174.096</v>
      </c>
      <c r="AB39" s="57">
        <f t="shared" si="57"/>
        <v>169.32239999999999</v>
      </c>
      <c r="AC39" s="57">
        <f t="shared" si="58"/>
        <v>161.74080000000001</v>
      </c>
      <c r="AD39" s="57">
        <f t="shared" si="59"/>
        <v>142.0848</v>
      </c>
      <c r="AE39" s="97"/>
      <c r="AF39" s="57">
        <v>2760</v>
      </c>
      <c r="AG39" s="104">
        <v>5.9799999999999999E-2</v>
      </c>
      <c r="AH39" s="84">
        <v>5.8099999999999999E-2</v>
      </c>
      <c r="AI39" s="84">
        <v>5.5500000000000001E-2</v>
      </c>
      <c r="AJ39" s="105">
        <v>4.8800000000000003E-2</v>
      </c>
      <c r="AK39" s="57">
        <f t="shared" si="60"/>
        <v>165.048</v>
      </c>
      <c r="AL39" s="57">
        <f t="shared" si="61"/>
        <v>160.35599999999999</v>
      </c>
      <c r="AM39" s="57">
        <f t="shared" si="62"/>
        <v>153.18</v>
      </c>
      <c r="AN39" s="57">
        <f t="shared" si="63"/>
        <v>134.68800000000002</v>
      </c>
      <c r="AO39" s="97"/>
      <c r="AP39" s="57">
        <v>2616</v>
      </c>
      <c r="AQ39" s="106">
        <v>5.7599999999999998E-2</v>
      </c>
      <c r="AR39" s="45">
        <v>5.5899999999999998E-2</v>
      </c>
      <c r="AS39" s="45">
        <v>5.3400000000000003E-2</v>
      </c>
      <c r="AT39" s="107">
        <v>4.7E-2</v>
      </c>
      <c r="AU39" s="89">
        <f t="shared" si="64"/>
        <v>150.6816</v>
      </c>
      <c r="AV39" s="89">
        <f t="shared" si="65"/>
        <v>146.23439999999999</v>
      </c>
      <c r="AW39" s="89">
        <f t="shared" si="66"/>
        <v>139.6944</v>
      </c>
      <c r="AX39" s="89">
        <f t="shared" si="67"/>
        <v>122.952</v>
      </c>
      <c r="AY39" s="97"/>
      <c r="AZ39" s="57">
        <v>2400</v>
      </c>
      <c r="BA39" s="106">
        <v>5.3199999999999997E-2</v>
      </c>
      <c r="BB39" s="45">
        <v>5.16E-2</v>
      </c>
      <c r="BC39" s="45">
        <v>4.9299999999999997E-2</v>
      </c>
      <c r="BD39" s="107">
        <v>4.3400000000000001E-2</v>
      </c>
      <c r="BE39" s="108">
        <f t="shared" si="68"/>
        <v>127.67999999999999</v>
      </c>
      <c r="BF39" s="89">
        <f t="shared" si="69"/>
        <v>123.84</v>
      </c>
      <c r="BG39" s="89">
        <f t="shared" si="70"/>
        <v>118.32</v>
      </c>
      <c r="BH39" s="89">
        <f t="shared" si="71"/>
        <v>104.16</v>
      </c>
      <c r="BJ39" s="45"/>
    </row>
    <row r="40" spans="1:62" x14ac:dyDescent="0.25">
      <c r="A40" s="65" t="s">
        <v>98</v>
      </c>
      <c r="B40" s="66">
        <v>3216</v>
      </c>
      <c r="C40" s="67"/>
      <c r="D40" s="67"/>
      <c r="E40" s="67"/>
      <c r="F40" s="67"/>
      <c r="G40" s="66">
        <f t="shared" si="48"/>
        <v>0</v>
      </c>
      <c r="H40" s="66">
        <f t="shared" si="49"/>
        <v>0</v>
      </c>
      <c r="I40" s="66">
        <f t="shared" si="50"/>
        <v>0</v>
      </c>
      <c r="J40" s="66">
        <f t="shared" si="51"/>
        <v>0</v>
      </c>
      <c r="K40" s="68"/>
      <c r="L40" s="66">
        <v>3000</v>
      </c>
      <c r="M40" s="67"/>
      <c r="N40" s="67"/>
      <c r="O40" s="67"/>
      <c r="P40" s="67"/>
      <c r="Q40" s="66">
        <f t="shared" si="52"/>
        <v>0</v>
      </c>
      <c r="R40" s="66">
        <f t="shared" si="53"/>
        <v>0</v>
      </c>
      <c r="S40" s="66">
        <f t="shared" si="54"/>
        <v>0</v>
      </c>
      <c r="T40" s="66">
        <f t="shared" si="55"/>
        <v>0</v>
      </c>
      <c r="U40" s="68"/>
      <c r="V40" s="66">
        <v>2808</v>
      </c>
      <c r="W40" s="45">
        <v>6.6199999999999995E-2</v>
      </c>
      <c r="X40" s="45">
        <v>6.4299999999999996E-2</v>
      </c>
      <c r="Y40" s="45">
        <v>6.1400000000000003E-2</v>
      </c>
      <c r="Z40" s="45">
        <v>5.3999999999999999E-2</v>
      </c>
      <c r="AA40" s="66">
        <f t="shared" si="56"/>
        <v>185.88959999999997</v>
      </c>
      <c r="AB40" s="66">
        <f t="shared" si="57"/>
        <v>180.55439999999999</v>
      </c>
      <c r="AC40" s="66">
        <f t="shared" si="58"/>
        <v>172.41120000000001</v>
      </c>
      <c r="AD40" s="66">
        <f t="shared" si="59"/>
        <v>151.63200000000001</v>
      </c>
      <c r="AE40" s="97"/>
      <c r="AF40" s="66">
        <v>2760</v>
      </c>
      <c r="AG40" s="104">
        <v>6.3799999999999996E-2</v>
      </c>
      <c r="AH40" s="84">
        <v>6.2E-2</v>
      </c>
      <c r="AI40" s="84">
        <v>5.9200000000000003E-2</v>
      </c>
      <c r="AJ40" s="105">
        <v>5.21E-2</v>
      </c>
      <c r="AK40" s="66">
        <f t="shared" si="60"/>
        <v>176.08799999999999</v>
      </c>
      <c r="AL40" s="66">
        <f t="shared" si="61"/>
        <v>171.12</v>
      </c>
      <c r="AM40" s="66">
        <f t="shared" si="62"/>
        <v>163.392</v>
      </c>
      <c r="AN40" s="66">
        <f t="shared" si="63"/>
        <v>143.79599999999999</v>
      </c>
      <c r="AO40" s="97"/>
      <c r="AP40" s="66">
        <v>2616</v>
      </c>
      <c r="AQ40" s="106">
        <v>6.1400000000000003E-2</v>
      </c>
      <c r="AR40" s="45">
        <v>5.9700000000000003E-2</v>
      </c>
      <c r="AS40" s="45">
        <v>5.7000000000000002E-2</v>
      </c>
      <c r="AT40" s="107">
        <v>5.0200000000000002E-2</v>
      </c>
      <c r="AU40" s="72">
        <f t="shared" si="64"/>
        <v>160.6224</v>
      </c>
      <c r="AV40" s="72">
        <f t="shared" si="65"/>
        <v>156.17520000000002</v>
      </c>
      <c r="AW40" s="72">
        <f t="shared" si="66"/>
        <v>149.11199999999999</v>
      </c>
      <c r="AX40" s="72">
        <f t="shared" si="67"/>
        <v>131.32320000000001</v>
      </c>
      <c r="AY40" s="97"/>
      <c r="AZ40" s="66">
        <v>2400</v>
      </c>
      <c r="BA40" s="106">
        <v>5.67E-2</v>
      </c>
      <c r="BB40" s="45">
        <v>5.5100000000000003E-2</v>
      </c>
      <c r="BC40" s="45">
        <v>5.2600000000000001E-2</v>
      </c>
      <c r="BD40" s="107">
        <v>4.6300000000000001E-2</v>
      </c>
      <c r="BE40" s="109">
        <f t="shared" si="68"/>
        <v>136.08000000000001</v>
      </c>
      <c r="BF40" s="72">
        <f t="shared" si="69"/>
        <v>132.24</v>
      </c>
      <c r="BG40" s="72">
        <f t="shared" si="70"/>
        <v>126.24000000000001</v>
      </c>
      <c r="BH40" s="72">
        <f t="shared" si="71"/>
        <v>111.12</v>
      </c>
      <c r="BJ40" s="45"/>
    </row>
    <row r="41" spans="1:62" x14ac:dyDescent="0.25">
      <c r="A41" s="86" t="s">
        <v>99</v>
      </c>
      <c r="B41" s="57">
        <v>3216</v>
      </c>
      <c r="C41" s="87"/>
      <c r="D41" s="87"/>
      <c r="E41" s="87"/>
      <c r="F41" s="87"/>
      <c r="G41" s="57">
        <f t="shared" si="48"/>
        <v>0</v>
      </c>
      <c r="H41" s="57">
        <f t="shared" si="49"/>
        <v>0</v>
      </c>
      <c r="I41" s="57">
        <f t="shared" si="50"/>
        <v>0</v>
      </c>
      <c r="J41" s="57">
        <f t="shared" si="51"/>
        <v>0</v>
      </c>
      <c r="K41" s="88"/>
      <c r="L41" s="57">
        <v>3000</v>
      </c>
      <c r="M41" s="87"/>
      <c r="N41" s="87"/>
      <c r="O41" s="87"/>
      <c r="P41" s="87"/>
      <c r="Q41" s="57">
        <f t="shared" si="52"/>
        <v>0</v>
      </c>
      <c r="R41" s="57">
        <f t="shared" si="53"/>
        <v>0</v>
      </c>
      <c r="S41" s="57">
        <f t="shared" si="54"/>
        <v>0</v>
      </c>
      <c r="T41" s="57">
        <f t="shared" si="55"/>
        <v>0</v>
      </c>
      <c r="U41" s="88"/>
      <c r="V41" s="57">
        <v>2808</v>
      </c>
      <c r="W41" s="45">
        <v>7.0900000000000005E-2</v>
      </c>
      <c r="X41" s="45">
        <v>6.8900000000000003E-2</v>
      </c>
      <c r="Y41" s="45">
        <v>6.5699999999999995E-2</v>
      </c>
      <c r="Z41" s="45">
        <v>6.0400000000000002E-2</v>
      </c>
      <c r="AA41" s="57">
        <f t="shared" si="56"/>
        <v>199.08720000000002</v>
      </c>
      <c r="AB41" s="57">
        <f t="shared" si="57"/>
        <v>193.47120000000001</v>
      </c>
      <c r="AC41" s="57">
        <f t="shared" si="58"/>
        <v>184.48559999999998</v>
      </c>
      <c r="AD41" s="57">
        <f t="shared" si="59"/>
        <v>169.60320000000002</v>
      </c>
      <c r="AE41" s="97"/>
      <c r="AF41" s="57">
        <v>2760</v>
      </c>
      <c r="AG41" s="104">
        <v>6.8400000000000002E-2</v>
      </c>
      <c r="AH41" s="84">
        <v>6.6400000000000001E-2</v>
      </c>
      <c r="AI41" s="84">
        <v>6.3399999999999998E-2</v>
      </c>
      <c r="AJ41" s="105">
        <v>5.8200000000000002E-2</v>
      </c>
      <c r="AK41" s="57">
        <f t="shared" si="60"/>
        <v>188.78400000000002</v>
      </c>
      <c r="AL41" s="57">
        <f t="shared" si="61"/>
        <v>183.26400000000001</v>
      </c>
      <c r="AM41" s="57">
        <f t="shared" si="62"/>
        <v>174.98399999999998</v>
      </c>
      <c r="AN41" s="57">
        <f t="shared" si="63"/>
        <v>160.63200000000001</v>
      </c>
      <c r="AO41" s="97"/>
      <c r="AP41" s="57">
        <v>2616</v>
      </c>
      <c r="AQ41" s="106">
        <v>6.59E-2</v>
      </c>
      <c r="AR41" s="45">
        <v>6.3899999999999998E-2</v>
      </c>
      <c r="AS41" s="45">
        <v>6.1100000000000002E-2</v>
      </c>
      <c r="AT41" s="107">
        <v>5.6000000000000001E-2</v>
      </c>
      <c r="AU41" s="89">
        <f t="shared" si="64"/>
        <v>172.39439999999999</v>
      </c>
      <c r="AV41" s="89">
        <f t="shared" si="65"/>
        <v>167.16239999999999</v>
      </c>
      <c r="AW41" s="89">
        <f t="shared" si="66"/>
        <v>159.83760000000001</v>
      </c>
      <c r="AX41" s="89">
        <f t="shared" si="67"/>
        <v>146.49600000000001</v>
      </c>
      <c r="AY41" s="97"/>
      <c r="AZ41" s="57">
        <v>2400</v>
      </c>
      <c r="BA41" s="106">
        <v>6.08E-2</v>
      </c>
      <c r="BB41" s="45">
        <v>5.8999999999999997E-2</v>
      </c>
      <c r="BC41" s="45">
        <v>5.6399999999999999E-2</v>
      </c>
      <c r="BD41" s="107">
        <v>5.1700000000000003E-2</v>
      </c>
      <c r="BE41" s="108">
        <f t="shared" si="68"/>
        <v>145.91999999999999</v>
      </c>
      <c r="BF41" s="89">
        <f t="shared" si="69"/>
        <v>141.6</v>
      </c>
      <c r="BG41" s="89">
        <f t="shared" si="70"/>
        <v>135.35999999999999</v>
      </c>
      <c r="BH41" s="89">
        <f t="shared" si="71"/>
        <v>124.08000000000001</v>
      </c>
      <c r="BJ41" s="117"/>
    </row>
    <row r="42" spans="1:62" x14ac:dyDescent="0.25">
      <c r="A42" s="65" t="s">
        <v>100</v>
      </c>
      <c r="B42" s="66">
        <v>3216</v>
      </c>
      <c r="C42" s="67"/>
      <c r="D42" s="67"/>
      <c r="E42" s="67"/>
      <c r="F42" s="67"/>
      <c r="G42" s="66">
        <f t="shared" si="48"/>
        <v>0</v>
      </c>
      <c r="H42" s="66">
        <f t="shared" si="49"/>
        <v>0</v>
      </c>
      <c r="I42" s="66">
        <f t="shared" si="50"/>
        <v>0</v>
      </c>
      <c r="J42" s="66">
        <f t="shared" si="51"/>
        <v>0</v>
      </c>
      <c r="K42" s="68"/>
      <c r="L42" s="66">
        <v>3000</v>
      </c>
      <c r="M42" s="67"/>
      <c r="N42" s="67"/>
      <c r="O42" s="67"/>
      <c r="P42" s="67"/>
      <c r="Q42" s="66">
        <f t="shared" si="52"/>
        <v>0</v>
      </c>
      <c r="R42" s="66">
        <f t="shared" si="53"/>
        <v>0</v>
      </c>
      <c r="S42" s="66">
        <f t="shared" si="54"/>
        <v>0</v>
      </c>
      <c r="T42" s="66">
        <f t="shared" si="55"/>
        <v>0</v>
      </c>
      <c r="U42" s="68"/>
      <c r="V42" s="66">
        <v>2808</v>
      </c>
      <c r="W42" s="45">
        <v>7.6300000000000007E-2</v>
      </c>
      <c r="X42" s="45">
        <v>7.4099999999999999E-2</v>
      </c>
      <c r="Y42" s="45">
        <v>7.0800000000000002E-2</v>
      </c>
      <c r="Z42" s="45">
        <v>6.2300000000000001E-2</v>
      </c>
      <c r="AA42" s="66">
        <f t="shared" si="56"/>
        <v>214.25040000000001</v>
      </c>
      <c r="AB42" s="66">
        <f t="shared" si="57"/>
        <v>208.0728</v>
      </c>
      <c r="AC42" s="66">
        <f t="shared" si="58"/>
        <v>198.8064</v>
      </c>
      <c r="AD42" s="66">
        <f t="shared" si="59"/>
        <v>174.9384</v>
      </c>
      <c r="AE42" s="97"/>
      <c r="AF42" s="66">
        <v>2760</v>
      </c>
      <c r="AG42" s="104">
        <v>7.3599999999999999E-2</v>
      </c>
      <c r="AH42" s="84">
        <v>7.1499999999999994E-2</v>
      </c>
      <c r="AI42" s="84">
        <v>6.83E-2</v>
      </c>
      <c r="AJ42" s="105">
        <v>6.0100000000000001E-2</v>
      </c>
      <c r="AK42" s="66">
        <f t="shared" si="60"/>
        <v>203.136</v>
      </c>
      <c r="AL42" s="66">
        <f t="shared" si="61"/>
        <v>197.33999999999997</v>
      </c>
      <c r="AM42" s="66">
        <f t="shared" si="62"/>
        <v>188.50800000000001</v>
      </c>
      <c r="AN42" s="66">
        <f t="shared" si="63"/>
        <v>165.876</v>
      </c>
      <c r="AO42" s="97"/>
      <c r="AP42" s="66">
        <v>2616</v>
      </c>
      <c r="AQ42" s="106">
        <v>7.0900000000000005E-2</v>
      </c>
      <c r="AR42" s="45">
        <v>6.8900000000000003E-2</v>
      </c>
      <c r="AS42" s="45">
        <v>6.5799999999999997E-2</v>
      </c>
      <c r="AT42" s="107">
        <v>5.79E-2</v>
      </c>
      <c r="AU42" s="72">
        <f t="shared" si="64"/>
        <v>185.4744</v>
      </c>
      <c r="AV42" s="72">
        <f t="shared" si="65"/>
        <v>180.2424</v>
      </c>
      <c r="AW42" s="72">
        <f t="shared" si="66"/>
        <v>172.1328</v>
      </c>
      <c r="AX42" s="72">
        <f t="shared" si="67"/>
        <v>151.46639999999999</v>
      </c>
      <c r="AY42" s="97"/>
      <c r="AZ42" s="66">
        <v>2400</v>
      </c>
      <c r="BA42" s="106">
        <v>6.54E-2</v>
      </c>
      <c r="BB42" s="45">
        <v>6.3600000000000004E-2</v>
      </c>
      <c r="BC42" s="45">
        <v>6.0699999999999997E-2</v>
      </c>
      <c r="BD42" s="107">
        <v>5.3400000000000003E-2</v>
      </c>
      <c r="BE42" s="109">
        <f t="shared" si="68"/>
        <v>156.96</v>
      </c>
      <c r="BF42" s="72">
        <f t="shared" si="69"/>
        <v>152.64000000000001</v>
      </c>
      <c r="BG42" s="72">
        <f t="shared" si="70"/>
        <v>145.68</v>
      </c>
      <c r="BH42" s="72">
        <f t="shared" si="71"/>
        <v>128.16</v>
      </c>
    </row>
    <row r="43" spans="1:62" x14ac:dyDescent="0.25">
      <c r="A43" s="90" t="s">
        <v>101</v>
      </c>
      <c r="B43" s="57">
        <v>3216</v>
      </c>
      <c r="C43" s="91"/>
      <c r="D43" s="91"/>
      <c r="E43" s="91"/>
      <c r="F43" s="91"/>
      <c r="G43" s="57">
        <f t="shared" si="48"/>
        <v>0</v>
      </c>
      <c r="H43" s="57">
        <f t="shared" si="49"/>
        <v>0</v>
      </c>
      <c r="I43" s="57">
        <f t="shared" si="50"/>
        <v>0</v>
      </c>
      <c r="J43" s="57">
        <f t="shared" si="51"/>
        <v>0</v>
      </c>
      <c r="K43" s="92"/>
      <c r="L43" s="57">
        <v>3000</v>
      </c>
      <c r="M43" s="91"/>
      <c r="N43" s="91"/>
      <c r="O43" s="91"/>
      <c r="P43" s="91"/>
      <c r="Q43" s="57">
        <f t="shared" si="52"/>
        <v>0</v>
      </c>
      <c r="R43" s="57">
        <f t="shared" si="53"/>
        <v>0</v>
      </c>
      <c r="S43" s="57">
        <f t="shared" si="54"/>
        <v>0</v>
      </c>
      <c r="T43" s="57">
        <f t="shared" si="55"/>
        <v>0</v>
      </c>
      <c r="U43" s="92"/>
      <c r="V43" s="57">
        <v>2808</v>
      </c>
      <c r="W43" s="45">
        <v>8.2799999999999999E-2</v>
      </c>
      <c r="X43" s="45">
        <v>8.0399999999999999E-2</v>
      </c>
      <c r="Y43" s="45">
        <v>7.6700000000000004E-2</v>
      </c>
      <c r="Z43" s="45">
        <v>6.7500000000000004E-2</v>
      </c>
      <c r="AA43" s="57">
        <f t="shared" si="56"/>
        <v>232.50239999999999</v>
      </c>
      <c r="AB43" s="57">
        <f t="shared" si="57"/>
        <v>225.76320000000001</v>
      </c>
      <c r="AC43" s="57">
        <f t="shared" si="58"/>
        <v>215.37360000000001</v>
      </c>
      <c r="AD43" s="57">
        <f t="shared" si="59"/>
        <v>189.54000000000002</v>
      </c>
      <c r="AE43" s="110"/>
      <c r="AF43" s="57">
        <v>2760</v>
      </c>
      <c r="AG43" s="111">
        <v>7.9799999999999996E-2</v>
      </c>
      <c r="AH43" s="112">
        <v>7.7499999999999999E-2</v>
      </c>
      <c r="AI43" s="112">
        <v>7.3999999999999996E-2</v>
      </c>
      <c r="AJ43" s="113">
        <v>6.5100000000000005E-2</v>
      </c>
      <c r="AK43" s="57">
        <f t="shared" si="60"/>
        <v>220.24799999999999</v>
      </c>
      <c r="AL43" s="57">
        <f t="shared" si="61"/>
        <v>213.9</v>
      </c>
      <c r="AM43" s="57">
        <f t="shared" si="62"/>
        <v>204.23999999999998</v>
      </c>
      <c r="AN43" s="57">
        <f t="shared" si="63"/>
        <v>179.67600000000002</v>
      </c>
      <c r="AO43" s="110"/>
      <c r="AP43" s="57">
        <v>2616</v>
      </c>
      <c r="AQ43" s="114">
        <v>7.6799999999999993E-2</v>
      </c>
      <c r="AR43" s="115">
        <v>7.46E-2</v>
      </c>
      <c r="AS43" s="115">
        <v>7.1300000000000002E-2</v>
      </c>
      <c r="AT43" s="116">
        <v>6.2700000000000006E-2</v>
      </c>
      <c r="AU43" s="89">
        <f t="shared" si="64"/>
        <v>200.90879999999999</v>
      </c>
      <c r="AV43" s="89">
        <f t="shared" si="65"/>
        <v>195.15360000000001</v>
      </c>
      <c r="AW43" s="89">
        <f t="shared" si="66"/>
        <v>186.52080000000001</v>
      </c>
      <c r="AX43" s="89">
        <f t="shared" si="67"/>
        <v>164.0232</v>
      </c>
      <c r="AY43" s="110"/>
      <c r="AZ43" s="57">
        <v>2400</v>
      </c>
      <c r="BA43" s="114">
        <v>7.0900000000000005E-2</v>
      </c>
      <c r="BB43" s="115">
        <v>6.8900000000000003E-2</v>
      </c>
      <c r="BC43" s="115">
        <v>6.5799999999999997E-2</v>
      </c>
      <c r="BD43" s="116">
        <v>5.79E-2</v>
      </c>
      <c r="BE43" s="108">
        <f t="shared" si="68"/>
        <v>170.16000000000003</v>
      </c>
      <c r="BF43" s="89">
        <f t="shared" si="69"/>
        <v>165.36</v>
      </c>
      <c r="BG43" s="89">
        <f t="shared" si="70"/>
        <v>157.91999999999999</v>
      </c>
      <c r="BH43" s="89">
        <f t="shared" si="71"/>
        <v>138.96</v>
      </c>
    </row>
    <row r="44" spans="1:62" ht="12" customHeight="1" x14ac:dyDescent="0.25">
      <c r="A44" s="206" t="s">
        <v>104</v>
      </c>
      <c r="B44" s="206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6"/>
      <c r="BD44" s="206"/>
      <c r="BE44" s="206"/>
      <c r="BF44" s="206"/>
      <c r="BG44" s="206"/>
      <c r="BH44" s="206"/>
    </row>
    <row r="45" spans="1:62" x14ac:dyDescent="0.25">
      <c r="A45" s="94"/>
      <c r="B45" s="47" t="s">
        <v>75</v>
      </c>
      <c r="C45" s="48" t="s">
        <v>76</v>
      </c>
      <c r="D45" s="49" t="s">
        <v>77</v>
      </c>
      <c r="E45" s="49" t="s">
        <v>78</v>
      </c>
      <c r="F45" s="50" t="s">
        <v>79</v>
      </c>
      <c r="G45" s="207" t="s">
        <v>80</v>
      </c>
      <c r="H45" s="207"/>
      <c r="I45" s="207"/>
      <c r="J45" s="207"/>
      <c r="K45" s="51"/>
      <c r="L45" s="47" t="s">
        <v>75</v>
      </c>
      <c r="M45" s="48" t="s">
        <v>76</v>
      </c>
      <c r="N45" s="49" t="s">
        <v>77</v>
      </c>
      <c r="O45" s="49" t="s">
        <v>78</v>
      </c>
      <c r="P45" s="50" t="s">
        <v>79</v>
      </c>
      <c r="Q45" s="207" t="s">
        <v>81</v>
      </c>
      <c r="R45" s="207"/>
      <c r="S45" s="207"/>
      <c r="T45" s="207"/>
      <c r="U45" s="51"/>
      <c r="V45" s="47" t="s">
        <v>75</v>
      </c>
      <c r="W45" s="48" t="s">
        <v>76</v>
      </c>
      <c r="X45" s="49" t="s">
        <v>77</v>
      </c>
      <c r="Y45" s="49" t="s">
        <v>78</v>
      </c>
      <c r="Z45" s="50" t="s">
        <v>79</v>
      </c>
      <c r="AA45" s="207" t="s">
        <v>82</v>
      </c>
      <c r="AB45" s="207"/>
      <c r="AC45" s="207"/>
      <c r="AD45" s="207"/>
      <c r="AE45" s="95"/>
      <c r="AF45" s="47" t="s">
        <v>75</v>
      </c>
      <c r="AG45" s="48" t="s">
        <v>76</v>
      </c>
      <c r="AH45" s="49" t="s">
        <v>77</v>
      </c>
      <c r="AI45" s="49" t="s">
        <v>78</v>
      </c>
      <c r="AJ45" s="50" t="s">
        <v>79</v>
      </c>
      <c r="AK45" s="207" t="s">
        <v>83</v>
      </c>
      <c r="AL45" s="207"/>
      <c r="AM45" s="207"/>
      <c r="AN45" s="207"/>
      <c r="AO45" s="95"/>
      <c r="AP45" s="47" t="s">
        <v>75</v>
      </c>
      <c r="AQ45" s="48" t="s">
        <v>76</v>
      </c>
      <c r="AR45" s="49" t="s">
        <v>77</v>
      </c>
      <c r="AS45" s="49" t="s">
        <v>78</v>
      </c>
      <c r="AT45" s="50" t="s">
        <v>79</v>
      </c>
      <c r="AU45" s="207" t="s">
        <v>84</v>
      </c>
      <c r="AV45" s="207"/>
      <c r="AW45" s="207"/>
      <c r="AX45" s="207"/>
      <c r="AY45" s="95"/>
      <c r="AZ45" s="47" t="s">
        <v>75</v>
      </c>
      <c r="BA45" s="48" t="s">
        <v>76</v>
      </c>
      <c r="BB45" s="49" t="s">
        <v>77</v>
      </c>
      <c r="BC45" s="49" t="s">
        <v>78</v>
      </c>
      <c r="BD45" s="50" t="s">
        <v>79</v>
      </c>
      <c r="BE45" s="207" t="s">
        <v>85</v>
      </c>
      <c r="BF45" s="207"/>
      <c r="BG45" s="207"/>
      <c r="BH45" s="207"/>
    </row>
    <row r="46" spans="1:62" ht="11.25" customHeight="1" x14ac:dyDescent="0.25">
      <c r="A46" s="52" t="s">
        <v>86</v>
      </c>
      <c r="B46" s="53" t="s">
        <v>87</v>
      </c>
      <c r="C46" s="54" t="s">
        <v>88</v>
      </c>
      <c r="D46" s="55" t="s">
        <v>88</v>
      </c>
      <c r="E46" s="55" t="s">
        <v>88</v>
      </c>
      <c r="F46" s="56" t="s">
        <v>88</v>
      </c>
      <c r="G46" s="57">
        <v>20</v>
      </c>
      <c r="H46" s="57">
        <v>30</v>
      </c>
      <c r="I46" s="57">
        <v>40</v>
      </c>
      <c r="J46" s="57">
        <v>70</v>
      </c>
      <c r="K46" s="58"/>
      <c r="L46" s="53" t="s">
        <v>87</v>
      </c>
      <c r="M46" s="54" t="s">
        <v>88</v>
      </c>
      <c r="N46" s="55" t="s">
        <v>88</v>
      </c>
      <c r="O46" s="55" t="s">
        <v>88</v>
      </c>
      <c r="P46" s="56" t="s">
        <v>88</v>
      </c>
      <c r="Q46" s="57">
        <v>20</v>
      </c>
      <c r="R46" s="57">
        <v>30</v>
      </c>
      <c r="S46" s="57">
        <v>40</v>
      </c>
      <c r="T46" s="57">
        <v>70</v>
      </c>
      <c r="U46" s="58"/>
      <c r="V46" s="53" t="s">
        <v>87</v>
      </c>
      <c r="W46" s="54" t="s">
        <v>88</v>
      </c>
      <c r="X46" s="55" t="s">
        <v>88</v>
      </c>
      <c r="Y46" s="55" t="s">
        <v>88</v>
      </c>
      <c r="Z46" s="56" t="s">
        <v>88</v>
      </c>
      <c r="AA46" s="57">
        <v>20</v>
      </c>
      <c r="AB46" s="57">
        <v>30</v>
      </c>
      <c r="AC46" s="57">
        <v>40</v>
      </c>
      <c r="AD46" s="57">
        <v>70</v>
      </c>
      <c r="AE46" s="97"/>
      <c r="AF46" s="53" t="s">
        <v>87</v>
      </c>
      <c r="AG46" s="54" t="s">
        <v>88</v>
      </c>
      <c r="AH46" s="55" t="s">
        <v>88</v>
      </c>
      <c r="AI46" s="55" t="s">
        <v>88</v>
      </c>
      <c r="AJ46" s="56" t="s">
        <v>88</v>
      </c>
      <c r="AK46" s="57">
        <v>20</v>
      </c>
      <c r="AL46" s="57">
        <v>30</v>
      </c>
      <c r="AM46" s="57">
        <v>40</v>
      </c>
      <c r="AN46" s="57">
        <v>70</v>
      </c>
      <c r="AO46" s="97"/>
      <c r="AP46" s="53" t="s">
        <v>87</v>
      </c>
      <c r="AQ46" s="54" t="s">
        <v>88</v>
      </c>
      <c r="AR46" s="55" t="s">
        <v>88</v>
      </c>
      <c r="AS46" s="55" t="s">
        <v>88</v>
      </c>
      <c r="AT46" s="56" t="s">
        <v>88</v>
      </c>
      <c r="AU46" s="57">
        <v>20</v>
      </c>
      <c r="AV46" s="57">
        <v>30</v>
      </c>
      <c r="AW46" s="57">
        <v>40</v>
      </c>
      <c r="AX46" s="57">
        <v>70</v>
      </c>
      <c r="AY46" s="97"/>
      <c r="AZ46" s="53" t="s">
        <v>87</v>
      </c>
      <c r="BA46" s="54" t="s">
        <v>88</v>
      </c>
      <c r="BB46" s="55" t="s">
        <v>88</v>
      </c>
      <c r="BC46" s="55" t="s">
        <v>88</v>
      </c>
      <c r="BD46" s="56" t="s">
        <v>88</v>
      </c>
      <c r="BE46" s="57">
        <v>20</v>
      </c>
      <c r="BF46" s="57">
        <v>30</v>
      </c>
      <c r="BG46" s="57">
        <v>40</v>
      </c>
      <c r="BH46" s="57">
        <v>70</v>
      </c>
    </row>
    <row r="47" spans="1:62" ht="11.25" customHeight="1" x14ac:dyDescent="0.25">
      <c r="A47" s="98"/>
      <c r="B47" s="60" t="s">
        <v>89</v>
      </c>
      <c r="C47" s="61" t="s">
        <v>90</v>
      </c>
      <c r="D47" s="62" t="s">
        <v>90</v>
      </c>
      <c r="E47" s="62" t="s">
        <v>90</v>
      </c>
      <c r="F47" s="63" t="s">
        <v>90</v>
      </c>
      <c r="G47" s="64" t="s">
        <v>91</v>
      </c>
      <c r="H47" s="64" t="s">
        <v>91</v>
      </c>
      <c r="I47" s="64" t="s">
        <v>91</v>
      </c>
      <c r="J47" s="64" t="s">
        <v>91</v>
      </c>
      <c r="K47" s="58"/>
      <c r="L47" s="60" t="s">
        <v>89</v>
      </c>
      <c r="M47" s="61" t="s">
        <v>90</v>
      </c>
      <c r="N47" s="62" t="s">
        <v>90</v>
      </c>
      <c r="O47" s="62" t="s">
        <v>90</v>
      </c>
      <c r="P47" s="63" t="s">
        <v>90</v>
      </c>
      <c r="Q47" s="64" t="s">
        <v>91</v>
      </c>
      <c r="R47" s="64" t="s">
        <v>91</v>
      </c>
      <c r="S47" s="64" t="s">
        <v>91</v>
      </c>
      <c r="T47" s="64" t="s">
        <v>91</v>
      </c>
      <c r="U47" s="58"/>
      <c r="V47" s="60" t="s">
        <v>89</v>
      </c>
      <c r="W47" s="61" t="s">
        <v>90</v>
      </c>
      <c r="X47" s="62" t="s">
        <v>90</v>
      </c>
      <c r="Y47" s="62" t="s">
        <v>90</v>
      </c>
      <c r="Z47" s="63" t="s">
        <v>90</v>
      </c>
      <c r="AA47" s="64" t="s">
        <v>91</v>
      </c>
      <c r="AB47" s="64" t="s">
        <v>91</v>
      </c>
      <c r="AC47" s="64" t="s">
        <v>91</v>
      </c>
      <c r="AD47" s="64" t="s">
        <v>91</v>
      </c>
      <c r="AE47" s="97"/>
      <c r="AF47" s="60" t="s">
        <v>89</v>
      </c>
      <c r="AG47" s="61" t="s">
        <v>90</v>
      </c>
      <c r="AH47" s="62" t="s">
        <v>90</v>
      </c>
      <c r="AI47" s="62" t="s">
        <v>90</v>
      </c>
      <c r="AJ47" s="63" t="s">
        <v>90</v>
      </c>
      <c r="AK47" s="64" t="s">
        <v>91</v>
      </c>
      <c r="AL47" s="64" t="s">
        <v>91</v>
      </c>
      <c r="AM47" s="64" t="s">
        <v>91</v>
      </c>
      <c r="AN47" s="64" t="s">
        <v>91</v>
      </c>
      <c r="AO47" s="97"/>
      <c r="AP47" s="60" t="s">
        <v>89</v>
      </c>
      <c r="AQ47" s="61" t="s">
        <v>90</v>
      </c>
      <c r="AR47" s="62" t="s">
        <v>90</v>
      </c>
      <c r="AS47" s="62" t="s">
        <v>90</v>
      </c>
      <c r="AT47" s="63" t="s">
        <v>90</v>
      </c>
      <c r="AU47" s="64" t="s">
        <v>91</v>
      </c>
      <c r="AV47" s="64" t="s">
        <v>91</v>
      </c>
      <c r="AW47" s="64" t="s">
        <v>91</v>
      </c>
      <c r="AX47" s="64" t="s">
        <v>91</v>
      </c>
      <c r="AY47" s="97"/>
      <c r="AZ47" s="60" t="s">
        <v>89</v>
      </c>
      <c r="BA47" s="61" t="s">
        <v>90</v>
      </c>
      <c r="BB47" s="62" t="s">
        <v>90</v>
      </c>
      <c r="BC47" s="62" t="s">
        <v>90</v>
      </c>
      <c r="BD47" s="63" t="s">
        <v>90</v>
      </c>
      <c r="BE47" s="64" t="s">
        <v>91</v>
      </c>
      <c r="BF47" s="64" t="s">
        <v>91</v>
      </c>
      <c r="BG47" s="64" t="s">
        <v>91</v>
      </c>
      <c r="BH47" s="64" t="s">
        <v>91</v>
      </c>
    </row>
    <row r="48" spans="1:62" x14ac:dyDescent="0.25">
      <c r="A48" s="65" t="s">
        <v>92</v>
      </c>
      <c r="B48" s="66">
        <v>3000</v>
      </c>
      <c r="C48" s="67">
        <v>2.8400000000000002E-2</v>
      </c>
      <c r="D48" s="67">
        <v>2.75E-2</v>
      </c>
      <c r="E48" s="67">
        <v>2.63E-2</v>
      </c>
      <c r="F48" s="67">
        <v>2.3099999999999999E-2</v>
      </c>
      <c r="G48" s="66">
        <f t="shared" ref="G48:G57" si="72">(B48*C48)</f>
        <v>85.2</v>
      </c>
      <c r="H48" s="66">
        <f t="shared" ref="H48:H57" si="73">(B48*D48)</f>
        <v>82.5</v>
      </c>
      <c r="I48" s="66">
        <f t="shared" ref="I48:I57" si="74">(B48*E48)</f>
        <v>78.900000000000006</v>
      </c>
      <c r="J48" s="66">
        <f t="shared" ref="J48:J57" si="75">(B48*F48)</f>
        <v>69.3</v>
      </c>
      <c r="K48" s="68"/>
      <c r="L48" s="66">
        <v>2808</v>
      </c>
      <c r="M48" s="67">
        <v>2.6700000000000002E-2</v>
      </c>
      <c r="N48" s="67">
        <v>2.58E-2</v>
      </c>
      <c r="O48" s="67">
        <v>2.47E-2</v>
      </c>
      <c r="P48" s="67">
        <v>2.1700000000000001E-2</v>
      </c>
      <c r="Q48" s="66">
        <f t="shared" ref="Q48:Q57" si="76">(L48*M48)</f>
        <v>74.973600000000005</v>
      </c>
      <c r="R48" s="66">
        <f t="shared" ref="R48:R57" si="77">(L48*N48)</f>
        <v>72.446399999999997</v>
      </c>
      <c r="S48" s="66">
        <f t="shared" ref="S48:S57" si="78">(L48*O48)</f>
        <v>69.357600000000005</v>
      </c>
      <c r="T48" s="66">
        <f t="shared" ref="T48:T57" si="79">(L48*P48)</f>
        <v>60.933599999999998</v>
      </c>
      <c r="U48" s="68"/>
      <c r="V48" s="66">
        <v>2640</v>
      </c>
      <c r="W48" s="67"/>
      <c r="X48" s="67"/>
      <c r="Y48" s="67"/>
      <c r="Z48" s="67"/>
      <c r="AA48" s="66">
        <f t="shared" ref="AA48:AA57" si="80">(V48*W48)</f>
        <v>0</v>
      </c>
      <c r="AB48" s="118">
        <f t="shared" ref="AB48:AB57" si="81">(V48*X48)</f>
        <v>0</v>
      </c>
      <c r="AC48" s="66">
        <f t="shared" ref="AC48:AC57" si="82">(V48*Y48)</f>
        <v>0</v>
      </c>
      <c r="AD48" s="66">
        <f t="shared" ref="AD48:AD57" si="83">(V48*Z48)</f>
        <v>0</v>
      </c>
      <c r="AE48" s="97"/>
      <c r="AF48" s="66">
        <v>2580</v>
      </c>
      <c r="AG48" s="69"/>
      <c r="AH48" s="70"/>
      <c r="AI48" s="70"/>
      <c r="AJ48" s="71"/>
      <c r="AK48" s="66">
        <f t="shared" ref="AK48:AK57" si="84">(AF48*AG48)</f>
        <v>0</v>
      </c>
      <c r="AL48" s="66">
        <f t="shared" ref="AL48:AL57" si="85">(AF48*AH48)</f>
        <v>0</v>
      </c>
      <c r="AM48" s="66">
        <f t="shared" ref="AM48:AM57" si="86">(AF48*AI48)</f>
        <v>0</v>
      </c>
      <c r="AN48" s="66">
        <f t="shared" ref="AN48:AN57" si="87">(AF48*AJ48)</f>
        <v>0</v>
      </c>
      <c r="AO48" s="97"/>
      <c r="AP48" s="66">
        <v>2448</v>
      </c>
      <c r="AQ48" s="69"/>
      <c r="AR48" s="70"/>
      <c r="AS48" s="70"/>
      <c r="AT48" s="71"/>
      <c r="AU48" s="72">
        <f t="shared" ref="AU48:AU57" si="88">(AP48*AQ48)</f>
        <v>0</v>
      </c>
      <c r="AV48" s="72">
        <f t="shared" ref="AV48:AV57" si="89">(AP48*AR48)</f>
        <v>0</v>
      </c>
      <c r="AW48" s="72">
        <f t="shared" ref="AW48:AW57" si="90">(AP48*AS48)</f>
        <v>0</v>
      </c>
      <c r="AX48" s="72">
        <f t="shared" ref="AX48:AX57" si="91">(AP48*AT48)</f>
        <v>0</v>
      </c>
      <c r="AY48" s="97"/>
      <c r="AZ48" s="66">
        <v>2268</v>
      </c>
      <c r="BA48" s="69"/>
      <c r="BB48" s="70"/>
      <c r="BC48" s="70"/>
      <c r="BD48" s="71"/>
      <c r="BE48" s="100">
        <f t="shared" ref="BE48:BE57" si="92">(AZ48*BA48)</f>
        <v>0</v>
      </c>
      <c r="BF48" s="85">
        <f t="shared" ref="BF48:BF57" si="93">(AZ48*BB48)</f>
        <v>0</v>
      </c>
      <c r="BG48" s="85">
        <f t="shared" ref="BG48:BG57" si="94">(AZ48*BC48)</f>
        <v>0</v>
      </c>
      <c r="BH48" s="85">
        <f t="shared" ref="BH48:BH57" si="95">(AZ48*BD48)</f>
        <v>0</v>
      </c>
    </row>
    <row r="49" spans="1:62" s="1" customFormat="1" x14ac:dyDescent="0.25">
      <c r="A49" s="74" t="s">
        <v>93</v>
      </c>
      <c r="B49" s="75">
        <v>3000</v>
      </c>
      <c r="C49" s="76">
        <v>3.7900000000000003E-2</v>
      </c>
      <c r="D49" s="76">
        <v>3.6700000000000003E-2</v>
      </c>
      <c r="E49" s="76">
        <v>3.5099999999999999E-2</v>
      </c>
      <c r="F49" s="76">
        <v>3.0800000000000001E-2</v>
      </c>
      <c r="G49" s="75">
        <f t="shared" si="72"/>
        <v>113.7</v>
      </c>
      <c r="H49" s="75">
        <f t="shared" si="73"/>
        <v>110.10000000000001</v>
      </c>
      <c r="I49" s="75">
        <f t="shared" si="74"/>
        <v>105.3</v>
      </c>
      <c r="J49" s="75">
        <f t="shared" si="75"/>
        <v>92.4</v>
      </c>
      <c r="K49" s="78"/>
      <c r="L49" s="75">
        <v>2808</v>
      </c>
      <c r="M49" s="76">
        <v>3.5499999999999997E-2</v>
      </c>
      <c r="N49" s="76">
        <v>3.44E-2</v>
      </c>
      <c r="O49" s="76">
        <v>3.2899999999999999E-2</v>
      </c>
      <c r="P49" s="76">
        <v>2.8899999999999999E-2</v>
      </c>
      <c r="Q49" s="75">
        <f t="shared" si="76"/>
        <v>99.683999999999997</v>
      </c>
      <c r="R49" s="75">
        <f t="shared" si="77"/>
        <v>96.595200000000006</v>
      </c>
      <c r="S49" s="75">
        <f t="shared" si="78"/>
        <v>92.383200000000002</v>
      </c>
      <c r="T49" s="75">
        <f t="shared" si="79"/>
        <v>81.151200000000003</v>
      </c>
      <c r="U49" s="78"/>
      <c r="V49" s="75">
        <v>2640</v>
      </c>
      <c r="W49" s="76">
        <v>3.3099999999999997E-2</v>
      </c>
      <c r="X49" s="76">
        <v>3.2099999999999997E-2</v>
      </c>
      <c r="Y49" s="76">
        <v>3.0700000000000002E-2</v>
      </c>
      <c r="Z49" s="76">
        <v>2.7E-2</v>
      </c>
      <c r="AA49" s="75">
        <f t="shared" si="80"/>
        <v>87.384</v>
      </c>
      <c r="AB49" s="119">
        <f t="shared" si="81"/>
        <v>84.743999999999986</v>
      </c>
      <c r="AC49" s="75">
        <f t="shared" si="82"/>
        <v>81.048000000000002</v>
      </c>
      <c r="AD49" s="75">
        <f t="shared" si="83"/>
        <v>71.28</v>
      </c>
      <c r="AE49" s="101"/>
      <c r="AF49" s="75">
        <v>2580</v>
      </c>
      <c r="AG49" s="80"/>
      <c r="AH49" s="76"/>
      <c r="AI49" s="76"/>
      <c r="AJ49" s="81"/>
      <c r="AK49" s="75">
        <f t="shared" si="84"/>
        <v>0</v>
      </c>
      <c r="AL49" s="75">
        <f t="shared" si="85"/>
        <v>0</v>
      </c>
      <c r="AM49" s="75">
        <f t="shared" si="86"/>
        <v>0</v>
      </c>
      <c r="AN49" s="75">
        <f t="shared" si="87"/>
        <v>0</v>
      </c>
      <c r="AO49" s="101"/>
      <c r="AP49" s="75">
        <v>2448</v>
      </c>
      <c r="AQ49" s="80"/>
      <c r="AR49" s="76"/>
      <c r="AS49" s="76"/>
      <c r="AT49" s="81"/>
      <c r="AU49" s="82">
        <f t="shared" si="88"/>
        <v>0</v>
      </c>
      <c r="AV49" s="82">
        <f t="shared" si="89"/>
        <v>0</v>
      </c>
      <c r="AW49" s="82">
        <f t="shared" si="90"/>
        <v>0</v>
      </c>
      <c r="AX49" s="82">
        <f t="shared" si="91"/>
        <v>0</v>
      </c>
      <c r="AY49" s="101"/>
      <c r="AZ49" s="75">
        <v>2268</v>
      </c>
      <c r="BA49" s="80"/>
      <c r="BB49" s="76"/>
      <c r="BC49" s="76"/>
      <c r="BD49" s="81"/>
      <c r="BE49" s="102">
        <f t="shared" si="92"/>
        <v>0</v>
      </c>
      <c r="BF49" s="103">
        <f t="shared" si="93"/>
        <v>0</v>
      </c>
      <c r="BG49" s="103">
        <f t="shared" si="94"/>
        <v>0</v>
      </c>
      <c r="BH49" s="103">
        <f t="shared" si="95"/>
        <v>0</v>
      </c>
      <c r="BJ49"/>
    </row>
    <row r="50" spans="1:62" x14ac:dyDescent="0.25">
      <c r="A50" s="65" t="s">
        <v>94</v>
      </c>
      <c r="B50" s="66">
        <v>3000</v>
      </c>
      <c r="C50" s="67"/>
      <c r="D50" s="67"/>
      <c r="E50" s="67"/>
      <c r="F50" s="67"/>
      <c r="G50" s="83">
        <f t="shared" si="72"/>
        <v>0</v>
      </c>
      <c r="H50" s="83">
        <f t="shared" si="73"/>
        <v>0</v>
      </c>
      <c r="I50" s="83">
        <f t="shared" si="74"/>
        <v>0</v>
      </c>
      <c r="J50" s="83">
        <f t="shared" si="75"/>
        <v>0</v>
      </c>
      <c r="K50" s="68"/>
      <c r="L50" s="66">
        <v>2808</v>
      </c>
      <c r="M50" s="67">
        <v>5.33E-2</v>
      </c>
      <c r="N50" s="67">
        <v>5.16E-2</v>
      </c>
      <c r="O50" s="67">
        <v>4.9299999999999997E-2</v>
      </c>
      <c r="P50" s="67">
        <v>4.3400000000000001E-2</v>
      </c>
      <c r="Q50" s="83">
        <f t="shared" si="76"/>
        <v>149.66640000000001</v>
      </c>
      <c r="R50" s="83">
        <f t="shared" si="77"/>
        <v>144.89279999999999</v>
      </c>
      <c r="S50" s="83">
        <f t="shared" si="78"/>
        <v>138.43439999999998</v>
      </c>
      <c r="T50" s="83">
        <f t="shared" si="79"/>
        <v>121.8672</v>
      </c>
      <c r="U50" s="68"/>
      <c r="V50" s="66">
        <v>2640</v>
      </c>
      <c r="W50" s="45">
        <v>4.9700000000000001E-2</v>
      </c>
      <c r="X50" s="45">
        <v>4.82E-2</v>
      </c>
      <c r="Y50" s="45">
        <v>4.5999999999999999E-2</v>
      </c>
      <c r="Z50" s="45">
        <v>4.0500000000000001E-2</v>
      </c>
      <c r="AA50" s="83">
        <f t="shared" si="80"/>
        <v>131.208</v>
      </c>
      <c r="AB50" s="83">
        <f t="shared" si="81"/>
        <v>127.248</v>
      </c>
      <c r="AC50" s="83">
        <f t="shared" si="82"/>
        <v>121.44</v>
      </c>
      <c r="AD50" s="83">
        <f t="shared" si="83"/>
        <v>106.92</v>
      </c>
      <c r="AE50" s="97"/>
      <c r="AF50" s="66">
        <v>2580</v>
      </c>
      <c r="AG50" s="104">
        <v>4.7899999999999998E-2</v>
      </c>
      <c r="AH50" s="84">
        <v>4.65E-2</v>
      </c>
      <c r="AI50" s="84">
        <v>4.4400000000000002E-2</v>
      </c>
      <c r="AJ50" s="105">
        <v>3.9100000000000003E-2</v>
      </c>
      <c r="AK50" s="83">
        <f t="shared" si="84"/>
        <v>123.58199999999999</v>
      </c>
      <c r="AL50" s="83">
        <f t="shared" si="85"/>
        <v>119.97</v>
      </c>
      <c r="AM50" s="83">
        <f t="shared" si="86"/>
        <v>114.55200000000001</v>
      </c>
      <c r="AN50" s="83">
        <f t="shared" si="87"/>
        <v>100.87800000000001</v>
      </c>
      <c r="AO50" s="97"/>
      <c r="AP50" s="66">
        <v>2448</v>
      </c>
      <c r="AQ50" s="106">
        <v>4.6100000000000002E-2</v>
      </c>
      <c r="AR50" s="45">
        <v>4.48E-2</v>
      </c>
      <c r="AS50" s="45">
        <v>4.2799999999999998E-2</v>
      </c>
      <c r="AT50" s="107">
        <v>3.7699999999999997E-2</v>
      </c>
      <c r="AU50" s="85">
        <f t="shared" si="88"/>
        <v>112.8528</v>
      </c>
      <c r="AV50" s="85">
        <f t="shared" si="89"/>
        <v>109.6704</v>
      </c>
      <c r="AW50" s="85">
        <f t="shared" si="90"/>
        <v>104.7744</v>
      </c>
      <c r="AX50" s="85">
        <f t="shared" si="91"/>
        <v>92.289599999999993</v>
      </c>
      <c r="AY50" s="97"/>
      <c r="AZ50" s="66">
        <v>2268</v>
      </c>
      <c r="BA50" s="106">
        <v>4.2599999999999999E-2</v>
      </c>
      <c r="BB50" s="45">
        <v>4.1300000000000003E-2</v>
      </c>
      <c r="BC50" s="45">
        <v>3.95E-2</v>
      </c>
      <c r="BD50" s="107">
        <v>3.4799999999999998E-2</v>
      </c>
      <c r="BE50" s="100">
        <f t="shared" si="92"/>
        <v>96.616799999999998</v>
      </c>
      <c r="BF50" s="85">
        <f t="shared" si="93"/>
        <v>93.668400000000005</v>
      </c>
      <c r="BG50" s="85">
        <f t="shared" si="94"/>
        <v>89.585999999999999</v>
      </c>
      <c r="BH50" s="85">
        <f t="shared" si="95"/>
        <v>78.926400000000001</v>
      </c>
    </row>
    <row r="51" spans="1:62" x14ac:dyDescent="0.25">
      <c r="A51" s="86" t="s">
        <v>95</v>
      </c>
      <c r="B51" s="57">
        <v>3000</v>
      </c>
      <c r="C51" s="87"/>
      <c r="D51" s="87"/>
      <c r="E51" s="87"/>
      <c r="F51" s="87"/>
      <c r="G51" s="57">
        <f t="shared" si="72"/>
        <v>0</v>
      </c>
      <c r="H51" s="57">
        <f t="shared" si="73"/>
        <v>0</v>
      </c>
      <c r="I51" s="57">
        <f t="shared" si="74"/>
        <v>0</v>
      </c>
      <c r="J51" s="57">
        <f t="shared" si="75"/>
        <v>0</v>
      </c>
      <c r="K51" s="88"/>
      <c r="L51" s="57">
        <v>2808</v>
      </c>
      <c r="M51" s="87"/>
      <c r="N51" s="87"/>
      <c r="O51" s="87"/>
      <c r="P51" s="87"/>
      <c r="Q51" s="57">
        <f t="shared" si="76"/>
        <v>0</v>
      </c>
      <c r="R51" s="57">
        <f t="shared" si="77"/>
        <v>0</v>
      </c>
      <c r="S51" s="57">
        <f t="shared" si="78"/>
        <v>0</v>
      </c>
      <c r="T51" s="57">
        <f t="shared" si="79"/>
        <v>0</v>
      </c>
      <c r="U51" s="88"/>
      <c r="V51" s="57">
        <v>2640</v>
      </c>
      <c r="W51" s="45">
        <v>5.5199999999999999E-2</v>
      </c>
      <c r="X51" s="45">
        <v>5.3600000000000002E-2</v>
      </c>
      <c r="Y51" s="45">
        <v>5.11E-2</v>
      </c>
      <c r="Z51" s="45">
        <v>4.4999999999999998E-2</v>
      </c>
      <c r="AA51" s="57">
        <f t="shared" si="80"/>
        <v>145.72800000000001</v>
      </c>
      <c r="AB51" s="57">
        <f t="shared" si="81"/>
        <v>141.50399999999999</v>
      </c>
      <c r="AC51" s="57">
        <f t="shared" si="82"/>
        <v>134.904</v>
      </c>
      <c r="AD51" s="57">
        <f t="shared" si="83"/>
        <v>118.8</v>
      </c>
      <c r="AE51" s="97"/>
      <c r="AF51" s="57">
        <v>2580</v>
      </c>
      <c r="AG51" s="104">
        <v>5.3199999999999997E-2</v>
      </c>
      <c r="AH51" s="84">
        <v>5.1700000000000003E-2</v>
      </c>
      <c r="AI51" s="84">
        <v>4.9299999999999997E-2</v>
      </c>
      <c r="AJ51" s="105">
        <v>4.3400000000000001E-2</v>
      </c>
      <c r="AK51" s="57">
        <f t="shared" si="84"/>
        <v>137.256</v>
      </c>
      <c r="AL51" s="57">
        <f t="shared" si="85"/>
        <v>133.386</v>
      </c>
      <c r="AM51" s="57">
        <f t="shared" si="86"/>
        <v>127.19399999999999</v>
      </c>
      <c r="AN51" s="57">
        <f t="shared" si="87"/>
        <v>111.97200000000001</v>
      </c>
      <c r="AO51" s="97"/>
      <c r="AP51" s="57">
        <v>2448</v>
      </c>
      <c r="AQ51" s="106">
        <v>5.1200000000000002E-2</v>
      </c>
      <c r="AR51" s="45">
        <v>4.9799999999999997E-2</v>
      </c>
      <c r="AS51" s="45">
        <v>4.7500000000000001E-2</v>
      </c>
      <c r="AT51" s="107">
        <v>4.1799999999999997E-2</v>
      </c>
      <c r="AU51" s="89">
        <f t="shared" si="88"/>
        <v>125.33760000000001</v>
      </c>
      <c r="AV51" s="89">
        <f t="shared" si="89"/>
        <v>121.9104</v>
      </c>
      <c r="AW51" s="89">
        <f t="shared" si="90"/>
        <v>116.28</v>
      </c>
      <c r="AX51" s="89">
        <f t="shared" si="91"/>
        <v>102.32639999999999</v>
      </c>
      <c r="AY51" s="97"/>
      <c r="AZ51" s="57">
        <v>2268</v>
      </c>
      <c r="BA51" s="106">
        <v>4.7300000000000002E-2</v>
      </c>
      <c r="BB51" s="45">
        <v>4.5999999999999999E-2</v>
      </c>
      <c r="BC51" s="45">
        <v>4.3799999999999999E-2</v>
      </c>
      <c r="BD51" s="107">
        <v>3.8600000000000002E-2</v>
      </c>
      <c r="BE51" s="108">
        <f t="shared" si="92"/>
        <v>107.27640000000001</v>
      </c>
      <c r="BF51" s="89">
        <f t="shared" si="93"/>
        <v>104.328</v>
      </c>
      <c r="BG51" s="89">
        <f t="shared" si="94"/>
        <v>99.338399999999993</v>
      </c>
      <c r="BH51" s="89">
        <f t="shared" si="95"/>
        <v>87.544800000000009</v>
      </c>
    </row>
    <row r="52" spans="1:62" x14ac:dyDescent="0.25">
      <c r="A52" s="65" t="s">
        <v>96</v>
      </c>
      <c r="B52" s="66">
        <v>3000</v>
      </c>
      <c r="C52" s="67"/>
      <c r="D52" s="67"/>
      <c r="E52" s="67"/>
      <c r="F52" s="67"/>
      <c r="G52" s="66">
        <f t="shared" si="72"/>
        <v>0</v>
      </c>
      <c r="H52" s="66">
        <f t="shared" si="73"/>
        <v>0</v>
      </c>
      <c r="I52" s="66">
        <f t="shared" si="74"/>
        <v>0</v>
      </c>
      <c r="J52" s="66">
        <f t="shared" si="75"/>
        <v>0</v>
      </c>
      <c r="K52" s="68"/>
      <c r="L52" s="66">
        <v>2808</v>
      </c>
      <c r="M52" s="67"/>
      <c r="N52" s="67"/>
      <c r="O52" s="67"/>
      <c r="P52" s="67"/>
      <c r="Q52" s="66">
        <f t="shared" si="76"/>
        <v>0</v>
      </c>
      <c r="R52" s="66">
        <f t="shared" si="77"/>
        <v>0</v>
      </c>
      <c r="S52" s="66">
        <f t="shared" si="78"/>
        <v>0</v>
      </c>
      <c r="T52" s="66">
        <f t="shared" si="79"/>
        <v>0</v>
      </c>
      <c r="U52" s="68"/>
      <c r="V52" s="66">
        <v>2640</v>
      </c>
      <c r="W52" s="45">
        <v>5.8400000000000001E-2</v>
      </c>
      <c r="X52" s="45">
        <v>5.67E-2</v>
      </c>
      <c r="Y52" s="45">
        <v>5.4100000000000002E-2</v>
      </c>
      <c r="Z52" s="45">
        <v>4.4699999999999997E-2</v>
      </c>
      <c r="AA52" s="66">
        <f t="shared" si="80"/>
        <v>154.17599999999999</v>
      </c>
      <c r="AB52" s="66">
        <f t="shared" si="81"/>
        <v>149.68799999999999</v>
      </c>
      <c r="AC52" s="66">
        <f t="shared" si="82"/>
        <v>142.82400000000001</v>
      </c>
      <c r="AD52" s="66">
        <f t="shared" si="83"/>
        <v>118.008</v>
      </c>
      <c r="AE52" s="97"/>
      <c r="AF52" s="66">
        <v>2580</v>
      </c>
      <c r="AG52" s="104">
        <v>5.6300000000000003E-2</v>
      </c>
      <c r="AH52" s="84">
        <v>5.4699999999999999E-2</v>
      </c>
      <c r="AI52" s="84">
        <v>5.2200000000000003E-2</v>
      </c>
      <c r="AJ52" s="105">
        <v>4.5999999999999999E-2</v>
      </c>
      <c r="AK52" s="66">
        <f t="shared" si="84"/>
        <v>145.25400000000002</v>
      </c>
      <c r="AL52" s="66">
        <f t="shared" si="85"/>
        <v>141.126</v>
      </c>
      <c r="AM52" s="66">
        <f t="shared" si="86"/>
        <v>134.67600000000002</v>
      </c>
      <c r="AN52" s="66">
        <f t="shared" si="87"/>
        <v>118.67999999999999</v>
      </c>
      <c r="AO52" s="97"/>
      <c r="AP52" s="66">
        <v>2448</v>
      </c>
      <c r="AQ52" s="106">
        <v>5.4199999999999998E-2</v>
      </c>
      <c r="AR52" s="45">
        <v>5.2699999999999997E-2</v>
      </c>
      <c r="AS52" s="45">
        <v>5.0299999999999997E-2</v>
      </c>
      <c r="AT52" s="107">
        <v>4.4299999999999999E-2</v>
      </c>
      <c r="AU52" s="72">
        <f t="shared" si="88"/>
        <v>132.6816</v>
      </c>
      <c r="AV52" s="72">
        <f t="shared" si="89"/>
        <v>129.00960000000001</v>
      </c>
      <c r="AW52" s="72">
        <f t="shared" si="90"/>
        <v>123.1344</v>
      </c>
      <c r="AX52" s="72">
        <f t="shared" si="91"/>
        <v>108.4464</v>
      </c>
      <c r="AY52" s="97"/>
      <c r="AZ52" s="66">
        <v>2268</v>
      </c>
      <c r="BA52" s="106">
        <v>0.05</v>
      </c>
      <c r="BB52" s="45">
        <v>4.8599999999999997E-2</v>
      </c>
      <c r="BC52" s="45">
        <v>4.6399999999999997E-2</v>
      </c>
      <c r="BD52" s="107">
        <v>4.0899999999999999E-2</v>
      </c>
      <c r="BE52" s="109">
        <f t="shared" si="92"/>
        <v>113.4</v>
      </c>
      <c r="BF52" s="72">
        <f t="shared" si="93"/>
        <v>110.22479999999999</v>
      </c>
      <c r="BG52" s="72">
        <f t="shared" si="94"/>
        <v>105.23519999999999</v>
      </c>
      <c r="BH52" s="72">
        <f t="shared" si="95"/>
        <v>92.761200000000002</v>
      </c>
    </row>
    <row r="53" spans="1:62" x14ac:dyDescent="0.25">
      <c r="A53" s="86" t="s">
        <v>97</v>
      </c>
      <c r="B53" s="57">
        <v>3000</v>
      </c>
      <c r="C53" s="87"/>
      <c r="D53" s="87"/>
      <c r="E53" s="87"/>
      <c r="F53" s="87"/>
      <c r="G53" s="57">
        <f t="shared" si="72"/>
        <v>0</v>
      </c>
      <c r="H53" s="57">
        <f t="shared" si="73"/>
        <v>0</v>
      </c>
      <c r="I53" s="57">
        <f t="shared" si="74"/>
        <v>0</v>
      </c>
      <c r="J53" s="57">
        <f t="shared" si="75"/>
        <v>0</v>
      </c>
      <c r="K53" s="88"/>
      <c r="L53" s="57">
        <v>2808</v>
      </c>
      <c r="M53" s="87"/>
      <c r="N53" s="87"/>
      <c r="O53" s="87"/>
      <c r="P53" s="87"/>
      <c r="Q53" s="57">
        <f t="shared" si="76"/>
        <v>0</v>
      </c>
      <c r="R53" s="57">
        <f t="shared" si="77"/>
        <v>0</v>
      </c>
      <c r="S53" s="57">
        <f t="shared" si="78"/>
        <v>0</v>
      </c>
      <c r="T53" s="57">
        <f t="shared" si="79"/>
        <v>0</v>
      </c>
      <c r="U53" s="88"/>
      <c r="V53" s="57">
        <v>2640</v>
      </c>
      <c r="W53" s="45">
        <v>6.2E-2</v>
      </c>
      <c r="X53" s="45">
        <v>6.0299999999999999E-2</v>
      </c>
      <c r="Y53" s="45">
        <v>5.7599999999999998E-2</v>
      </c>
      <c r="Z53" s="45">
        <v>5.0599999999999999E-2</v>
      </c>
      <c r="AA53" s="57">
        <f t="shared" si="80"/>
        <v>163.68</v>
      </c>
      <c r="AB53" s="57">
        <f t="shared" si="81"/>
        <v>159.19200000000001</v>
      </c>
      <c r="AC53" s="57">
        <f t="shared" si="82"/>
        <v>152.06399999999999</v>
      </c>
      <c r="AD53" s="57">
        <f t="shared" si="83"/>
        <v>133.584</v>
      </c>
      <c r="AE53" s="97"/>
      <c r="AF53" s="57">
        <v>2580</v>
      </c>
      <c r="AG53" s="104">
        <v>5.9799999999999999E-2</v>
      </c>
      <c r="AH53" s="84">
        <v>5.8099999999999999E-2</v>
      </c>
      <c r="AI53" s="84">
        <v>5.5500000000000001E-2</v>
      </c>
      <c r="AJ53" s="105">
        <v>4.8800000000000003E-2</v>
      </c>
      <c r="AK53" s="57">
        <f t="shared" si="84"/>
        <v>154.28399999999999</v>
      </c>
      <c r="AL53" s="57">
        <f t="shared" si="85"/>
        <v>149.898</v>
      </c>
      <c r="AM53" s="57">
        <f t="shared" si="86"/>
        <v>143.19</v>
      </c>
      <c r="AN53" s="57">
        <f t="shared" si="87"/>
        <v>125.90400000000001</v>
      </c>
      <c r="AO53" s="97"/>
      <c r="AP53" s="57">
        <v>2448</v>
      </c>
      <c r="AQ53" s="106">
        <v>5.7599999999999998E-2</v>
      </c>
      <c r="AR53" s="45">
        <v>5.5899999999999998E-2</v>
      </c>
      <c r="AS53" s="45">
        <v>5.3400000000000003E-2</v>
      </c>
      <c r="AT53" s="107">
        <v>4.7E-2</v>
      </c>
      <c r="AU53" s="89">
        <f t="shared" si="88"/>
        <v>141.00479999999999</v>
      </c>
      <c r="AV53" s="89">
        <f t="shared" si="89"/>
        <v>136.8432</v>
      </c>
      <c r="AW53" s="89">
        <f t="shared" si="90"/>
        <v>130.72320000000002</v>
      </c>
      <c r="AX53" s="89">
        <f t="shared" si="91"/>
        <v>115.056</v>
      </c>
      <c r="AY53" s="97"/>
      <c r="AZ53" s="57">
        <v>2268</v>
      </c>
      <c r="BA53" s="106">
        <v>5.3199999999999997E-2</v>
      </c>
      <c r="BB53" s="45">
        <v>5.16E-2</v>
      </c>
      <c r="BC53" s="45">
        <v>4.9299999999999997E-2</v>
      </c>
      <c r="BD53" s="107">
        <v>4.3400000000000001E-2</v>
      </c>
      <c r="BE53" s="108">
        <f t="shared" si="92"/>
        <v>120.65759999999999</v>
      </c>
      <c r="BF53" s="89">
        <f t="shared" si="93"/>
        <v>117.0288</v>
      </c>
      <c r="BG53" s="89">
        <f t="shared" si="94"/>
        <v>111.8124</v>
      </c>
      <c r="BH53" s="89">
        <f t="shared" si="95"/>
        <v>98.431200000000004</v>
      </c>
    </row>
    <row r="54" spans="1:62" x14ac:dyDescent="0.25">
      <c r="A54" s="65" t="s">
        <v>98</v>
      </c>
      <c r="B54" s="66">
        <v>3000</v>
      </c>
      <c r="C54" s="67"/>
      <c r="D54" s="67"/>
      <c r="E54" s="67"/>
      <c r="F54" s="67"/>
      <c r="G54" s="66">
        <f t="shared" si="72"/>
        <v>0</v>
      </c>
      <c r="H54" s="66">
        <f t="shared" si="73"/>
        <v>0</v>
      </c>
      <c r="I54" s="66">
        <f t="shared" si="74"/>
        <v>0</v>
      </c>
      <c r="J54" s="66">
        <f t="shared" si="75"/>
        <v>0</v>
      </c>
      <c r="K54" s="68"/>
      <c r="L54" s="66">
        <v>2808</v>
      </c>
      <c r="M54" s="67"/>
      <c r="N54" s="67"/>
      <c r="O54" s="67"/>
      <c r="P54" s="67"/>
      <c r="Q54" s="66">
        <f t="shared" si="76"/>
        <v>0</v>
      </c>
      <c r="R54" s="66">
        <f t="shared" si="77"/>
        <v>0</v>
      </c>
      <c r="S54" s="66">
        <f t="shared" si="78"/>
        <v>0</v>
      </c>
      <c r="T54" s="66">
        <f t="shared" si="79"/>
        <v>0</v>
      </c>
      <c r="U54" s="68"/>
      <c r="V54" s="66">
        <v>2640</v>
      </c>
      <c r="W54" s="45">
        <v>6.6199999999999995E-2</v>
      </c>
      <c r="X54" s="45">
        <v>6.4299999999999996E-2</v>
      </c>
      <c r="Y54" s="45">
        <v>6.1400000000000003E-2</v>
      </c>
      <c r="Z54" s="45">
        <v>5.3999999999999999E-2</v>
      </c>
      <c r="AA54" s="66">
        <f t="shared" si="80"/>
        <v>174.768</v>
      </c>
      <c r="AB54" s="66">
        <f t="shared" si="81"/>
        <v>169.75199999999998</v>
      </c>
      <c r="AC54" s="66">
        <f t="shared" si="82"/>
        <v>162.096</v>
      </c>
      <c r="AD54" s="66">
        <f t="shared" si="83"/>
        <v>142.56</v>
      </c>
      <c r="AE54" s="97"/>
      <c r="AF54" s="66">
        <v>2580</v>
      </c>
      <c r="AG54" s="104">
        <v>6.3799999999999996E-2</v>
      </c>
      <c r="AH54" s="84">
        <v>6.2E-2</v>
      </c>
      <c r="AI54" s="84">
        <v>5.9200000000000003E-2</v>
      </c>
      <c r="AJ54" s="105">
        <v>5.21E-2</v>
      </c>
      <c r="AK54" s="66">
        <f t="shared" si="84"/>
        <v>164.60399999999998</v>
      </c>
      <c r="AL54" s="66">
        <f t="shared" si="85"/>
        <v>159.96</v>
      </c>
      <c r="AM54" s="66">
        <f t="shared" si="86"/>
        <v>152.73600000000002</v>
      </c>
      <c r="AN54" s="66">
        <f t="shared" si="87"/>
        <v>134.41800000000001</v>
      </c>
      <c r="AO54" s="97"/>
      <c r="AP54" s="66">
        <v>2448</v>
      </c>
      <c r="AQ54" s="106">
        <v>6.1400000000000003E-2</v>
      </c>
      <c r="AR54" s="45">
        <v>5.9700000000000003E-2</v>
      </c>
      <c r="AS54" s="45">
        <v>5.7000000000000002E-2</v>
      </c>
      <c r="AT54" s="107">
        <v>5.0200000000000002E-2</v>
      </c>
      <c r="AU54" s="72">
        <f t="shared" si="88"/>
        <v>150.30719999999999</v>
      </c>
      <c r="AV54" s="72">
        <f t="shared" si="89"/>
        <v>146.1456</v>
      </c>
      <c r="AW54" s="72">
        <f t="shared" si="90"/>
        <v>139.536</v>
      </c>
      <c r="AX54" s="72">
        <f t="shared" si="91"/>
        <v>122.8896</v>
      </c>
      <c r="AY54" s="97"/>
      <c r="AZ54" s="66">
        <v>2268</v>
      </c>
      <c r="BA54" s="106">
        <v>5.67E-2</v>
      </c>
      <c r="BB54" s="45">
        <v>5.5100000000000003E-2</v>
      </c>
      <c r="BC54" s="45">
        <v>5.2600000000000001E-2</v>
      </c>
      <c r="BD54" s="107">
        <v>4.6300000000000001E-2</v>
      </c>
      <c r="BE54" s="109">
        <f t="shared" si="92"/>
        <v>128.59559999999999</v>
      </c>
      <c r="BF54" s="72">
        <f t="shared" si="93"/>
        <v>124.96680000000001</v>
      </c>
      <c r="BG54" s="72">
        <f t="shared" si="94"/>
        <v>119.2968</v>
      </c>
      <c r="BH54" s="72">
        <f t="shared" si="95"/>
        <v>105.00840000000001</v>
      </c>
    </row>
    <row r="55" spans="1:62" x14ac:dyDescent="0.25">
      <c r="A55" s="86" t="s">
        <v>99</v>
      </c>
      <c r="B55" s="57">
        <v>3000</v>
      </c>
      <c r="C55" s="87"/>
      <c r="D55" s="87"/>
      <c r="E55" s="87"/>
      <c r="F55" s="87"/>
      <c r="G55" s="57">
        <f t="shared" si="72"/>
        <v>0</v>
      </c>
      <c r="H55" s="57">
        <f t="shared" si="73"/>
        <v>0</v>
      </c>
      <c r="I55" s="57">
        <f t="shared" si="74"/>
        <v>0</v>
      </c>
      <c r="J55" s="57">
        <f t="shared" si="75"/>
        <v>0</v>
      </c>
      <c r="K55" s="88"/>
      <c r="L55" s="57">
        <v>2808</v>
      </c>
      <c r="M55" s="87"/>
      <c r="N55" s="87"/>
      <c r="O55" s="87"/>
      <c r="P55" s="87"/>
      <c r="Q55" s="57">
        <f t="shared" si="76"/>
        <v>0</v>
      </c>
      <c r="R55" s="57">
        <f t="shared" si="77"/>
        <v>0</v>
      </c>
      <c r="S55" s="57">
        <f t="shared" si="78"/>
        <v>0</v>
      </c>
      <c r="T55" s="57">
        <f t="shared" si="79"/>
        <v>0</v>
      </c>
      <c r="U55" s="88"/>
      <c r="V55" s="57">
        <v>2640</v>
      </c>
      <c r="W55" s="45">
        <v>7.0900000000000005E-2</v>
      </c>
      <c r="X55" s="45">
        <v>6.8900000000000003E-2</v>
      </c>
      <c r="Y55" s="45">
        <v>6.5699999999999995E-2</v>
      </c>
      <c r="Z55" s="45">
        <v>6.0400000000000002E-2</v>
      </c>
      <c r="AA55" s="57">
        <f t="shared" si="80"/>
        <v>187.17600000000002</v>
      </c>
      <c r="AB55" s="57">
        <f t="shared" si="81"/>
        <v>181.89600000000002</v>
      </c>
      <c r="AC55" s="57">
        <f t="shared" si="82"/>
        <v>173.44799999999998</v>
      </c>
      <c r="AD55" s="57">
        <f t="shared" si="83"/>
        <v>159.45600000000002</v>
      </c>
      <c r="AE55" s="97"/>
      <c r="AF55" s="57">
        <v>2580</v>
      </c>
      <c r="AG55" s="104">
        <v>6.8400000000000002E-2</v>
      </c>
      <c r="AH55" s="84">
        <v>6.6400000000000001E-2</v>
      </c>
      <c r="AI55" s="84">
        <v>6.3399999999999998E-2</v>
      </c>
      <c r="AJ55" s="105">
        <v>5.8200000000000002E-2</v>
      </c>
      <c r="AK55" s="57">
        <f t="shared" si="84"/>
        <v>176.47200000000001</v>
      </c>
      <c r="AL55" s="57">
        <f t="shared" si="85"/>
        <v>171.31200000000001</v>
      </c>
      <c r="AM55" s="57">
        <f t="shared" si="86"/>
        <v>163.572</v>
      </c>
      <c r="AN55" s="57">
        <f t="shared" si="87"/>
        <v>150.15600000000001</v>
      </c>
      <c r="AO55" s="97"/>
      <c r="AP55" s="57">
        <v>2448</v>
      </c>
      <c r="AQ55" s="106">
        <v>6.59E-2</v>
      </c>
      <c r="AR55" s="45">
        <v>6.3899999999999998E-2</v>
      </c>
      <c r="AS55" s="45">
        <v>6.1100000000000002E-2</v>
      </c>
      <c r="AT55" s="107">
        <v>5.6000000000000001E-2</v>
      </c>
      <c r="AU55" s="89">
        <f t="shared" si="88"/>
        <v>161.32320000000001</v>
      </c>
      <c r="AV55" s="89">
        <f t="shared" si="89"/>
        <v>156.4272</v>
      </c>
      <c r="AW55" s="89">
        <f t="shared" si="90"/>
        <v>149.5728</v>
      </c>
      <c r="AX55" s="89">
        <f t="shared" si="91"/>
        <v>137.08799999999999</v>
      </c>
      <c r="AY55" s="97"/>
      <c r="AZ55" s="57">
        <v>2268</v>
      </c>
      <c r="BA55" s="106">
        <v>6.08E-2</v>
      </c>
      <c r="BB55" s="45">
        <v>5.8999999999999997E-2</v>
      </c>
      <c r="BC55" s="45">
        <v>5.6399999999999999E-2</v>
      </c>
      <c r="BD55" s="107">
        <v>5.1700000000000003E-2</v>
      </c>
      <c r="BE55" s="108">
        <f t="shared" si="92"/>
        <v>137.89439999999999</v>
      </c>
      <c r="BF55" s="89">
        <f t="shared" si="93"/>
        <v>133.81199999999998</v>
      </c>
      <c r="BG55" s="89">
        <f t="shared" si="94"/>
        <v>127.9152</v>
      </c>
      <c r="BH55" s="89">
        <f t="shared" si="95"/>
        <v>117.2556</v>
      </c>
    </row>
    <row r="56" spans="1:62" x14ac:dyDescent="0.25">
      <c r="A56" s="65" t="s">
        <v>100</v>
      </c>
      <c r="B56" s="66">
        <v>3000</v>
      </c>
      <c r="C56" s="67"/>
      <c r="D56" s="67"/>
      <c r="E56" s="67"/>
      <c r="F56" s="67"/>
      <c r="G56" s="66">
        <f t="shared" si="72"/>
        <v>0</v>
      </c>
      <c r="H56" s="66">
        <f t="shared" si="73"/>
        <v>0</v>
      </c>
      <c r="I56" s="66">
        <f t="shared" si="74"/>
        <v>0</v>
      </c>
      <c r="J56" s="66">
        <f t="shared" si="75"/>
        <v>0</v>
      </c>
      <c r="K56" s="68"/>
      <c r="L56" s="66">
        <v>2808</v>
      </c>
      <c r="M56" s="67"/>
      <c r="N56" s="67"/>
      <c r="O56" s="67"/>
      <c r="P56" s="67"/>
      <c r="Q56" s="66">
        <f t="shared" si="76"/>
        <v>0</v>
      </c>
      <c r="R56" s="66">
        <f t="shared" si="77"/>
        <v>0</v>
      </c>
      <c r="S56" s="66">
        <f t="shared" si="78"/>
        <v>0</v>
      </c>
      <c r="T56" s="66">
        <f t="shared" si="79"/>
        <v>0</v>
      </c>
      <c r="U56" s="68"/>
      <c r="V56" s="66">
        <v>2640</v>
      </c>
      <c r="W56" s="45">
        <v>7.6300000000000007E-2</v>
      </c>
      <c r="X56" s="45">
        <v>7.4099999999999999E-2</v>
      </c>
      <c r="Y56" s="45">
        <v>7.0800000000000002E-2</v>
      </c>
      <c r="Z56" s="45">
        <v>6.2300000000000001E-2</v>
      </c>
      <c r="AA56" s="66">
        <f t="shared" si="80"/>
        <v>201.43200000000002</v>
      </c>
      <c r="AB56" s="66">
        <f t="shared" si="81"/>
        <v>195.624</v>
      </c>
      <c r="AC56" s="66">
        <f t="shared" si="82"/>
        <v>186.91200000000001</v>
      </c>
      <c r="AD56" s="66">
        <f t="shared" si="83"/>
        <v>164.47200000000001</v>
      </c>
      <c r="AE56" s="97"/>
      <c r="AF56" s="66">
        <v>2580</v>
      </c>
      <c r="AG56" s="104">
        <v>7.3599999999999999E-2</v>
      </c>
      <c r="AH56" s="84">
        <v>7.1499999999999994E-2</v>
      </c>
      <c r="AI56" s="84">
        <v>6.83E-2</v>
      </c>
      <c r="AJ56" s="105">
        <v>6.0100000000000001E-2</v>
      </c>
      <c r="AK56" s="66">
        <f t="shared" si="84"/>
        <v>189.88800000000001</v>
      </c>
      <c r="AL56" s="66">
        <f t="shared" si="85"/>
        <v>184.47</v>
      </c>
      <c r="AM56" s="66">
        <f t="shared" si="86"/>
        <v>176.214</v>
      </c>
      <c r="AN56" s="66">
        <f t="shared" si="87"/>
        <v>155.05799999999999</v>
      </c>
      <c r="AO56" s="97"/>
      <c r="AP56" s="66">
        <v>2448</v>
      </c>
      <c r="AQ56" s="106">
        <v>7.0900000000000005E-2</v>
      </c>
      <c r="AR56" s="45">
        <v>6.8900000000000003E-2</v>
      </c>
      <c r="AS56" s="45">
        <v>6.5799999999999997E-2</v>
      </c>
      <c r="AT56" s="107">
        <v>5.79E-2</v>
      </c>
      <c r="AU56" s="72">
        <f t="shared" si="88"/>
        <v>173.56320000000002</v>
      </c>
      <c r="AV56" s="72">
        <f t="shared" si="89"/>
        <v>168.66720000000001</v>
      </c>
      <c r="AW56" s="72">
        <f t="shared" si="90"/>
        <v>161.07839999999999</v>
      </c>
      <c r="AX56" s="72">
        <f t="shared" si="91"/>
        <v>141.73920000000001</v>
      </c>
      <c r="AY56" s="97"/>
      <c r="AZ56" s="66">
        <v>2268</v>
      </c>
      <c r="BA56" s="106">
        <v>6.54E-2</v>
      </c>
      <c r="BB56" s="45">
        <v>6.3600000000000004E-2</v>
      </c>
      <c r="BC56" s="45">
        <v>6.0699999999999997E-2</v>
      </c>
      <c r="BD56" s="107">
        <v>5.3400000000000003E-2</v>
      </c>
      <c r="BE56" s="109">
        <f t="shared" si="92"/>
        <v>148.3272</v>
      </c>
      <c r="BF56" s="72">
        <f t="shared" si="93"/>
        <v>144.2448</v>
      </c>
      <c r="BG56" s="72">
        <f t="shared" si="94"/>
        <v>137.66759999999999</v>
      </c>
      <c r="BH56" s="72">
        <f t="shared" si="95"/>
        <v>121.11120000000001</v>
      </c>
    </row>
    <row r="57" spans="1:62" x14ac:dyDescent="0.25">
      <c r="A57" s="90" t="s">
        <v>101</v>
      </c>
      <c r="B57" s="57">
        <v>3000</v>
      </c>
      <c r="C57" s="91"/>
      <c r="D57" s="91"/>
      <c r="E57" s="91"/>
      <c r="F57" s="91"/>
      <c r="G57" s="57">
        <f t="shared" si="72"/>
        <v>0</v>
      </c>
      <c r="H57" s="57">
        <f t="shared" si="73"/>
        <v>0</v>
      </c>
      <c r="I57" s="57">
        <f t="shared" si="74"/>
        <v>0</v>
      </c>
      <c r="J57" s="57">
        <f t="shared" si="75"/>
        <v>0</v>
      </c>
      <c r="K57" s="92"/>
      <c r="L57" s="57">
        <v>2808</v>
      </c>
      <c r="M57" s="91"/>
      <c r="N57" s="91"/>
      <c r="O57" s="91"/>
      <c r="P57" s="91"/>
      <c r="Q57" s="57">
        <f t="shared" si="76"/>
        <v>0</v>
      </c>
      <c r="R57" s="57">
        <f t="shared" si="77"/>
        <v>0</v>
      </c>
      <c r="S57" s="57">
        <f t="shared" si="78"/>
        <v>0</v>
      </c>
      <c r="T57" s="57">
        <f t="shared" si="79"/>
        <v>0</v>
      </c>
      <c r="U57" s="92"/>
      <c r="V57" s="57">
        <v>2640</v>
      </c>
      <c r="W57" s="45">
        <v>8.2799999999999999E-2</v>
      </c>
      <c r="X57" s="45">
        <v>8.0399999999999999E-2</v>
      </c>
      <c r="Y57" s="45">
        <v>7.6700000000000004E-2</v>
      </c>
      <c r="Z57" s="45">
        <v>6.7500000000000004E-2</v>
      </c>
      <c r="AA57" s="57">
        <f t="shared" si="80"/>
        <v>218.59199999999998</v>
      </c>
      <c r="AB57" s="57">
        <f t="shared" si="81"/>
        <v>212.256</v>
      </c>
      <c r="AC57" s="57">
        <f t="shared" si="82"/>
        <v>202.488</v>
      </c>
      <c r="AD57" s="57">
        <f t="shared" si="83"/>
        <v>178.20000000000002</v>
      </c>
      <c r="AE57" s="110"/>
      <c r="AF57" s="57">
        <v>2580</v>
      </c>
      <c r="AG57" s="111">
        <v>7.9799999999999996E-2</v>
      </c>
      <c r="AH57" s="112">
        <v>7.7499999999999999E-2</v>
      </c>
      <c r="AI57" s="112">
        <v>7.3999999999999996E-2</v>
      </c>
      <c r="AJ57" s="113">
        <v>6.5100000000000005E-2</v>
      </c>
      <c r="AK57" s="57">
        <f t="shared" si="84"/>
        <v>205.88399999999999</v>
      </c>
      <c r="AL57" s="57">
        <f t="shared" si="85"/>
        <v>199.95</v>
      </c>
      <c r="AM57" s="57">
        <f t="shared" si="86"/>
        <v>190.92</v>
      </c>
      <c r="AN57" s="57">
        <f t="shared" si="87"/>
        <v>167.95800000000003</v>
      </c>
      <c r="AO57" s="110"/>
      <c r="AP57" s="57">
        <v>2448</v>
      </c>
      <c r="AQ57" s="114">
        <v>7.6799999999999993E-2</v>
      </c>
      <c r="AR57" s="115">
        <v>7.46E-2</v>
      </c>
      <c r="AS57" s="115">
        <v>7.1300000000000002E-2</v>
      </c>
      <c r="AT57" s="116">
        <v>6.2700000000000006E-2</v>
      </c>
      <c r="AU57" s="89">
        <f t="shared" si="88"/>
        <v>188.00639999999999</v>
      </c>
      <c r="AV57" s="89">
        <f t="shared" si="89"/>
        <v>182.6208</v>
      </c>
      <c r="AW57" s="89">
        <f t="shared" si="90"/>
        <v>174.54240000000001</v>
      </c>
      <c r="AX57" s="89">
        <f t="shared" si="91"/>
        <v>153.48960000000002</v>
      </c>
      <c r="AY57" s="110"/>
      <c r="AZ57" s="57">
        <v>2268</v>
      </c>
      <c r="BA57" s="114">
        <v>7.0900000000000005E-2</v>
      </c>
      <c r="BB57" s="115">
        <v>6.8900000000000003E-2</v>
      </c>
      <c r="BC57" s="115">
        <v>6.5799999999999997E-2</v>
      </c>
      <c r="BD57" s="116">
        <v>5.79E-2</v>
      </c>
      <c r="BE57" s="108">
        <f t="shared" si="92"/>
        <v>160.80120000000002</v>
      </c>
      <c r="BF57" s="89">
        <f t="shared" si="93"/>
        <v>156.26519999999999</v>
      </c>
      <c r="BG57" s="89">
        <f t="shared" si="94"/>
        <v>149.23439999999999</v>
      </c>
      <c r="BH57" s="89">
        <f t="shared" si="95"/>
        <v>131.31720000000001</v>
      </c>
    </row>
    <row r="58" spans="1:62" ht="12" customHeight="1" x14ac:dyDescent="0.25">
      <c r="A58" s="206" t="s">
        <v>105</v>
      </c>
      <c r="B58" s="206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  <c r="AE58" s="206"/>
      <c r="AF58" s="206"/>
      <c r="AG58" s="206"/>
      <c r="AH58" s="206"/>
      <c r="AI58" s="206"/>
      <c r="AJ58" s="206"/>
      <c r="AK58" s="206"/>
      <c r="AL58" s="206"/>
      <c r="AM58" s="206"/>
      <c r="AN58" s="206"/>
      <c r="AO58" s="206"/>
      <c r="AP58" s="206"/>
      <c r="AQ58" s="206"/>
      <c r="AR58" s="206"/>
      <c r="AS58" s="206"/>
      <c r="AT58" s="206"/>
      <c r="AU58" s="206"/>
      <c r="AV58" s="206"/>
      <c r="AW58" s="206"/>
      <c r="AX58" s="206"/>
      <c r="AY58" s="206"/>
      <c r="AZ58" s="206"/>
      <c r="BA58" s="206"/>
      <c r="BB58" s="206"/>
      <c r="BC58" s="206"/>
      <c r="BD58" s="206"/>
      <c r="BE58" s="206"/>
      <c r="BF58" s="206"/>
      <c r="BG58" s="206"/>
      <c r="BH58" s="206"/>
    </row>
    <row r="59" spans="1:62" x14ac:dyDescent="0.25">
      <c r="A59" s="46"/>
      <c r="B59" s="47" t="s">
        <v>75</v>
      </c>
      <c r="C59" s="48" t="s">
        <v>76</v>
      </c>
      <c r="D59" s="49" t="s">
        <v>77</v>
      </c>
      <c r="E59" s="49" t="s">
        <v>78</v>
      </c>
      <c r="F59" s="50" t="s">
        <v>79</v>
      </c>
      <c r="G59" s="207" t="s">
        <v>80</v>
      </c>
      <c r="H59" s="207"/>
      <c r="I59" s="207"/>
      <c r="J59" s="207"/>
      <c r="K59" s="51"/>
      <c r="L59" s="47" t="s">
        <v>75</v>
      </c>
      <c r="M59" s="48" t="s">
        <v>76</v>
      </c>
      <c r="N59" s="49" t="s">
        <v>77</v>
      </c>
      <c r="O59" s="49" t="s">
        <v>78</v>
      </c>
      <c r="P59" s="50" t="s">
        <v>79</v>
      </c>
      <c r="Q59" s="207" t="s">
        <v>81</v>
      </c>
      <c r="R59" s="207"/>
      <c r="S59" s="207"/>
      <c r="T59" s="207"/>
      <c r="U59" s="51"/>
      <c r="V59" s="47" t="s">
        <v>75</v>
      </c>
      <c r="W59" s="48" t="s">
        <v>76</v>
      </c>
      <c r="X59" s="49" t="s">
        <v>77</v>
      </c>
      <c r="Y59" s="49" t="s">
        <v>78</v>
      </c>
      <c r="Z59" s="50" t="s">
        <v>79</v>
      </c>
      <c r="AA59" s="207" t="s">
        <v>82</v>
      </c>
      <c r="AB59" s="207"/>
      <c r="AC59" s="207"/>
      <c r="AD59" s="207"/>
      <c r="AE59" s="51"/>
      <c r="AF59" s="47" t="s">
        <v>75</v>
      </c>
      <c r="AG59" s="49" t="s">
        <v>76</v>
      </c>
      <c r="AH59" s="49" t="s">
        <v>77</v>
      </c>
      <c r="AI59" s="49" t="s">
        <v>78</v>
      </c>
      <c r="AJ59" s="49" t="s">
        <v>79</v>
      </c>
      <c r="AK59" s="207" t="s">
        <v>83</v>
      </c>
      <c r="AL59" s="207"/>
      <c r="AM59" s="207"/>
      <c r="AN59" s="207"/>
      <c r="AO59" s="51"/>
      <c r="AP59" s="47" t="s">
        <v>75</v>
      </c>
      <c r="AQ59" s="48" t="s">
        <v>76</v>
      </c>
      <c r="AR59" s="49" t="s">
        <v>77</v>
      </c>
      <c r="AS59" s="49" t="s">
        <v>78</v>
      </c>
      <c r="AT59" s="50" t="s">
        <v>79</v>
      </c>
      <c r="AU59" s="207" t="s">
        <v>84</v>
      </c>
      <c r="AV59" s="207"/>
      <c r="AW59" s="207"/>
      <c r="AX59" s="207"/>
      <c r="AY59" s="51"/>
      <c r="AZ59" s="47" t="s">
        <v>75</v>
      </c>
      <c r="BA59" s="48" t="s">
        <v>76</v>
      </c>
      <c r="BB59" s="49" t="s">
        <v>77</v>
      </c>
      <c r="BC59" s="49" t="s">
        <v>78</v>
      </c>
      <c r="BD59" s="50" t="s">
        <v>79</v>
      </c>
      <c r="BE59" s="207" t="s">
        <v>85</v>
      </c>
      <c r="BF59" s="207"/>
      <c r="BG59" s="207"/>
      <c r="BH59" s="207"/>
    </row>
    <row r="60" spans="1:62" ht="11.25" customHeight="1" x14ac:dyDescent="0.25">
      <c r="A60" s="52" t="s">
        <v>86</v>
      </c>
      <c r="B60" s="53" t="s">
        <v>87</v>
      </c>
      <c r="C60" s="54" t="s">
        <v>88</v>
      </c>
      <c r="D60" s="55" t="s">
        <v>88</v>
      </c>
      <c r="E60" s="55" t="s">
        <v>88</v>
      </c>
      <c r="F60" s="56" t="s">
        <v>88</v>
      </c>
      <c r="G60" s="57">
        <v>20</v>
      </c>
      <c r="H60" s="57">
        <v>30</v>
      </c>
      <c r="I60" s="57">
        <v>40</v>
      </c>
      <c r="J60" s="57">
        <v>70</v>
      </c>
      <c r="K60" s="58"/>
      <c r="L60" s="53" t="s">
        <v>87</v>
      </c>
      <c r="M60" s="54" t="s">
        <v>88</v>
      </c>
      <c r="N60" s="55" t="s">
        <v>88</v>
      </c>
      <c r="O60" s="55" t="s">
        <v>88</v>
      </c>
      <c r="P60" s="56" t="s">
        <v>88</v>
      </c>
      <c r="Q60" s="57">
        <v>20</v>
      </c>
      <c r="R60" s="57">
        <v>30</v>
      </c>
      <c r="S60" s="57">
        <v>40</v>
      </c>
      <c r="T60" s="57">
        <v>70</v>
      </c>
      <c r="U60" s="58"/>
      <c r="V60" s="53" t="s">
        <v>87</v>
      </c>
      <c r="W60" s="54" t="s">
        <v>88</v>
      </c>
      <c r="X60" s="55" t="s">
        <v>88</v>
      </c>
      <c r="Y60" s="55" t="s">
        <v>88</v>
      </c>
      <c r="Z60" s="56" t="s">
        <v>88</v>
      </c>
      <c r="AA60" s="57">
        <v>20</v>
      </c>
      <c r="AB60" s="57">
        <v>30</v>
      </c>
      <c r="AC60" s="57">
        <v>40</v>
      </c>
      <c r="AD60" s="57">
        <v>70</v>
      </c>
      <c r="AE60" s="58"/>
      <c r="AF60" s="53" t="s">
        <v>87</v>
      </c>
      <c r="AG60" s="55" t="s">
        <v>88</v>
      </c>
      <c r="AH60" s="55" t="s">
        <v>88</v>
      </c>
      <c r="AI60" s="55" t="s">
        <v>88</v>
      </c>
      <c r="AJ60" s="55" t="s">
        <v>88</v>
      </c>
      <c r="AK60" s="57">
        <v>20</v>
      </c>
      <c r="AL60" s="57">
        <v>30</v>
      </c>
      <c r="AM60" s="57">
        <v>40</v>
      </c>
      <c r="AN60" s="57">
        <v>70</v>
      </c>
      <c r="AO60" s="58"/>
      <c r="AP60" s="53" t="s">
        <v>87</v>
      </c>
      <c r="AQ60" s="54" t="s">
        <v>88</v>
      </c>
      <c r="AR60" s="55" t="s">
        <v>88</v>
      </c>
      <c r="AS60" s="55" t="s">
        <v>88</v>
      </c>
      <c r="AT60" s="56" t="s">
        <v>88</v>
      </c>
      <c r="AU60" s="57">
        <v>20</v>
      </c>
      <c r="AV60" s="57">
        <v>30</v>
      </c>
      <c r="AW60" s="57">
        <v>40</v>
      </c>
      <c r="AX60" s="57">
        <v>70</v>
      </c>
      <c r="AY60" s="58"/>
      <c r="AZ60" s="53" t="s">
        <v>87</v>
      </c>
      <c r="BA60" s="54" t="s">
        <v>88</v>
      </c>
      <c r="BB60" s="55" t="s">
        <v>88</v>
      </c>
      <c r="BC60" s="55" t="s">
        <v>88</v>
      </c>
      <c r="BD60" s="56" t="s">
        <v>88</v>
      </c>
      <c r="BE60" s="57">
        <v>20</v>
      </c>
      <c r="BF60" s="57">
        <v>30</v>
      </c>
      <c r="BG60" s="57">
        <v>40</v>
      </c>
      <c r="BH60" s="57">
        <v>70</v>
      </c>
    </row>
    <row r="61" spans="1:62" ht="11.25" customHeight="1" x14ac:dyDescent="0.25">
      <c r="A61" s="59"/>
      <c r="B61" s="60" t="s">
        <v>89</v>
      </c>
      <c r="C61" s="61" t="s">
        <v>90</v>
      </c>
      <c r="D61" s="62" t="s">
        <v>90</v>
      </c>
      <c r="E61" s="62" t="s">
        <v>90</v>
      </c>
      <c r="F61" s="63" t="s">
        <v>90</v>
      </c>
      <c r="G61" s="64" t="s">
        <v>91</v>
      </c>
      <c r="H61" s="64" t="s">
        <v>91</v>
      </c>
      <c r="I61" s="64" t="s">
        <v>91</v>
      </c>
      <c r="J61" s="64" t="s">
        <v>91</v>
      </c>
      <c r="K61" s="58"/>
      <c r="L61" s="60" t="s">
        <v>89</v>
      </c>
      <c r="M61" s="61" t="s">
        <v>90</v>
      </c>
      <c r="N61" s="62" t="s">
        <v>90</v>
      </c>
      <c r="O61" s="62" t="s">
        <v>90</v>
      </c>
      <c r="P61" s="63" t="s">
        <v>90</v>
      </c>
      <c r="Q61" s="64" t="s">
        <v>91</v>
      </c>
      <c r="R61" s="64" t="s">
        <v>91</v>
      </c>
      <c r="S61" s="64" t="s">
        <v>91</v>
      </c>
      <c r="T61" s="64" t="s">
        <v>91</v>
      </c>
      <c r="U61" s="58"/>
      <c r="V61" s="60" t="s">
        <v>89</v>
      </c>
      <c r="W61" s="61" t="s">
        <v>90</v>
      </c>
      <c r="X61" s="62" t="s">
        <v>90</v>
      </c>
      <c r="Y61" s="62" t="s">
        <v>90</v>
      </c>
      <c r="Z61" s="63" t="s">
        <v>90</v>
      </c>
      <c r="AA61" s="64" t="s">
        <v>91</v>
      </c>
      <c r="AB61" s="64" t="s">
        <v>91</v>
      </c>
      <c r="AC61" s="64" t="s">
        <v>91</v>
      </c>
      <c r="AD61" s="64" t="s">
        <v>91</v>
      </c>
      <c r="AE61" s="58"/>
      <c r="AF61" s="60" t="s">
        <v>89</v>
      </c>
      <c r="AG61" s="55" t="s">
        <v>90</v>
      </c>
      <c r="AH61" s="55" t="s">
        <v>90</v>
      </c>
      <c r="AI61" s="55" t="s">
        <v>90</v>
      </c>
      <c r="AJ61" s="55" t="s">
        <v>90</v>
      </c>
      <c r="AK61" s="64" t="s">
        <v>91</v>
      </c>
      <c r="AL61" s="64" t="s">
        <v>91</v>
      </c>
      <c r="AM61" s="64" t="s">
        <v>91</v>
      </c>
      <c r="AN61" s="64" t="s">
        <v>91</v>
      </c>
      <c r="AO61" s="58"/>
      <c r="AP61" s="60" t="s">
        <v>89</v>
      </c>
      <c r="AQ61" s="61" t="s">
        <v>90</v>
      </c>
      <c r="AR61" s="62" t="s">
        <v>90</v>
      </c>
      <c r="AS61" s="62" t="s">
        <v>90</v>
      </c>
      <c r="AT61" s="63" t="s">
        <v>90</v>
      </c>
      <c r="AU61" s="64" t="s">
        <v>91</v>
      </c>
      <c r="AV61" s="64" t="s">
        <v>91</v>
      </c>
      <c r="AW61" s="64" t="s">
        <v>91</v>
      </c>
      <c r="AX61" s="64" t="s">
        <v>91</v>
      </c>
      <c r="AY61" s="58"/>
      <c r="AZ61" s="60" t="s">
        <v>89</v>
      </c>
      <c r="BA61" s="61" t="s">
        <v>90</v>
      </c>
      <c r="BB61" s="62" t="s">
        <v>90</v>
      </c>
      <c r="BC61" s="62" t="s">
        <v>90</v>
      </c>
      <c r="BD61" s="63" t="s">
        <v>90</v>
      </c>
      <c r="BE61" s="64" t="s">
        <v>91</v>
      </c>
      <c r="BF61" s="64" t="s">
        <v>91</v>
      </c>
      <c r="BG61" s="64" t="s">
        <v>91</v>
      </c>
      <c r="BH61" s="64" t="s">
        <v>91</v>
      </c>
    </row>
    <row r="62" spans="1:62" x14ac:dyDescent="0.25">
      <c r="A62" s="65" t="s">
        <v>92</v>
      </c>
      <c r="B62" s="66">
        <v>2604</v>
      </c>
      <c r="C62" s="67">
        <v>2.8400000000000002E-2</v>
      </c>
      <c r="D62" s="67">
        <v>2.75E-2</v>
      </c>
      <c r="E62" s="67">
        <v>2.63E-2</v>
      </c>
      <c r="F62" s="67">
        <v>2.3099999999999999E-2</v>
      </c>
      <c r="G62" s="120">
        <f t="shared" ref="G62:G71" si="96">(B62*C62)</f>
        <v>73.953600000000009</v>
      </c>
      <c r="H62" s="120">
        <f t="shared" ref="H62:H71" si="97">(B62*D62)</f>
        <v>71.61</v>
      </c>
      <c r="I62" s="120">
        <f t="shared" ref="I62:I71" si="98">(B62*E62)</f>
        <v>68.485200000000006</v>
      </c>
      <c r="J62" s="120">
        <f t="shared" ref="J62:J71" si="99">(B62*F62)</f>
        <v>60.1524</v>
      </c>
      <c r="K62" s="68"/>
      <c r="L62" s="66">
        <v>2448</v>
      </c>
      <c r="M62" s="67">
        <v>2.6700000000000002E-2</v>
      </c>
      <c r="N62" s="67">
        <v>2.58E-2</v>
      </c>
      <c r="O62" s="67">
        <v>2.47E-2</v>
      </c>
      <c r="P62" s="67">
        <v>2.1700000000000001E-2</v>
      </c>
      <c r="Q62" s="120">
        <f t="shared" ref="Q62:Q71" si="100">(L62*M62)</f>
        <v>65.36160000000001</v>
      </c>
      <c r="R62" s="120">
        <f t="shared" ref="R62:R71" si="101">(L62*N62)</f>
        <v>63.1584</v>
      </c>
      <c r="S62" s="120">
        <f t="shared" ref="S62:S71" si="102">(L62*O62)</f>
        <v>60.465600000000002</v>
      </c>
      <c r="T62" s="120">
        <f t="shared" ref="T62:T71" si="103">(L62*P62)</f>
        <v>53.121600000000001</v>
      </c>
      <c r="U62" s="68"/>
      <c r="V62" s="66">
        <v>2268</v>
      </c>
      <c r="W62" s="67"/>
      <c r="X62" s="67"/>
      <c r="Y62" s="67"/>
      <c r="Z62" s="67"/>
      <c r="AA62" s="120">
        <f t="shared" ref="AA62:AA71" si="104">(V62*W62)</f>
        <v>0</v>
      </c>
      <c r="AB62" s="120">
        <f t="shared" ref="AB62:AB71" si="105">(V62*X62)</f>
        <v>0</v>
      </c>
      <c r="AC62" s="120">
        <f t="shared" ref="AC62:AC71" si="106">(V62*Y62)</f>
        <v>0</v>
      </c>
      <c r="AD62" s="120">
        <f t="shared" ref="AD62:AD71" si="107">(V62*Z62)</f>
        <v>0</v>
      </c>
      <c r="AE62" s="97"/>
      <c r="AF62" s="66">
        <v>2220</v>
      </c>
      <c r="AG62" s="69"/>
      <c r="AH62" s="70"/>
      <c r="AI62" s="70"/>
      <c r="AJ62" s="71"/>
      <c r="AK62" s="120">
        <f t="shared" ref="AK62:AK71" si="108">(AF62*AG62)</f>
        <v>0</v>
      </c>
      <c r="AL62" s="120">
        <f t="shared" ref="AL62:AL71" si="109">(AF62*AH62)</f>
        <v>0</v>
      </c>
      <c r="AM62" s="120">
        <f t="shared" ref="AM62:AM71" si="110">(AF62*AI62)</f>
        <v>0</v>
      </c>
      <c r="AN62" s="120">
        <f t="shared" ref="AN62:AN71" si="111">(AF62*AJ62)</f>
        <v>0</v>
      </c>
      <c r="AO62" s="97"/>
      <c r="AP62" s="66">
        <v>2124</v>
      </c>
      <c r="AQ62" s="69"/>
      <c r="AR62" s="70"/>
      <c r="AS62" s="70"/>
      <c r="AT62" s="71"/>
      <c r="AU62" s="121">
        <f t="shared" ref="AU62:AU71" si="112">(AP62*AQ62)</f>
        <v>0</v>
      </c>
      <c r="AV62" s="121">
        <f t="shared" ref="AV62:AV71" si="113">(AP62*AR62)</f>
        <v>0</v>
      </c>
      <c r="AW62" s="121">
        <f t="shared" ref="AW62:AW71" si="114">(AP62*AS62)</f>
        <v>0</v>
      </c>
      <c r="AX62" s="121">
        <f t="shared" ref="AX62:AX71" si="115">(AP62*AT62)</f>
        <v>0</v>
      </c>
      <c r="AY62" s="97"/>
      <c r="AZ62" s="66">
        <v>1944</v>
      </c>
      <c r="BA62" s="69"/>
      <c r="BB62" s="70"/>
      <c r="BC62" s="70"/>
      <c r="BD62" s="71"/>
      <c r="BE62" s="121">
        <f t="shared" ref="BE62:BE71" si="116">(AZ62*BA62)</f>
        <v>0</v>
      </c>
      <c r="BF62" s="121">
        <f t="shared" ref="BF62:BF71" si="117">(AZ62*BB62)</f>
        <v>0</v>
      </c>
      <c r="BG62" s="121">
        <f t="shared" ref="BG62:BG71" si="118">(AZ62*BC62)</f>
        <v>0</v>
      </c>
      <c r="BH62" s="121">
        <f t="shared" ref="BH62:BH71" si="119">(AZ62*BD62)</f>
        <v>0</v>
      </c>
    </row>
    <row r="63" spans="1:62" s="1" customFormat="1" x14ac:dyDescent="0.25">
      <c r="A63" s="74" t="s">
        <v>93</v>
      </c>
      <c r="B63" s="75">
        <v>2604</v>
      </c>
      <c r="C63" s="76">
        <v>3.7900000000000003E-2</v>
      </c>
      <c r="D63" s="76">
        <v>3.6700000000000003E-2</v>
      </c>
      <c r="E63" s="76">
        <v>3.5099999999999999E-2</v>
      </c>
      <c r="F63" s="76">
        <v>3.0800000000000001E-2</v>
      </c>
      <c r="G63" s="75">
        <f t="shared" si="96"/>
        <v>98.691600000000008</v>
      </c>
      <c r="H63" s="75">
        <f t="shared" si="97"/>
        <v>95.566800000000015</v>
      </c>
      <c r="I63" s="75">
        <f t="shared" si="98"/>
        <v>91.400400000000005</v>
      </c>
      <c r="J63" s="75">
        <f t="shared" si="99"/>
        <v>80.20320000000001</v>
      </c>
      <c r="K63" s="78"/>
      <c r="L63" s="75">
        <v>2448</v>
      </c>
      <c r="M63" s="76">
        <v>3.5499999999999997E-2</v>
      </c>
      <c r="N63" s="76">
        <v>3.44E-2</v>
      </c>
      <c r="O63" s="76">
        <v>3.2899999999999999E-2</v>
      </c>
      <c r="P63" s="76">
        <v>2.8899999999999999E-2</v>
      </c>
      <c r="Q63" s="75">
        <f t="shared" si="100"/>
        <v>86.903999999999996</v>
      </c>
      <c r="R63" s="75">
        <f t="shared" si="101"/>
        <v>84.211200000000005</v>
      </c>
      <c r="S63" s="75">
        <f t="shared" si="102"/>
        <v>80.539199999999994</v>
      </c>
      <c r="T63" s="75">
        <f t="shared" si="103"/>
        <v>70.747199999999992</v>
      </c>
      <c r="U63" s="78"/>
      <c r="V63" s="75">
        <v>2268</v>
      </c>
      <c r="W63" s="76">
        <v>3.3099999999999997E-2</v>
      </c>
      <c r="X63" s="76">
        <v>3.2099999999999997E-2</v>
      </c>
      <c r="Y63" s="76">
        <v>3.0700000000000002E-2</v>
      </c>
      <c r="Z63" s="76">
        <v>2.7E-2</v>
      </c>
      <c r="AA63" s="75">
        <f t="shared" si="104"/>
        <v>75.070799999999991</v>
      </c>
      <c r="AB63" s="75">
        <f t="shared" si="105"/>
        <v>72.802799999999991</v>
      </c>
      <c r="AC63" s="75">
        <f t="shared" si="106"/>
        <v>69.627600000000001</v>
      </c>
      <c r="AD63" s="75">
        <f t="shared" si="107"/>
        <v>61.235999999999997</v>
      </c>
      <c r="AE63" s="101"/>
      <c r="AF63" s="75">
        <v>2220</v>
      </c>
      <c r="AG63" s="80"/>
      <c r="AH63" s="76"/>
      <c r="AI63" s="76"/>
      <c r="AJ63" s="81"/>
      <c r="AK63" s="75">
        <f t="shared" si="108"/>
        <v>0</v>
      </c>
      <c r="AL63" s="75">
        <f t="shared" si="109"/>
        <v>0</v>
      </c>
      <c r="AM63" s="75">
        <f t="shared" si="110"/>
        <v>0</v>
      </c>
      <c r="AN63" s="75">
        <f t="shared" si="111"/>
        <v>0</v>
      </c>
      <c r="AO63" s="101"/>
      <c r="AP63" s="75">
        <v>2124</v>
      </c>
      <c r="AQ63" s="80"/>
      <c r="AR63" s="76"/>
      <c r="AS63" s="76"/>
      <c r="AT63" s="81"/>
      <c r="AU63" s="82">
        <f t="shared" si="112"/>
        <v>0</v>
      </c>
      <c r="AV63" s="82">
        <f t="shared" si="113"/>
        <v>0</v>
      </c>
      <c r="AW63" s="82">
        <f t="shared" si="114"/>
        <v>0</v>
      </c>
      <c r="AX63" s="82">
        <f t="shared" si="115"/>
        <v>0</v>
      </c>
      <c r="AY63" s="101"/>
      <c r="AZ63" s="75">
        <v>1944</v>
      </c>
      <c r="BA63" s="80"/>
      <c r="BB63" s="76"/>
      <c r="BC63" s="76"/>
      <c r="BD63" s="81"/>
      <c r="BE63" s="82">
        <f t="shared" si="116"/>
        <v>0</v>
      </c>
      <c r="BF63" s="82">
        <f t="shared" si="117"/>
        <v>0</v>
      </c>
      <c r="BG63" s="82">
        <f t="shared" si="118"/>
        <v>0</v>
      </c>
      <c r="BH63" s="82">
        <f t="shared" si="119"/>
        <v>0</v>
      </c>
      <c r="BJ63"/>
    </row>
    <row r="64" spans="1:62" x14ac:dyDescent="0.25">
      <c r="A64" s="65" t="s">
        <v>94</v>
      </c>
      <c r="B64" s="66">
        <v>2604</v>
      </c>
      <c r="C64" s="67"/>
      <c r="D64" s="67"/>
      <c r="E64" s="67"/>
      <c r="F64" s="67"/>
      <c r="G64" s="83">
        <f t="shared" si="96"/>
        <v>0</v>
      </c>
      <c r="H64" s="83">
        <f t="shared" si="97"/>
        <v>0</v>
      </c>
      <c r="I64" s="83">
        <f t="shared" si="98"/>
        <v>0</v>
      </c>
      <c r="J64" s="83">
        <f t="shared" si="99"/>
        <v>0</v>
      </c>
      <c r="K64" s="68"/>
      <c r="L64" s="66">
        <v>2448</v>
      </c>
      <c r="M64" s="67">
        <v>5.33E-2</v>
      </c>
      <c r="N64" s="67">
        <v>5.16E-2</v>
      </c>
      <c r="O64" s="67">
        <v>4.9299999999999997E-2</v>
      </c>
      <c r="P64" s="67">
        <v>4.3400000000000001E-2</v>
      </c>
      <c r="Q64" s="83">
        <f t="shared" si="100"/>
        <v>130.47839999999999</v>
      </c>
      <c r="R64" s="83">
        <f t="shared" si="101"/>
        <v>126.3168</v>
      </c>
      <c r="S64" s="83">
        <f t="shared" si="102"/>
        <v>120.68639999999999</v>
      </c>
      <c r="T64" s="83">
        <f t="shared" si="103"/>
        <v>106.2432</v>
      </c>
      <c r="U64" s="68"/>
      <c r="V64" s="66">
        <v>2268</v>
      </c>
      <c r="W64" s="45">
        <v>4.9700000000000001E-2</v>
      </c>
      <c r="X64" s="45">
        <v>4.82E-2</v>
      </c>
      <c r="Y64" s="45">
        <v>4.5999999999999999E-2</v>
      </c>
      <c r="Z64" s="45">
        <v>4.0500000000000001E-2</v>
      </c>
      <c r="AA64" s="83">
        <f t="shared" si="104"/>
        <v>112.7196</v>
      </c>
      <c r="AB64" s="83">
        <f t="shared" si="105"/>
        <v>109.3176</v>
      </c>
      <c r="AC64" s="83">
        <f t="shared" si="106"/>
        <v>104.328</v>
      </c>
      <c r="AD64" s="83">
        <f t="shared" si="107"/>
        <v>91.853999999999999</v>
      </c>
      <c r="AE64" s="97"/>
      <c r="AF64" s="66">
        <v>2220</v>
      </c>
      <c r="AG64" s="104">
        <v>4.7899999999999998E-2</v>
      </c>
      <c r="AH64" s="84">
        <v>4.65E-2</v>
      </c>
      <c r="AI64" s="84">
        <v>4.4400000000000002E-2</v>
      </c>
      <c r="AJ64" s="105">
        <v>3.9100000000000003E-2</v>
      </c>
      <c r="AK64" s="83">
        <f t="shared" si="108"/>
        <v>106.33799999999999</v>
      </c>
      <c r="AL64" s="83">
        <f t="shared" si="109"/>
        <v>103.23</v>
      </c>
      <c r="AM64" s="83">
        <f t="shared" si="110"/>
        <v>98.567999999999998</v>
      </c>
      <c r="AN64" s="83">
        <f t="shared" si="111"/>
        <v>86.802000000000007</v>
      </c>
      <c r="AO64" s="97"/>
      <c r="AP64" s="66">
        <v>2124</v>
      </c>
      <c r="AQ64" s="106">
        <v>4.6100000000000002E-2</v>
      </c>
      <c r="AR64" s="45">
        <v>4.48E-2</v>
      </c>
      <c r="AS64" s="45">
        <v>4.2799999999999998E-2</v>
      </c>
      <c r="AT64" s="107">
        <v>3.7699999999999997E-2</v>
      </c>
      <c r="AU64" s="85">
        <f t="shared" si="112"/>
        <v>97.91640000000001</v>
      </c>
      <c r="AV64" s="85">
        <f t="shared" si="113"/>
        <v>95.155199999999994</v>
      </c>
      <c r="AW64" s="85">
        <f t="shared" si="114"/>
        <v>90.907199999999989</v>
      </c>
      <c r="AX64" s="85">
        <f t="shared" si="115"/>
        <v>80.074799999999996</v>
      </c>
      <c r="AY64" s="97"/>
      <c r="AZ64" s="66">
        <v>1944</v>
      </c>
      <c r="BA64" s="106">
        <v>4.2599999999999999E-2</v>
      </c>
      <c r="BB64" s="45">
        <v>4.1300000000000003E-2</v>
      </c>
      <c r="BC64" s="45">
        <v>3.95E-2</v>
      </c>
      <c r="BD64" s="107">
        <v>3.4799999999999998E-2</v>
      </c>
      <c r="BE64" s="85">
        <f t="shared" si="116"/>
        <v>82.814399999999992</v>
      </c>
      <c r="BF64" s="85">
        <f t="shared" si="117"/>
        <v>80.287200000000013</v>
      </c>
      <c r="BG64" s="85">
        <f t="shared" si="118"/>
        <v>76.787999999999997</v>
      </c>
      <c r="BH64" s="85">
        <f t="shared" si="119"/>
        <v>67.651199999999989</v>
      </c>
    </row>
    <row r="65" spans="1:60" x14ac:dyDescent="0.25">
      <c r="A65" s="86" t="s">
        <v>95</v>
      </c>
      <c r="B65" s="57">
        <v>2604</v>
      </c>
      <c r="C65" s="87"/>
      <c r="D65" s="87"/>
      <c r="E65" s="87"/>
      <c r="F65" s="87"/>
      <c r="G65" s="57">
        <f t="shared" si="96"/>
        <v>0</v>
      </c>
      <c r="H65" s="57">
        <f t="shared" si="97"/>
        <v>0</v>
      </c>
      <c r="I65" s="57">
        <f t="shared" si="98"/>
        <v>0</v>
      </c>
      <c r="J65" s="57">
        <f t="shared" si="99"/>
        <v>0</v>
      </c>
      <c r="K65" s="88"/>
      <c r="L65" s="57">
        <v>2448</v>
      </c>
      <c r="M65" s="87"/>
      <c r="N65" s="87"/>
      <c r="O65" s="87"/>
      <c r="P65" s="87"/>
      <c r="Q65" s="57">
        <f t="shared" si="100"/>
        <v>0</v>
      </c>
      <c r="R65" s="57">
        <f t="shared" si="101"/>
        <v>0</v>
      </c>
      <c r="S65" s="57">
        <f t="shared" si="102"/>
        <v>0</v>
      </c>
      <c r="T65" s="57">
        <f t="shared" si="103"/>
        <v>0</v>
      </c>
      <c r="U65" s="88"/>
      <c r="V65" s="57">
        <v>2268</v>
      </c>
      <c r="W65" s="45">
        <v>5.5199999999999999E-2</v>
      </c>
      <c r="X65" s="45">
        <v>5.3600000000000002E-2</v>
      </c>
      <c r="Y65" s="45">
        <v>5.11E-2</v>
      </c>
      <c r="Z65" s="45">
        <v>4.4999999999999998E-2</v>
      </c>
      <c r="AA65" s="57">
        <f t="shared" si="104"/>
        <v>125.1936</v>
      </c>
      <c r="AB65" s="57">
        <f t="shared" si="105"/>
        <v>121.56480000000001</v>
      </c>
      <c r="AC65" s="57">
        <f t="shared" si="106"/>
        <v>115.8948</v>
      </c>
      <c r="AD65" s="57">
        <f t="shared" si="107"/>
        <v>102.06</v>
      </c>
      <c r="AE65" s="97"/>
      <c r="AF65" s="57">
        <v>2220</v>
      </c>
      <c r="AG65" s="104">
        <v>5.3199999999999997E-2</v>
      </c>
      <c r="AH65" s="84">
        <v>5.1700000000000003E-2</v>
      </c>
      <c r="AI65" s="84">
        <v>4.9299999999999997E-2</v>
      </c>
      <c r="AJ65" s="105">
        <v>4.3400000000000001E-2</v>
      </c>
      <c r="AK65" s="57">
        <f t="shared" si="108"/>
        <v>118.104</v>
      </c>
      <c r="AL65" s="57">
        <f t="shared" si="109"/>
        <v>114.774</v>
      </c>
      <c r="AM65" s="57">
        <f t="shared" si="110"/>
        <v>109.446</v>
      </c>
      <c r="AN65" s="57">
        <f t="shared" si="111"/>
        <v>96.347999999999999</v>
      </c>
      <c r="AO65" s="97"/>
      <c r="AP65" s="57">
        <v>2124</v>
      </c>
      <c r="AQ65" s="106">
        <v>5.1200000000000002E-2</v>
      </c>
      <c r="AR65" s="45">
        <v>4.9799999999999997E-2</v>
      </c>
      <c r="AS65" s="45">
        <v>4.7500000000000001E-2</v>
      </c>
      <c r="AT65" s="107">
        <v>4.1799999999999997E-2</v>
      </c>
      <c r="AU65" s="89">
        <f t="shared" si="112"/>
        <v>108.7488</v>
      </c>
      <c r="AV65" s="89">
        <f t="shared" si="113"/>
        <v>105.7752</v>
      </c>
      <c r="AW65" s="89">
        <f t="shared" si="114"/>
        <v>100.89</v>
      </c>
      <c r="AX65" s="89">
        <f t="shared" si="115"/>
        <v>88.783199999999994</v>
      </c>
      <c r="AY65" s="97"/>
      <c r="AZ65" s="57">
        <v>1944</v>
      </c>
      <c r="BA65" s="106">
        <v>4.7300000000000002E-2</v>
      </c>
      <c r="BB65" s="45">
        <v>4.5999999999999999E-2</v>
      </c>
      <c r="BC65" s="45">
        <v>4.3799999999999999E-2</v>
      </c>
      <c r="BD65" s="107">
        <v>3.8600000000000002E-2</v>
      </c>
      <c r="BE65" s="89">
        <f t="shared" si="116"/>
        <v>91.9512</v>
      </c>
      <c r="BF65" s="89">
        <f t="shared" si="117"/>
        <v>89.423999999999992</v>
      </c>
      <c r="BG65" s="89">
        <f t="shared" si="118"/>
        <v>85.147199999999998</v>
      </c>
      <c r="BH65" s="89">
        <f t="shared" si="119"/>
        <v>75.03840000000001</v>
      </c>
    </row>
    <row r="66" spans="1:60" x14ac:dyDescent="0.25">
      <c r="A66" s="65" t="s">
        <v>96</v>
      </c>
      <c r="B66" s="66">
        <v>2604</v>
      </c>
      <c r="C66" s="67"/>
      <c r="D66" s="67"/>
      <c r="E66" s="67"/>
      <c r="F66" s="67"/>
      <c r="G66" s="66">
        <f t="shared" si="96"/>
        <v>0</v>
      </c>
      <c r="H66" s="66">
        <f t="shared" si="97"/>
        <v>0</v>
      </c>
      <c r="I66" s="66">
        <f t="shared" si="98"/>
        <v>0</v>
      </c>
      <c r="J66" s="66">
        <f t="shared" si="99"/>
        <v>0</v>
      </c>
      <c r="K66" s="68"/>
      <c r="L66" s="66">
        <v>2448</v>
      </c>
      <c r="M66" s="67"/>
      <c r="N66" s="67"/>
      <c r="O66" s="67"/>
      <c r="P66" s="67"/>
      <c r="Q66" s="66">
        <f t="shared" si="100"/>
        <v>0</v>
      </c>
      <c r="R66" s="66">
        <f t="shared" si="101"/>
        <v>0</v>
      </c>
      <c r="S66" s="66">
        <f t="shared" si="102"/>
        <v>0</v>
      </c>
      <c r="T66" s="66">
        <f t="shared" si="103"/>
        <v>0</v>
      </c>
      <c r="U66" s="68"/>
      <c r="V66" s="66">
        <v>2268</v>
      </c>
      <c r="W66" s="45">
        <v>5.8400000000000001E-2</v>
      </c>
      <c r="X66" s="45">
        <v>5.67E-2</v>
      </c>
      <c r="Y66" s="45">
        <v>5.4100000000000002E-2</v>
      </c>
      <c r="Z66" s="45">
        <v>4.4699999999999997E-2</v>
      </c>
      <c r="AA66" s="66">
        <f t="shared" si="104"/>
        <v>132.4512</v>
      </c>
      <c r="AB66" s="66">
        <f t="shared" si="105"/>
        <v>128.59559999999999</v>
      </c>
      <c r="AC66" s="66">
        <f t="shared" si="106"/>
        <v>122.69880000000001</v>
      </c>
      <c r="AD66" s="66">
        <f t="shared" si="107"/>
        <v>101.3796</v>
      </c>
      <c r="AE66" s="97"/>
      <c r="AF66" s="66">
        <v>2220</v>
      </c>
      <c r="AG66" s="104">
        <v>5.6300000000000003E-2</v>
      </c>
      <c r="AH66" s="84">
        <v>5.4699999999999999E-2</v>
      </c>
      <c r="AI66" s="84">
        <v>5.2200000000000003E-2</v>
      </c>
      <c r="AJ66" s="105">
        <v>4.5999999999999999E-2</v>
      </c>
      <c r="AK66" s="66">
        <f t="shared" si="108"/>
        <v>124.986</v>
      </c>
      <c r="AL66" s="66">
        <f t="shared" si="109"/>
        <v>121.434</v>
      </c>
      <c r="AM66" s="66">
        <f t="shared" si="110"/>
        <v>115.884</v>
      </c>
      <c r="AN66" s="66">
        <f t="shared" si="111"/>
        <v>102.12</v>
      </c>
      <c r="AO66" s="97"/>
      <c r="AP66" s="66">
        <v>2124</v>
      </c>
      <c r="AQ66" s="106">
        <v>5.4199999999999998E-2</v>
      </c>
      <c r="AR66" s="45">
        <v>5.2699999999999997E-2</v>
      </c>
      <c r="AS66" s="45">
        <v>5.0299999999999997E-2</v>
      </c>
      <c r="AT66" s="107">
        <v>4.4299999999999999E-2</v>
      </c>
      <c r="AU66" s="72">
        <f t="shared" si="112"/>
        <v>115.1208</v>
      </c>
      <c r="AV66" s="72">
        <f t="shared" si="113"/>
        <v>111.9348</v>
      </c>
      <c r="AW66" s="72">
        <f t="shared" si="114"/>
        <v>106.8372</v>
      </c>
      <c r="AX66" s="72">
        <f t="shared" si="115"/>
        <v>94.093199999999996</v>
      </c>
      <c r="AY66" s="97"/>
      <c r="AZ66" s="66">
        <v>1944</v>
      </c>
      <c r="BA66" s="106">
        <v>0.05</v>
      </c>
      <c r="BB66" s="45">
        <v>4.8599999999999997E-2</v>
      </c>
      <c r="BC66" s="45">
        <v>4.6399999999999997E-2</v>
      </c>
      <c r="BD66" s="107">
        <v>4.0899999999999999E-2</v>
      </c>
      <c r="BE66" s="72">
        <f t="shared" si="116"/>
        <v>97.2</v>
      </c>
      <c r="BF66" s="72">
        <f t="shared" si="117"/>
        <v>94.478399999999993</v>
      </c>
      <c r="BG66" s="72">
        <f t="shared" si="118"/>
        <v>90.201599999999999</v>
      </c>
      <c r="BH66" s="72">
        <f t="shared" si="119"/>
        <v>79.509599999999992</v>
      </c>
    </row>
    <row r="67" spans="1:60" x14ac:dyDescent="0.25">
      <c r="A67" s="86" t="s">
        <v>97</v>
      </c>
      <c r="B67" s="57">
        <v>2604</v>
      </c>
      <c r="C67" s="87"/>
      <c r="D67" s="87"/>
      <c r="E67" s="87"/>
      <c r="F67" s="87"/>
      <c r="G67" s="57">
        <f t="shared" si="96"/>
        <v>0</v>
      </c>
      <c r="H67" s="57">
        <f t="shared" si="97"/>
        <v>0</v>
      </c>
      <c r="I67" s="57">
        <f t="shared" si="98"/>
        <v>0</v>
      </c>
      <c r="J67" s="57">
        <f t="shared" si="99"/>
        <v>0</v>
      </c>
      <c r="K67" s="88"/>
      <c r="L67" s="57">
        <v>2448</v>
      </c>
      <c r="M67" s="87"/>
      <c r="N67" s="87"/>
      <c r="O67" s="87"/>
      <c r="P67" s="87"/>
      <c r="Q67" s="57">
        <f t="shared" si="100"/>
        <v>0</v>
      </c>
      <c r="R67" s="57">
        <f t="shared" si="101"/>
        <v>0</v>
      </c>
      <c r="S67" s="57">
        <f t="shared" si="102"/>
        <v>0</v>
      </c>
      <c r="T67" s="57">
        <f t="shared" si="103"/>
        <v>0</v>
      </c>
      <c r="U67" s="88"/>
      <c r="V67" s="57">
        <v>2268</v>
      </c>
      <c r="W67" s="45">
        <v>6.2E-2</v>
      </c>
      <c r="X67" s="45">
        <v>6.0299999999999999E-2</v>
      </c>
      <c r="Y67" s="45">
        <v>5.7599999999999998E-2</v>
      </c>
      <c r="Z67" s="45">
        <v>5.0599999999999999E-2</v>
      </c>
      <c r="AA67" s="57">
        <f t="shared" si="104"/>
        <v>140.61599999999999</v>
      </c>
      <c r="AB67" s="57">
        <f t="shared" si="105"/>
        <v>136.7604</v>
      </c>
      <c r="AC67" s="57">
        <f t="shared" si="106"/>
        <v>130.63679999999999</v>
      </c>
      <c r="AD67" s="57">
        <f t="shared" si="107"/>
        <v>114.7608</v>
      </c>
      <c r="AE67" s="97"/>
      <c r="AF67" s="57">
        <v>2220</v>
      </c>
      <c r="AG67" s="104">
        <v>5.9799999999999999E-2</v>
      </c>
      <c r="AH67" s="84">
        <v>5.8099999999999999E-2</v>
      </c>
      <c r="AI67" s="84">
        <v>5.5500000000000001E-2</v>
      </c>
      <c r="AJ67" s="105">
        <v>4.8800000000000003E-2</v>
      </c>
      <c r="AK67" s="57">
        <f t="shared" si="108"/>
        <v>132.756</v>
      </c>
      <c r="AL67" s="57">
        <f t="shared" si="109"/>
        <v>128.982</v>
      </c>
      <c r="AM67" s="57">
        <f t="shared" si="110"/>
        <v>123.21000000000001</v>
      </c>
      <c r="AN67" s="57">
        <f t="shared" si="111"/>
        <v>108.33600000000001</v>
      </c>
      <c r="AO67" s="97"/>
      <c r="AP67" s="57">
        <v>2124</v>
      </c>
      <c r="AQ67" s="106">
        <v>5.7599999999999998E-2</v>
      </c>
      <c r="AR67" s="45">
        <v>5.5899999999999998E-2</v>
      </c>
      <c r="AS67" s="45">
        <v>5.3400000000000003E-2</v>
      </c>
      <c r="AT67" s="107">
        <v>4.7E-2</v>
      </c>
      <c r="AU67" s="89">
        <f t="shared" si="112"/>
        <v>122.3424</v>
      </c>
      <c r="AV67" s="89">
        <f t="shared" si="113"/>
        <v>118.7316</v>
      </c>
      <c r="AW67" s="89">
        <f t="shared" si="114"/>
        <v>113.42160000000001</v>
      </c>
      <c r="AX67" s="89">
        <f t="shared" si="115"/>
        <v>99.828000000000003</v>
      </c>
      <c r="AY67" s="97"/>
      <c r="AZ67" s="57">
        <v>1944</v>
      </c>
      <c r="BA67" s="106">
        <v>5.3199999999999997E-2</v>
      </c>
      <c r="BB67" s="45">
        <v>5.16E-2</v>
      </c>
      <c r="BC67" s="45">
        <v>4.9299999999999997E-2</v>
      </c>
      <c r="BD67" s="107">
        <v>4.3400000000000001E-2</v>
      </c>
      <c r="BE67" s="89">
        <f t="shared" si="116"/>
        <v>103.4208</v>
      </c>
      <c r="BF67" s="89">
        <f t="shared" si="117"/>
        <v>100.3104</v>
      </c>
      <c r="BG67" s="89">
        <f t="shared" si="118"/>
        <v>95.839199999999991</v>
      </c>
      <c r="BH67" s="89">
        <f t="shared" si="119"/>
        <v>84.369600000000005</v>
      </c>
    </row>
    <row r="68" spans="1:60" x14ac:dyDescent="0.25">
      <c r="A68" s="65" t="s">
        <v>98</v>
      </c>
      <c r="B68" s="66">
        <v>2604</v>
      </c>
      <c r="C68" s="67"/>
      <c r="D68" s="67"/>
      <c r="E68" s="67"/>
      <c r="F68" s="67"/>
      <c r="G68" s="66">
        <f t="shared" si="96"/>
        <v>0</v>
      </c>
      <c r="H68" s="66">
        <f t="shared" si="97"/>
        <v>0</v>
      </c>
      <c r="I68" s="66">
        <f t="shared" si="98"/>
        <v>0</v>
      </c>
      <c r="J68" s="66">
        <f t="shared" si="99"/>
        <v>0</v>
      </c>
      <c r="K68" s="68"/>
      <c r="L68" s="66">
        <v>2448</v>
      </c>
      <c r="M68" s="67"/>
      <c r="N68" s="67"/>
      <c r="O68" s="67"/>
      <c r="P68" s="67"/>
      <c r="Q68" s="66">
        <f t="shared" si="100"/>
        <v>0</v>
      </c>
      <c r="R68" s="66">
        <f t="shared" si="101"/>
        <v>0</v>
      </c>
      <c r="S68" s="66">
        <f t="shared" si="102"/>
        <v>0</v>
      </c>
      <c r="T68" s="66">
        <f t="shared" si="103"/>
        <v>0</v>
      </c>
      <c r="U68" s="68"/>
      <c r="V68" s="66">
        <v>2268</v>
      </c>
      <c r="W68" s="45">
        <v>6.6199999999999995E-2</v>
      </c>
      <c r="X68" s="45">
        <v>6.4299999999999996E-2</v>
      </c>
      <c r="Y68" s="45">
        <v>6.1400000000000003E-2</v>
      </c>
      <c r="Z68" s="45">
        <v>5.3999999999999999E-2</v>
      </c>
      <c r="AA68" s="66">
        <f t="shared" si="104"/>
        <v>150.14159999999998</v>
      </c>
      <c r="AB68" s="66">
        <f t="shared" si="105"/>
        <v>145.83239999999998</v>
      </c>
      <c r="AC68" s="66">
        <f t="shared" si="106"/>
        <v>139.2552</v>
      </c>
      <c r="AD68" s="66">
        <f t="shared" si="107"/>
        <v>122.47199999999999</v>
      </c>
      <c r="AE68" s="97"/>
      <c r="AF68" s="66">
        <v>2220</v>
      </c>
      <c r="AG68" s="104">
        <v>6.3799999999999996E-2</v>
      </c>
      <c r="AH68" s="84">
        <v>6.2E-2</v>
      </c>
      <c r="AI68" s="84">
        <v>5.9200000000000003E-2</v>
      </c>
      <c r="AJ68" s="105">
        <v>5.21E-2</v>
      </c>
      <c r="AK68" s="66">
        <f t="shared" si="108"/>
        <v>141.636</v>
      </c>
      <c r="AL68" s="66">
        <f t="shared" si="109"/>
        <v>137.63999999999999</v>
      </c>
      <c r="AM68" s="66">
        <f t="shared" si="110"/>
        <v>131.42400000000001</v>
      </c>
      <c r="AN68" s="66">
        <f t="shared" si="111"/>
        <v>115.66200000000001</v>
      </c>
      <c r="AO68" s="97"/>
      <c r="AP68" s="66">
        <v>2124</v>
      </c>
      <c r="AQ68" s="106">
        <v>6.1400000000000003E-2</v>
      </c>
      <c r="AR68" s="45">
        <v>5.9700000000000003E-2</v>
      </c>
      <c r="AS68" s="45">
        <v>5.7000000000000002E-2</v>
      </c>
      <c r="AT68" s="107">
        <v>5.0200000000000002E-2</v>
      </c>
      <c r="AU68" s="72">
        <f t="shared" si="112"/>
        <v>130.4136</v>
      </c>
      <c r="AV68" s="72">
        <f t="shared" si="113"/>
        <v>126.8028</v>
      </c>
      <c r="AW68" s="72">
        <f t="shared" si="114"/>
        <v>121.068</v>
      </c>
      <c r="AX68" s="72">
        <f t="shared" si="115"/>
        <v>106.62480000000001</v>
      </c>
      <c r="AY68" s="97"/>
      <c r="AZ68" s="66">
        <v>1944</v>
      </c>
      <c r="BA68" s="106">
        <v>5.67E-2</v>
      </c>
      <c r="BB68" s="45">
        <v>5.5100000000000003E-2</v>
      </c>
      <c r="BC68" s="45">
        <v>5.2600000000000001E-2</v>
      </c>
      <c r="BD68" s="107">
        <v>4.6300000000000001E-2</v>
      </c>
      <c r="BE68" s="72">
        <f t="shared" si="116"/>
        <v>110.2248</v>
      </c>
      <c r="BF68" s="72">
        <f t="shared" si="117"/>
        <v>107.1144</v>
      </c>
      <c r="BG68" s="72">
        <f t="shared" si="118"/>
        <v>102.2544</v>
      </c>
      <c r="BH68" s="72">
        <f t="shared" si="119"/>
        <v>90.007199999999997</v>
      </c>
    </row>
    <row r="69" spans="1:60" x14ac:dyDescent="0.25">
      <c r="A69" s="86" t="s">
        <v>99</v>
      </c>
      <c r="B69" s="57">
        <v>2604</v>
      </c>
      <c r="C69" s="87"/>
      <c r="D69" s="87"/>
      <c r="E69" s="87"/>
      <c r="F69" s="87"/>
      <c r="G69" s="57">
        <f t="shared" si="96"/>
        <v>0</v>
      </c>
      <c r="H69" s="57">
        <f t="shared" si="97"/>
        <v>0</v>
      </c>
      <c r="I69" s="57">
        <f t="shared" si="98"/>
        <v>0</v>
      </c>
      <c r="J69" s="57">
        <f t="shared" si="99"/>
        <v>0</v>
      </c>
      <c r="K69" s="88"/>
      <c r="L69" s="57">
        <v>2448</v>
      </c>
      <c r="M69" s="87"/>
      <c r="N69" s="87"/>
      <c r="O69" s="87"/>
      <c r="P69" s="87"/>
      <c r="Q69" s="57">
        <f t="shared" si="100"/>
        <v>0</v>
      </c>
      <c r="R69" s="57">
        <f t="shared" si="101"/>
        <v>0</v>
      </c>
      <c r="S69" s="57">
        <f t="shared" si="102"/>
        <v>0</v>
      </c>
      <c r="T69" s="57">
        <f t="shared" si="103"/>
        <v>0</v>
      </c>
      <c r="U69" s="88"/>
      <c r="V69" s="57">
        <v>2268</v>
      </c>
      <c r="W69" s="45">
        <v>7.0900000000000005E-2</v>
      </c>
      <c r="X69" s="45">
        <v>6.8900000000000003E-2</v>
      </c>
      <c r="Y69" s="45">
        <v>6.5699999999999995E-2</v>
      </c>
      <c r="Z69" s="45">
        <v>6.0400000000000002E-2</v>
      </c>
      <c r="AA69" s="57">
        <f t="shared" si="104"/>
        <v>160.80120000000002</v>
      </c>
      <c r="AB69" s="57">
        <f t="shared" si="105"/>
        <v>156.26519999999999</v>
      </c>
      <c r="AC69" s="57">
        <f t="shared" si="106"/>
        <v>149.0076</v>
      </c>
      <c r="AD69" s="57">
        <f t="shared" si="107"/>
        <v>136.9872</v>
      </c>
      <c r="AE69" s="97"/>
      <c r="AF69" s="57">
        <v>2220</v>
      </c>
      <c r="AG69" s="104">
        <v>6.8400000000000002E-2</v>
      </c>
      <c r="AH69" s="84">
        <v>6.6400000000000001E-2</v>
      </c>
      <c r="AI69" s="84">
        <v>6.3399999999999998E-2</v>
      </c>
      <c r="AJ69" s="105">
        <v>5.8200000000000002E-2</v>
      </c>
      <c r="AK69" s="57">
        <f t="shared" si="108"/>
        <v>151.84800000000001</v>
      </c>
      <c r="AL69" s="57">
        <f t="shared" si="109"/>
        <v>147.40800000000002</v>
      </c>
      <c r="AM69" s="57">
        <f t="shared" si="110"/>
        <v>140.74799999999999</v>
      </c>
      <c r="AN69" s="57">
        <f t="shared" si="111"/>
        <v>129.20400000000001</v>
      </c>
      <c r="AO69" s="97"/>
      <c r="AP69" s="57">
        <v>2124</v>
      </c>
      <c r="AQ69" s="106">
        <v>6.59E-2</v>
      </c>
      <c r="AR69" s="45">
        <v>6.3899999999999998E-2</v>
      </c>
      <c r="AS69" s="45">
        <v>6.1100000000000002E-2</v>
      </c>
      <c r="AT69" s="107">
        <v>5.6000000000000001E-2</v>
      </c>
      <c r="AU69" s="89">
        <f t="shared" si="112"/>
        <v>139.9716</v>
      </c>
      <c r="AV69" s="89">
        <f t="shared" si="113"/>
        <v>135.7236</v>
      </c>
      <c r="AW69" s="89">
        <f t="shared" si="114"/>
        <v>129.7764</v>
      </c>
      <c r="AX69" s="89">
        <f t="shared" si="115"/>
        <v>118.944</v>
      </c>
      <c r="AY69" s="97"/>
      <c r="AZ69" s="57">
        <v>1944</v>
      </c>
      <c r="BA69" s="106">
        <v>6.08E-2</v>
      </c>
      <c r="BB69" s="45">
        <v>5.8999999999999997E-2</v>
      </c>
      <c r="BC69" s="45">
        <v>5.6399999999999999E-2</v>
      </c>
      <c r="BD69" s="107">
        <v>5.1700000000000003E-2</v>
      </c>
      <c r="BE69" s="89">
        <f t="shared" si="116"/>
        <v>118.1952</v>
      </c>
      <c r="BF69" s="89">
        <f t="shared" si="117"/>
        <v>114.696</v>
      </c>
      <c r="BG69" s="89">
        <f t="shared" si="118"/>
        <v>109.6416</v>
      </c>
      <c r="BH69" s="89">
        <f t="shared" si="119"/>
        <v>100.5048</v>
      </c>
    </row>
    <row r="70" spans="1:60" x14ac:dyDescent="0.25">
      <c r="A70" s="65" t="s">
        <v>100</v>
      </c>
      <c r="B70" s="66">
        <v>2604</v>
      </c>
      <c r="C70" s="67"/>
      <c r="D70" s="67"/>
      <c r="E70" s="67"/>
      <c r="F70" s="67"/>
      <c r="G70" s="66">
        <f t="shared" si="96"/>
        <v>0</v>
      </c>
      <c r="H70" s="66">
        <f t="shared" si="97"/>
        <v>0</v>
      </c>
      <c r="I70" s="66">
        <f t="shared" si="98"/>
        <v>0</v>
      </c>
      <c r="J70" s="66">
        <f t="shared" si="99"/>
        <v>0</v>
      </c>
      <c r="K70" s="68"/>
      <c r="L70" s="66">
        <v>2448</v>
      </c>
      <c r="M70" s="67"/>
      <c r="N70" s="67"/>
      <c r="O70" s="67"/>
      <c r="P70" s="67"/>
      <c r="Q70" s="66">
        <f t="shared" si="100"/>
        <v>0</v>
      </c>
      <c r="R70" s="66">
        <f t="shared" si="101"/>
        <v>0</v>
      </c>
      <c r="S70" s="66">
        <f t="shared" si="102"/>
        <v>0</v>
      </c>
      <c r="T70" s="66">
        <f t="shared" si="103"/>
        <v>0</v>
      </c>
      <c r="U70" s="68"/>
      <c r="V70" s="66">
        <v>2268</v>
      </c>
      <c r="W70" s="45">
        <v>7.6300000000000007E-2</v>
      </c>
      <c r="X70" s="45">
        <v>7.4099999999999999E-2</v>
      </c>
      <c r="Y70" s="45">
        <v>7.0800000000000002E-2</v>
      </c>
      <c r="Z70" s="45">
        <v>6.2300000000000001E-2</v>
      </c>
      <c r="AA70" s="66">
        <f t="shared" si="104"/>
        <v>173.04840000000002</v>
      </c>
      <c r="AB70" s="66">
        <f t="shared" si="105"/>
        <v>168.05879999999999</v>
      </c>
      <c r="AC70" s="66">
        <f t="shared" si="106"/>
        <v>160.5744</v>
      </c>
      <c r="AD70" s="66">
        <f t="shared" si="107"/>
        <v>141.29640000000001</v>
      </c>
      <c r="AE70" s="97"/>
      <c r="AF70" s="66">
        <v>2220</v>
      </c>
      <c r="AG70" s="104">
        <v>7.3599999999999999E-2</v>
      </c>
      <c r="AH70" s="84">
        <v>7.1499999999999994E-2</v>
      </c>
      <c r="AI70" s="84">
        <v>6.83E-2</v>
      </c>
      <c r="AJ70" s="105">
        <v>6.0100000000000001E-2</v>
      </c>
      <c r="AK70" s="66">
        <f t="shared" si="108"/>
        <v>163.392</v>
      </c>
      <c r="AL70" s="66">
        <f t="shared" si="109"/>
        <v>158.72999999999999</v>
      </c>
      <c r="AM70" s="66">
        <f t="shared" si="110"/>
        <v>151.626</v>
      </c>
      <c r="AN70" s="66">
        <f t="shared" si="111"/>
        <v>133.422</v>
      </c>
      <c r="AO70" s="97"/>
      <c r="AP70" s="66">
        <v>2124</v>
      </c>
      <c r="AQ70" s="106">
        <v>7.0900000000000005E-2</v>
      </c>
      <c r="AR70" s="45">
        <v>6.8900000000000003E-2</v>
      </c>
      <c r="AS70" s="45">
        <v>6.5799999999999997E-2</v>
      </c>
      <c r="AT70" s="107">
        <v>5.79E-2</v>
      </c>
      <c r="AU70" s="72">
        <f t="shared" si="112"/>
        <v>150.5916</v>
      </c>
      <c r="AV70" s="72">
        <f t="shared" si="113"/>
        <v>146.34360000000001</v>
      </c>
      <c r="AW70" s="72">
        <f t="shared" si="114"/>
        <v>139.75919999999999</v>
      </c>
      <c r="AX70" s="72">
        <f t="shared" si="115"/>
        <v>122.9796</v>
      </c>
      <c r="AY70" s="97"/>
      <c r="AZ70" s="66">
        <v>1944</v>
      </c>
      <c r="BA70" s="106">
        <v>6.54E-2</v>
      </c>
      <c r="BB70" s="45">
        <v>6.3600000000000004E-2</v>
      </c>
      <c r="BC70" s="45">
        <v>6.0699999999999997E-2</v>
      </c>
      <c r="BD70" s="107">
        <v>5.3400000000000003E-2</v>
      </c>
      <c r="BE70" s="72">
        <f t="shared" si="116"/>
        <v>127.13760000000001</v>
      </c>
      <c r="BF70" s="72">
        <f t="shared" si="117"/>
        <v>123.6384</v>
      </c>
      <c r="BG70" s="72">
        <f t="shared" si="118"/>
        <v>118.0008</v>
      </c>
      <c r="BH70" s="72">
        <f t="shared" si="119"/>
        <v>103.8096</v>
      </c>
    </row>
    <row r="71" spans="1:60" x14ac:dyDescent="0.25">
      <c r="A71" s="90" t="s">
        <v>101</v>
      </c>
      <c r="B71" s="57">
        <v>2604</v>
      </c>
      <c r="C71" s="91"/>
      <c r="D71" s="91"/>
      <c r="E71" s="91"/>
      <c r="F71" s="91"/>
      <c r="G71" s="57">
        <f t="shared" si="96"/>
        <v>0</v>
      </c>
      <c r="H71" s="57">
        <f t="shared" si="97"/>
        <v>0</v>
      </c>
      <c r="I71" s="57">
        <f t="shared" si="98"/>
        <v>0</v>
      </c>
      <c r="J71" s="57">
        <f t="shared" si="99"/>
        <v>0</v>
      </c>
      <c r="K71" s="92"/>
      <c r="L71" s="57">
        <v>2448</v>
      </c>
      <c r="M71" s="91"/>
      <c r="N71" s="91"/>
      <c r="O71" s="91"/>
      <c r="P71" s="91"/>
      <c r="Q71" s="57">
        <f t="shared" si="100"/>
        <v>0</v>
      </c>
      <c r="R71" s="57">
        <f t="shared" si="101"/>
        <v>0</v>
      </c>
      <c r="S71" s="57">
        <f t="shared" si="102"/>
        <v>0</v>
      </c>
      <c r="T71" s="57">
        <f t="shared" si="103"/>
        <v>0</v>
      </c>
      <c r="U71" s="92"/>
      <c r="V71" s="57">
        <v>2268</v>
      </c>
      <c r="W71" s="45">
        <v>8.2799999999999999E-2</v>
      </c>
      <c r="X71" s="45">
        <v>8.0399999999999999E-2</v>
      </c>
      <c r="Y71" s="45">
        <v>7.6700000000000004E-2</v>
      </c>
      <c r="Z71" s="45">
        <v>6.7500000000000004E-2</v>
      </c>
      <c r="AA71" s="57">
        <f t="shared" si="104"/>
        <v>187.79040000000001</v>
      </c>
      <c r="AB71" s="57">
        <f t="shared" si="105"/>
        <v>182.34719999999999</v>
      </c>
      <c r="AC71" s="57">
        <f t="shared" si="106"/>
        <v>173.9556</v>
      </c>
      <c r="AD71" s="57">
        <f t="shared" si="107"/>
        <v>153.09</v>
      </c>
      <c r="AE71" s="110"/>
      <c r="AF71" s="57">
        <v>2220</v>
      </c>
      <c r="AG71" s="111">
        <v>7.9799999999999996E-2</v>
      </c>
      <c r="AH71" s="112">
        <v>7.7499999999999999E-2</v>
      </c>
      <c r="AI71" s="112">
        <v>7.3999999999999996E-2</v>
      </c>
      <c r="AJ71" s="113">
        <v>6.5100000000000005E-2</v>
      </c>
      <c r="AK71" s="57">
        <f t="shared" si="108"/>
        <v>177.15599999999998</v>
      </c>
      <c r="AL71" s="57">
        <f t="shared" si="109"/>
        <v>172.05</v>
      </c>
      <c r="AM71" s="57">
        <f t="shared" si="110"/>
        <v>164.28</v>
      </c>
      <c r="AN71" s="57">
        <f t="shared" si="111"/>
        <v>144.52200000000002</v>
      </c>
      <c r="AO71" s="110"/>
      <c r="AP71" s="57">
        <v>2124</v>
      </c>
      <c r="AQ71" s="114">
        <v>7.6799999999999993E-2</v>
      </c>
      <c r="AR71" s="115">
        <v>7.46E-2</v>
      </c>
      <c r="AS71" s="115">
        <v>7.1300000000000002E-2</v>
      </c>
      <c r="AT71" s="116">
        <v>6.2700000000000006E-2</v>
      </c>
      <c r="AU71" s="89">
        <f t="shared" si="112"/>
        <v>163.1232</v>
      </c>
      <c r="AV71" s="89">
        <f t="shared" si="113"/>
        <v>158.4504</v>
      </c>
      <c r="AW71" s="89">
        <f t="shared" si="114"/>
        <v>151.44120000000001</v>
      </c>
      <c r="AX71" s="89">
        <f t="shared" si="115"/>
        <v>133.1748</v>
      </c>
      <c r="AY71" s="110"/>
      <c r="AZ71" s="57">
        <v>1944</v>
      </c>
      <c r="BA71" s="114">
        <v>7.0900000000000005E-2</v>
      </c>
      <c r="BB71" s="115">
        <v>6.8900000000000003E-2</v>
      </c>
      <c r="BC71" s="115">
        <v>6.5799999999999997E-2</v>
      </c>
      <c r="BD71" s="116">
        <v>5.79E-2</v>
      </c>
      <c r="BE71" s="89">
        <f t="shared" si="116"/>
        <v>137.8296</v>
      </c>
      <c r="BF71" s="89">
        <f t="shared" si="117"/>
        <v>133.94159999999999</v>
      </c>
      <c r="BG71" s="89">
        <f t="shared" si="118"/>
        <v>127.9152</v>
      </c>
      <c r="BH71" s="89">
        <f t="shared" si="119"/>
        <v>112.55759999999999</v>
      </c>
    </row>
    <row r="72" spans="1:60" x14ac:dyDescent="0.25">
      <c r="X72" s="122"/>
      <c r="AH72" s="122"/>
    </row>
    <row r="73" spans="1:60" x14ac:dyDescent="0.25">
      <c r="X73" s="122"/>
      <c r="AH73" s="122"/>
    </row>
    <row r="74" spans="1:60" x14ac:dyDescent="0.25">
      <c r="X74" s="122"/>
      <c r="Y74" s="122"/>
      <c r="AH74" s="122"/>
    </row>
    <row r="75" spans="1:60" x14ac:dyDescent="0.25">
      <c r="X75" s="122"/>
      <c r="Y75" s="122"/>
      <c r="AH75" s="122"/>
    </row>
    <row r="76" spans="1:60" x14ac:dyDescent="0.25">
      <c r="X76" s="123"/>
      <c r="Y76" s="122"/>
      <c r="AH76" s="123"/>
    </row>
    <row r="77" spans="1:60" x14ac:dyDescent="0.25">
      <c r="X77" s="122"/>
      <c r="Y77" s="122"/>
      <c r="AH77" s="122"/>
    </row>
    <row r="78" spans="1:60" x14ac:dyDescent="0.25">
      <c r="X78" s="122"/>
      <c r="AH78" s="122"/>
    </row>
    <row r="79" spans="1:60" x14ac:dyDescent="0.25">
      <c r="X79" s="122"/>
      <c r="AH79" s="122"/>
    </row>
    <row r="80" spans="1:60" x14ac:dyDescent="0.25">
      <c r="X80" s="122"/>
      <c r="AH80" s="122"/>
    </row>
    <row r="81" spans="24:34" x14ac:dyDescent="0.25">
      <c r="X81" s="123"/>
      <c r="AH81" s="123"/>
    </row>
    <row r="82" spans="24:34" x14ac:dyDescent="0.25">
      <c r="X82" s="122"/>
      <c r="AH82" s="122"/>
    </row>
    <row r="83" spans="24:34" x14ac:dyDescent="0.25">
      <c r="X83" s="122"/>
      <c r="AH83" s="122"/>
    </row>
    <row r="84" spans="24:34" x14ac:dyDescent="0.25">
      <c r="X84" s="122"/>
      <c r="AH84" s="122"/>
    </row>
    <row r="85" spans="24:34" x14ac:dyDescent="0.25">
      <c r="X85" s="122"/>
      <c r="AH85" s="122"/>
    </row>
    <row r="86" spans="24:34" x14ac:dyDescent="0.25">
      <c r="X86" s="123"/>
      <c r="AH86" s="123"/>
    </row>
    <row r="87" spans="24:34" x14ac:dyDescent="0.25">
      <c r="X87" s="122"/>
      <c r="AH87" s="122"/>
    </row>
    <row r="88" spans="24:34" x14ac:dyDescent="0.25">
      <c r="X88" s="122"/>
      <c r="AH88" s="122"/>
    </row>
    <row r="89" spans="24:34" x14ac:dyDescent="0.25">
      <c r="X89" s="122"/>
      <c r="AH89" s="122"/>
    </row>
    <row r="90" spans="24:34" x14ac:dyDescent="0.25">
      <c r="X90" s="122"/>
      <c r="AH90" s="122"/>
    </row>
    <row r="91" spans="24:34" x14ac:dyDescent="0.25">
      <c r="X91" s="123"/>
      <c r="AH91" s="123"/>
    </row>
    <row r="92" spans="24:34" x14ac:dyDescent="0.25">
      <c r="X92" s="122"/>
      <c r="AH92" s="122"/>
    </row>
    <row r="93" spans="24:34" x14ac:dyDescent="0.25">
      <c r="X93" s="122"/>
      <c r="AH93" s="122"/>
    </row>
    <row r="94" spans="24:34" x14ac:dyDescent="0.25">
      <c r="X94" s="122"/>
      <c r="AH94" s="122"/>
    </row>
    <row r="95" spans="24:34" x14ac:dyDescent="0.25">
      <c r="X95" s="122"/>
      <c r="AH95" s="122"/>
    </row>
    <row r="96" spans="24:34" x14ac:dyDescent="0.25">
      <c r="X96" s="123"/>
      <c r="AH96" s="123"/>
    </row>
    <row r="97" spans="24:34" x14ac:dyDescent="0.25">
      <c r="X97" s="122"/>
      <c r="AH97" s="122">
        <v>6.88E-2</v>
      </c>
    </row>
    <row r="98" spans="24:34" x14ac:dyDescent="0.25">
      <c r="X98" s="122"/>
      <c r="AH98" s="122">
        <v>6.6799999999999998E-2</v>
      </c>
    </row>
    <row r="99" spans="24:34" x14ac:dyDescent="0.25">
      <c r="X99" s="122"/>
      <c r="AH99" s="122">
        <v>6.4799999999999996E-2</v>
      </c>
    </row>
    <row r="100" spans="24:34" x14ac:dyDescent="0.25">
      <c r="X100" s="122"/>
      <c r="AH100" s="122">
        <v>5.91E-2</v>
      </c>
    </row>
    <row r="101" spans="24:34" x14ac:dyDescent="0.25">
      <c r="X101" s="123"/>
      <c r="AH101" s="123"/>
    </row>
    <row r="102" spans="24:34" x14ac:dyDescent="0.25">
      <c r="X102" s="122"/>
      <c r="AH102" s="122">
        <v>7.3999999999999996E-2</v>
      </c>
    </row>
    <row r="103" spans="24:34" x14ac:dyDescent="0.25">
      <c r="X103" s="122"/>
      <c r="AH103" s="122">
        <v>7.1900000000000006E-2</v>
      </c>
    </row>
    <row r="104" spans="24:34" x14ac:dyDescent="0.25">
      <c r="X104" s="122"/>
      <c r="AH104" s="122">
        <v>6.9800000000000001E-2</v>
      </c>
    </row>
    <row r="105" spans="24:34" x14ac:dyDescent="0.25">
      <c r="X105" s="122"/>
      <c r="AH105" s="122">
        <v>6.3700000000000007E-2</v>
      </c>
    </row>
    <row r="106" spans="24:34" x14ac:dyDescent="0.25">
      <c r="X106" s="123"/>
      <c r="AH106" s="123"/>
    </row>
    <row r="107" spans="24:34" x14ac:dyDescent="0.25">
      <c r="X107" s="122"/>
      <c r="AH107" s="122">
        <v>8.0199999999999994E-2</v>
      </c>
    </row>
    <row r="108" spans="24:34" x14ac:dyDescent="0.25">
      <c r="X108" s="122"/>
      <c r="AH108" s="122">
        <v>7.7899999999999997E-2</v>
      </c>
    </row>
    <row r="109" spans="24:34" x14ac:dyDescent="0.25">
      <c r="X109" s="122"/>
      <c r="AH109" s="122">
        <v>7.5600000000000001E-2</v>
      </c>
    </row>
    <row r="110" spans="24:34" x14ac:dyDescent="0.25">
      <c r="X110" s="122"/>
      <c r="AH110" s="122">
        <v>6.9000000000000006E-2</v>
      </c>
    </row>
  </sheetData>
  <mergeCells count="36">
    <mergeCell ref="A1:BH1"/>
    <mergeCell ref="A2:BH2"/>
    <mergeCell ref="G3:J3"/>
    <mergeCell ref="Q3:T3"/>
    <mergeCell ref="AA3:AD3"/>
    <mergeCell ref="AK3:AN3"/>
    <mergeCell ref="AU3:AX3"/>
    <mergeCell ref="BE3:BH3"/>
    <mergeCell ref="A16:BH16"/>
    <mergeCell ref="G17:J17"/>
    <mergeCell ref="Q17:T17"/>
    <mergeCell ref="AA17:AD17"/>
    <mergeCell ref="AK17:AN17"/>
    <mergeCell ref="AU17:AX17"/>
    <mergeCell ref="BE17:BH17"/>
    <mergeCell ref="A30:BH30"/>
    <mergeCell ref="G31:J31"/>
    <mergeCell ref="Q31:T31"/>
    <mergeCell ref="AA31:AD31"/>
    <mergeCell ref="AK31:AN31"/>
    <mergeCell ref="AU31:AX31"/>
    <mergeCell ref="BE31:BH31"/>
    <mergeCell ref="A44:BH44"/>
    <mergeCell ref="G45:J45"/>
    <mergeCell ref="Q45:T45"/>
    <mergeCell ref="AA45:AD45"/>
    <mergeCell ref="AK45:AN45"/>
    <mergeCell ref="AU45:AX45"/>
    <mergeCell ref="BE45:BH45"/>
    <mergeCell ref="A58:BH58"/>
    <mergeCell ref="G59:J59"/>
    <mergeCell ref="Q59:T59"/>
    <mergeCell ref="AA59:AD59"/>
    <mergeCell ref="AK59:AN59"/>
    <mergeCell ref="AU59:AX59"/>
    <mergeCell ref="BE59:BH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46"/>
  <sheetViews>
    <sheetView workbookViewId="0">
      <selection sqref="A1:XFD1048576"/>
    </sheetView>
  </sheetViews>
  <sheetFormatPr defaultRowHeight="15" x14ac:dyDescent="0.25"/>
  <cols>
    <col min="1" max="1" width="4.140625" customWidth="1"/>
    <col min="2" max="2" width="5.42578125" customWidth="1"/>
    <col min="3" max="11" width="3" customWidth="1"/>
    <col min="12" max="12" width="5.28515625" customWidth="1"/>
    <col min="13" max="21" width="3" customWidth="1"/>
    <col min="22" max="22" width="5.28515625" customWidth="1"/>
    <col min="23" max="31" width="3" style="167" customWidth="1"/>
    <col min="32" max="32" width="5.28515625" customWidth="1"/>
    <col min="33" max="41" width="3" style="167" customWidth="1"/>
    <col min="42" max="42" width="5.28515625" customWidth="1"/>
    <col min="43" max="43" width="3" customWidth="1"/>
    <col min="44" max="51" width="3" style="167" customWidth="1"/>
    <col min="52" max="52" width="5.28515625" customWidth="1"/>
    <col min="53" max="256" width="9.5703125" customWidth="1"/>
    <col min="257" max="257" width="10.28515625" customWidth="1"/>
  </cols>
  <sheetData>
    <row r="1" spans="1:52" ht="17.25" customHeight="1" x14ac:dyDescent="0.25">
      <c r="C1" s="217" t="s">
        <v>106</v>
      </c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</row>
    <row r="2" spans="1:52" ht="17.25" customHeight="1" x14ac:dyDescent="0.25">
      <c r="C2" s="223" t="s">
        <v>107</v>
      </c>
      <c r="D2" s="223"/>
      <c r="E2" s="223"/>
      <c r="F2" s="223"/>
      <c r="G2" s="223"/>
      <c r="H2" s="223"/>
      <c r="I2" s="223"/>
      <c r="J2" s="223"/>
      <c r="K2" s="223"/>
      <c r="L2" s="124"/>
      <c r="M2" s="223" t="s">
        <v>107</v>
      </c>
      <c r="N2" s="223"/>
      <c r="O2" s="223"/>
      <c r="P2" s="223"/>
      <c r="Q2" s="223"/>
      <c r="R2" s="223"/>
      <c r="S2" s="223"/>
      <c r="T2" s="223"/>
      <c r="U2" s="223"/>
      <c r="V2" s="124"/>
      <c r="W2" s="223" t="s">
        <v>107</v>
      </c>
      <c r="X2" s="223"/>
      <c r="Y2" s="223"/>
      <c r="Z2" s="223"/>
      <c r="AA2" s="223"/>
      <c r="AB2" s="223"/>
      <c r="AC2" s="223"/>
      <c r="AD2" s="223"/>
      <c r="AE2" s="223"/>
      <c r="AF2" s="124"/>
      <c r="AG2" s="223" t="s">
        <v>107</v>
      </c>
      <c r="AH2" s="223"/>
      <c r="AI2" s="223"/>
      <c r="AJ2" s="223"/>
      <c r="AK2" s="223"/>
      <c r="AL2" s="223"/>
      <c r="AM2" s="223"/>
      <c r="AN2" s="223"/>
      <c r="AO2" s="223"/>
      <c r="AP2" s="124"/>
      <c r="AQ2" s="221"/>
      <c r="AR2" s="221"/>
      <c r="AS2" s="221"/>
      <c r="AT2" s="221"/>
      <c r="AU2" s="221"/>
      <c r="AV2" s="221"/>
      <c r="AW2" s="221"/>
      <c r="AX2" s="221"/>
      <c r="AY2" s="221"/>
      <c r="AZ2" s="125"/>
    </row>
    <row r="3" spans="1:52" ht="16.5" customHeight="1" x14ac:dyDescent="0.25">
      <c r="A3" s="210" t="s">
        <v>4</v>
      </c>
      <c r="B3" s="210"/>
      <c r="C3" s="213" t="s">
        <v>108</v>
      </c>
      <c r="D3" s="213"/>
      <c r="E3" s="213"/>
      <c r="F3" s="213"/>
      <c r="G3" s="213"/>
      <c r="H3" s="213"/>
      <c r="I3" s="213"/>
      <c r="J3" s="213"/>
      <c r="K3" s="213"/>
      <c r="L3" s="33" t="s">
        <v>109</v>
      </c>
      <c r="M3" s="213" t="s">
        <v>110</v>
      </c>
      <c r="N3" s="213"/>
      <c r="O3" s="213"/>
      <c r="P3" s="213"/>
      <c r="Q3" s="213"/>
      <c r="R3" s="213"/>
      <c r="S3" s="213"/>
      <c r="T3" s="213"/>
      <c r="U3" s="213"/>
      <c r="V3" s="33" t="s">
        <v>109</v>
      </c>
      <c r="W3" s="213" t="s">
        <v>111</v>
      </c>
      <c r="X3" s="213"/>
      <c r="Y3" s="213"/>
      <c r="Z3" s="213"/>
      <c r="AA3" s="213"/>
      <c r="AB3" s="213"/>
      <c r="AC3" s="213"/>
      <c r="AD3" s="213"/>
      <c r="AE3" s="213"/>
      <c r="AF3" s="33" t="s">
        <v>109</v>
      </c>
      <c r="AG3" s="213" t="s">
        <v>112</v>
      </c>
      <c r="AH3" s="213"/>
      <c r="AI3" s="213"/>
      <c r="AJ3" s="213"/>
      <c r="AK3" s="213"/>
      <c r="AL3" s="213"/>
      <c r="AM3" s="213"/>
      <c r="AN3" s="213"/>
      <c r="AO3" s="213"/>
      <c r="AP3" s="33" t="s">
        <v>109</v>
      </c>
      <c r="AQ3" s="220"/>
      <c r="AR3" s="220"/>
      <c r="AS3" s="220"/>
      <c r="AT3" s="220"/>
      <c r="AU3" s="220"/>
      <c r="AV3" s="220"/>
      <c r="AW3" s="220"/>
      <c r="AX3" s="220"/>
      <c r="AY3" s="220"/>
      <c r="AZ3" s="84"/>
    </row>
    <row r="4" spans="1:52" ht="9.75" customHeight="1" x14ac:dyDescent="0.25">
      <c r="A4" s="210" t="s">
        <v>6</v>
      </c>
      <c r="B4" s="210"/>
      <c r="C4" s="126">
        <v>30</v>
      </c>
      <c r="D4" s="127">
        <v>30</v>
      </c>
      <c r="E4" s="127">
        <v>30</v>
      </c>
      <c r="F4" s="127">
        <v>30</v>
      </c>
      <c r="G4" s="127">
        <v>30</v>
      </c>
      <c r="H4" s="127">
        <v>30</v>
      </c>
      <c r="I4" s="127">
        <v>30</v>
      </c>
      <c r="J4" s="127">
        <v>30</v>
      </c>
      <c r="K4" s="128">
        <v>30</v>
      </c>
      <c r="L4" s="129" t="s">
        <v>113</v>
      </c>
      <c r="M4" s="126">
        <v>28</v>
      </c>
      <c r="N4" s="126">
        <v>28</v>
      </c>
      <c r="O4" s="127">
        <v>28</v>
      </c>
      <c r="P4" s="127">
        <v>28</v>
      </c>
      <c r="Q4" s="127">
        <v>28</v>
      </c>
      <c r="R4" s="127">
        <v>28</v>
      </c>
      <c r="S4" s="127">
        <v>28</v>
      </c>
      <c r="T4" s="127">
        <v>28</v>
      </c>
      <c r="U4" s="127">
        <v>28</v>
      </c>
      <c r="V4" s="129" t="s">
        <v>113</v>
      </c>
      <c r="W4" s="126">
        <v>26</v>
      </c>
      <c r="X4" s="127">
        <v>26</v>
      </c>
      <c r="Y4" s="127">
        <v>26</v>
      </c>
      <c r="Z4" s="127">
        <v>26</v>
      </c>
      <c r="AA4" s="127">
        <v>26</v>
      </c>
      <c r="AB4" s="127">
        <v>26</v>
      </c>
      <c r="AC4" s="127">
        <v>26</v>
      </c>
      <c r="AD4" s="127">
        <v>26</v>
      </c>
      <c r="AE4" s="128">
        <v>26</v>
      </c>
      <c r="AF4" s="129" t="s">
        <v>113</v>
      </c>
      <c r="AG4" s="126">
        <v>24</v>
      </c>
      <c r="AH4" s="127">
        <v>24</v>
      </c>
      <c r="AI4" s="127">
        <v>24</v>
      </c>
      <c r="AJ4" s="127">
        <v>24</v>
      </c>
      <c r="AK4" s="127">
        <v>24</v>
      </c>
      <c r="AL4" s="127">
        <v>24</v>
      </c>
      <c r="AM4" s="127">
        <v>24</v>
      </c>
      <c r="AN4" s="127">
        <v>24</v>
      </c>
      <c r="AO4" s="128">
        <v>24</v>
      </c>
      <c r="AP4" s="129" t="s">
        <v>113</v>
      </c>
      <c r="AQ4" s="130"/>
      <c r="AR4" s="130"/>
      <c r="AS4" s="130"/>
      <c r="AT4" s="130"/>
      <c r="AU4" s="130"/>
      <c r="AV4" s="130"/>
      <c r="AW4" s="130"/>
      <c r="AX4" s="130"/>
      <c r="AY4" s="130"/>
      <c r="AZ4" s="84"/>
    </row>
    <row r="5" spans="1:52" ht="9.75" customHeight="1" x14ac:dyDescent="0.25">
      <c r="A5" s="131" t="s">
        <v>11</v>
      </c>
      <c r="B5" s="131" t="s">
        <v>12</v>
      </c>
      <c r="C5" s="132">
        <v>30</v>
      </c>
      <c r="D5" s="133">
        <v>28</v>
      </c>
      <c r="E5" s="133">
        <v>26</v>
      </c>
      <c r="F5" s="134">
        <v>24</v>
      </c>
      <c r="G5" s="134">
        <v>22</v>
      </c>
      <c r="H5" s="134">
        <v>20</v>
      </c>
      <c r="I5" s="134">
        <v>18</v>
      </c>
      <c r="J5" s="134">
        <v>16</v>
      </c>
      <c r="K5" s="135">
        <v>14</v>
      </c>
      <c r="L5" s="136" t="s">
        <v>114</v>
      </c>
      <c r="M5" s="132">
        <v>30</v>
      </c>
      <c r="N5" s="132">
        <v>28</v>
      </c>
      <c r="O5" s="133">
        <v>26</v>
      </c>
      <c r="P5" s="134">
        <v>24</v>
      </c>
      <c r="Q5" s="134">
        <v>22</v>
      </c>
      <c r="R5" s="134">
        <v>20</v>
      </c>
      <c r="S5" s="134">
        <v>18</v>
      </c>
      <c r="T5" s="134">
        <v>16</v>
      </c>
      <c r="U5" s="134">
        <v>14</v>
      </c>
      <c r="V5" s="136" t="s">
        <v>114</v>
      </c>
      <c r="W5" s="132">
        <v>30</v>
      </c>
      <c r="X5" s="134">
        <v>28</v>
      </c>
      <c r="Y5" s="134">
        <v>26</v>
      </c>
      <c r="Z5" s="134">
        <v>24</v>
      </c>
      <c r="AA5" s="134">
        <v>22</v>
      </c>
      <c r="AB5" s="134">
        <v>20</v>
      </c>
      <c r="AC5" s="134">
        <v>18</v>
      </c>
      <c r="AD5" s="134">
        <v>16</v>
      </c>
      <c r="AE5" s="134">
        <v>14</v>
      </c>
      <c r="AF5" s="136" t="s">
        <v>114</v>
      </c>
      <c r="AG5" s="137">
        <v>30</v>
      </c>
      <c r="AH5" s="134">
        <v>28</v>
      </c>
      <c r="AI5" s="134">
        <v>26</v>
      </c>
      <c r="AJ5" s="134">
        <v>24</v>
      </c>
      <c r="AK5" s="134">
        <v>22</v>
      </c>
      <c r="AL5" s="134">
        <v>20</v>
      </c>
      <c r="AM5" s="134">
        <v>18</v>
      </c>
      <c r="AN5" s="134">
        <v>16</v>
      </c>
      <c r="AO5" s="138">
        <v>14</v>
      </c>
      <c r="AP5" s="136" t="s">
        <v>114</v>
      </c>
      <c r="AQ5" s="130"/>
      <c r="AR5" s="139"/>
      <c r="AS5" s="139"/>
      <c r="AT5" s="139"/>
      <c r="AU5" s="139"/>
      <c r="AV5" s="139"/>
      <c r="AW5" s="139"/>
      <c r="AX5" s="139"/>
      <c r="AY5" s="139"/>
      <c r="AZ5" s="84"/>
    </row>
    <row r="6" spans="1:52" ht="9.75" customHeight="1" x14ac:dyDescent="0.25">
      <c r="A6" s="140" t="s">
        <v>115</v>
      </c>
      <c r="B6" s="140" t="s">
        <v>116</v>
      </c>
      <c r="C6" s="39"/>
      <c r="D6" s="39"/>
      <c r="E6" s="39"/>
      <c r="F6" s="39"/>
      <c r="G6" s="39"/>
      <c r="H6" s="39"/>
      <c r="I6" s="39"/>
      <c r="J6" s="39"/>
      <c r="K6" s="141"/>
      <c r="L6" s="142" t="s">
        <v>115</v>
      </c>
      <c r="M6" s="143"/>
      <c r="N6" s="143"/>
      <c r="O6" s="39"/>
      <c r="P6" s="39"/>
      <c r="Q6" s="39"/>
      <c r="R6" s="39"/>
      <c r="S6" s="144"/>
      <c r="T6" s="144"/>
      <c r="U6" s="144"/>
      <c r="V6" s="142" t="s">
        <v>115</v>
      </c>
      <c r="W6" s="143"/>
      <c r="X6" s="39"/>
      <c r="Y6" s="39"/>
      <c r="Z6" s="39"/>
      <c r="AA6" s="39"/>
      <c r="AB6" s="39"/>
      <c r="AC6" s="144"/>
      <c r="AD6" s="144"/>
      <c r="AE6" s="145"/>
      <c r="AF6" s="142" t="s">
        <v>115</v>
      </c>
      <c r="AG6" s="143"/>
      <c r="AH6" s="39"/>
      <c r="AI6" s="39"/>
      <c r="AJ6" s="39"/>
      <c r="AK6" s="39"/>
      <c r="AL6" s="39"/>
      <c r="AM6" s="144"/>
      <c r="AN6" s="144"/>
      <c r="AO6" s="145"/>
      <c r="AP6" s="142" t="s">
        <v>115</v>
      </c>
      <c r="AQ6" s="146"/>
      <c r="AR6" s="146"/>
      <c r="AS6" s="146"/>
      <c r="AT6" s="146"/>
      <c r="AU6" s="146"/>
      <c r="AV6" s="146"/>
      <c r="AW6" s="146"/>
      <c r="AX6" s="146"/>
      <c r="AY6" s="146"/>
      <c r="AZ6" s="146"/>
    </row>
    <row r="7" spans="1:52" ht="9.75" customHeight="1" x14ac:dyDescent="0.25">
      <c r="A7" s="142" t="s">
        <v>117</v>
      </c>
      <c r="B7" s="142" t="s">
        <v>118</v>
      </c>
      <c r="C7" s="26"/>
      <c r="D7" s="20"/>
      <c r="E7" s="20"/>
      <c r="F7" s="20"/>
      <c r="G7" s="20"/>
      <c r="H7" s="20"/>
      <c r="I7" s="20"/>
      <c r="J7" s="20"/>
      <c r="K7" s="147"/>
      <c r="L7" s="142" t="s">
        <v>117</v>
      </c>
      <c r="M7" s="26"/>
      <c r="N7" s="26"/>
      <c r="O7" s="20"/>
      <c r="P7" s="20"/>
      <c r="Q7" s="20"/>
      <c r="R7" s="20"/>
      <c r="S7" s="148"/>
      <c r="T7" s="148"/>
      <c r="U7" s="148"/>
      <c r="V7" s="142" t="s">
        <v>117</v>
      </c>
      <c r="W7" s="26"/>
      <c r="X7" s="20"/>
      <c r="Y7" s="20"/>
      <c r="Z7" s="20"/>
      <c r="AA7" s="20"/>
      <c r="AB7" s="20"/>
      <c r="AC7" s="148"/>
      <c r="AD7" s="148"/>
      <c r="AE7" s="149"/>
      <c r="AF7" s="142" t="s">
        <v>117</v>
      </c>
      <c r="AG7" s="26"/>
      <c r="AH7" s="20"/>
      <c r="AI7" s="20"/>
      <c r="AJ7" s="20"/>
      <c r="AK7" s="20"/>
      <c r="AL7" s="20"/>
      <c r="AM7" s="148"/>
      <c r="AN7" s="148"/>
      <c r="AO7" s="150">
        <v>189</v>
      </c>
      <c r="AP7" s="142" t="s">
        <v>117</v>
      </c>
      <c r="AQ7" s="146"/>
      <c r="AR7" s="146"/>
      <c r="AS7" s="146"/>
      <c r="AT7" s="146"/>
      <c r="AU7" s="146"/>
      <c r="AV7" s="146"/>
      <c r="AW7" s="146"/>
      <c r="AX7" s="146"/>
      <c r="AY7" s="146"/>
      <c r="AZ7" s="146"/>
    </row>
    <row r="8" spans="1:52" ht="9.75" customHeight="1" x14ac:dyDescent="0.25">
      <c r="A8" s="142" t="s">
        <v>119</v>
      </c>
      <c r="B8" s="142" t="s">
        <v>120</v>
      </c>
      <c r="C8" s="143"/>
      <c r="D8" s="39"/>
      <c r="E8" s="39"/>
      <c r="F8" s="39"/>
      <c r="G8" s="39"/>
      <c r="H8" s="39"/>
      <c r="I8" s="39"/>
      <c r="J8" s="39"/>
      <c r="K8" s="141"/>
      <c r="L8" s="142" t="s">
        <v>119</v>
      </c>
      <c r="M8" s="143"/>
      <c r="N8" s="143"/>
      <c r="O8" s="39"/>
      <c r="P8" s="39"/>
      <c r="Q8" s="39"/>
      <c r="R8" s="39"/>
      <c r="S8" s="144"/>
      <c r="T8" s="144"/>
      <c r="U8" s="144"/>
      <c r="V8" s="142" t="s">
        <v>119</v>
      </c>
      <c r="W8" s="143"/>
      <c r="X8" s="39"/>
      <c r="Y8" s="39"/>
      <c r="Z8" s="39"/>
      <c r="AA8" s="39"/>
      <c r="AB8" s="39"/>
      <c r="AC8" s="144"/>
      <c r="AD8" s="144"/>
      <c r="AE8" s="151">
        <v>184</v>
      </c>
      <c r="AF8" s="142" t="s">
        <v>119</v>
      </c>
      <c r="AG8" s="143"/>
      <c r="AH8" s="39"/>
      <c r="AI8" s="39"/>
      <c r="AJ8" s="39"/>
      <c r="AK8" s="39"/>
      <c r="AL8" s="39"/>
      <c r="AM8" s="144"/>
      <c r="AN8" s="151">
        <v>184</v>
      </c>
      <c r="AO8" s="151">
        <v>194</v>
      </c>
      <c r="AP8" s="142" t="s">
        <v>119</v>
      </c>
      <c r="AQ8" s="146"/>
      <c r="AR8" s="146"/>
      <c r="AS8" s="146"/>
      <c r="AT8" s="146"/>
      <c r="AU8" s="146"/>
      <c r="AV8" s="146"/>
      <c r="AW8" s="146"/>
      <c r="AX8" s="146"/>
      <c r="AY8" s="146"/>
      <c r="AZ8" s="146"/>
    </row>
    <row r="9" spans="1:52" ht="9.75" customHeight="1" x14ac:dyDescent="0.25">
      <c r="A9" s="142" t="s">
        <v>121</v>
      </c>
      <c r="B9" s="142" t="s">
        <v>122</v>
      </c>
      <c r="C9" s="26"/>
      <c r="D9" s="20"/>
      <c r="E9" s="20"/>
      <c r="F9" s="20"/>
      <c r="G9" s="20"/>
      <c r="H9" s="20"/>
      <c r="I9" s="20"/>
      <c r="J9" s="20"/>
      <c r="K9" s="26"/>
      <c r="L9" s="142" t="s">
        <v>121</v>
      </c>
      <c r="M9" s="26"/>
      <c r="N9" s="26"/>
      <c r="O9" s="20"/>
      <c r="P9" s="20"/>
      <c r="Q9" s="20"/>
      <c r="R9" s="20"/>
      <c r="S9" s="148"/>
      <c r="T9" s="148"/>
      <c r="U9" s="148">
        <v>180</v>
      </c>
      <c r="V9" s="142" t="s">
        <v>121</v>
      </c>
      <c r="W9" s="26"/>
      <c r="X9" s="20"/>
      <c r="Y9" s="20"/>
      <c r="Z9" s="20"/>
      <c r="AA9" s="20"/>
      <c r="AB9" s="20"/>
      <c r="AC9" s="148"/>
      <c r="AD9" s="150">
        <v>179</v>
      </c>
      <c r="AE9" s="150">
        <v>189</v>
      </c>
      <c r="AF9" s="142" t="s">
        <v>121</v>
      </c>
      <c r="AG9" s="26"/>
      <c r="AH9" s="20"/>
      <c r="AI9" s="20"/>
      <c r="AJ9" s="20"/>
      <c r="AK9" s="20"/>
      <c r="AL9" s="20"/>
      <c r="AM9" s="150">
        <v>180</v>
      </c>
      <c r="AN9" s="150">
        <v>189</v>
      </c>
      <c r="AO9" s="150">
        <v>198</v>
      </c>
      <c r="AP9" s="142" t="s">
        <v>121</v>
      </c>
      <c r="AQ9" s="146"/>
      <c r="AR9" s="146"/>
      <c r="AS9" s="146"/>
      <c r="AT9" s="146"/>
      <c r="AU9" s="146"/>
      <c r="AV9" s="146"/>
      <c r="AW9" s="146"/>
      <c r="AX9" s="146"/>
      <c r="AY9" s="146"/>
      <c r="AZ9" s="146"/>
    </row>
    <row r="10" spans="1:52" ht="9.75" customHeight="1" x14ac:dyDescent="0.25">
      <c r="A10" s="142" t="s">
        <v>21</v>
      </c>
      <c r="B10" s="142" t="s">
        <v>123</v>
      </c>
      <c r="C10" s="143"/>
      <c r="D10" s="39"/>
      <c r="E10" s="39"/>
      <c r="F10" s="39"/>
      <c r="G10" s="39"/>
      <c r="H10" s="39"/>
      <c r="I10" s="39"/>
      <c r="J10" s="143"/>
      <c r="K10" s="151">
        <v>175</v>
      </c>
      <c r="L10" s="142" t="s">
        <v>21</v>
      </c>
      <c r="M10" s="143"/>
      <c r="N10" s="143"/>
      <c r="O10" s="39"/>
      <c r="P10" s="39"/>
      <c r="Q10" s="39"/>
      <c r="R10" s="39"/>
      <c r="S10" s="144"/>
      <c r="T10" s="144">
        <v>176</v>
      </c>
      <c r="U10" s="151">
        <v>184</v>
      </c>
      <c r="V10" s="142" t="s">
        <v>21</v>
      </c>
      <c r="W10" s="143"/>
      <c r="X10" s="39"/>
      <c r="Y10" s="39"/>
      <c r="Z10" s="39"/>
      <c r="AA10" s="39"/>
      <c r="AB10" s="39"/>
      <c r="AC10" s="151">
        <v>176</v>
      </c>
      <c r="AD10" s="151">
        <v>184</v>
      </c>
      <c r="AE10" s="151">
        <v>194</v>
      </c>
      <c r="AF10" s="142" t="s">
        <v>21</v>
      </c>
      <c r="AG10" s="143"/>
      <c r="AH10" s="39"/>
      <c r="AI10" s="39"/>
      <c r="AJ10" s="39"/>
      <c r="AK10" s="39"/>
      <c r="AL10" s="151">
        <v>176</v>
      </c>
      <c r="AM10" s="151">
        <v>185</v>
      </c>
      <c r="AN10" s="151">
        <v>194</v>
      </c>
      <c r="AO10" s="151">
        <v>203</v>
      </c>
      <c r="AP10" s="142" t="s">
        <v>21</v>
      </c>
      <c r="AQ10" s="146"/>
      <c r="AR10" s="146"/>
      <c r="AS10" s="146"/>
      <c r="AT10" s="146"/>
      <c r="AU10" s="146"/>
      <c r="AV10" s="146"/>
      <c r="AW10" s="146"/>
      <c r="AX10" s="146"/>
      <c r="AY10" s="146"/>
      <c r="AZ10" s="146"/>
    </row>
    <row r="11" spans="1:52" ht="9.75" customHeight="1" x14ac:dyDescent="0.25">
      <c r="A11" s="142" t="s">
        <v>23</v>
      </c>
      <c r="B11" s="142" t="s">
        <v>124</v>
      </c>
      <c r="C11" s="26"/>
      <c r="D11" s="20"/>
      <c r="E11" s="20"/>
      <c r="F11" s="20"/>
      <c r="G11" s="20"/>
      <c r="H11" s="20"/>
      <c r="I11" s="26"/>
      <c r="J11" s="150">
        <v>173</v>
      </c>
      <c r="K11" s="150">
        <v>179</v>
      </c>
      <c r="L11" s="142" t="s">
        <v>23</v>
      </c>
      <c r="M11" s="26"/>
      <c r="N11" s="26"/>
      <c r="O11" s="20"/>
      <c r="P11" s="20"/>
      <c r="Q11" s="20"/>
      <c r="R11" s="20"/>
      <c r="S11" s="148">
        <v>172</v>
      </c>
      <c r="T11" s="150">
        <v>180</v>
      </c>
      <c r="U11" s="150">
        <v>188</v>
      </c>
      <c r="V11" s="142" t="s">
        <v>23</v>
      </c>
      <c r="W11" s="26"/>
      <c r="X11" s="20"/>
      <c r="Y11" s="20"/>
      <c r="Z11" s="20"/>
      <c r="AA11" s="20"/>
      <c r="AB11" s="26">
        <v>172</v>
      </c>
      <c r="AC11" s="150">
        <v>180</v>
      </c>
      <c r="AD11" s="150">
        <v>188</v>
      </c>
      <c r="AE11" s="150">
        <v>198</v>
      </c>
      <c r="AF11" s="142" t="s">
        <v>23</v>
      </c>
      <c r="AG11" s="26"/>
      <c r="AH11" s="20"/>
      <c r="AI11" s="20"/>
      <c r="AJ11" s="20"/>
      <c r="AK11" s="26">
        <v>172</v>
      </c>
      <c r="AL11" s="150">
        <v>180</v>
      </c>
      <c r="AM11" s="150">
        <v>189</v>
      </c>
      <c r="AN11" s="150">
        <v>198</v>
      </c>
      <c r="AO11" s="150">
        <v>208</v>
      </c>
      <c r="AP11" s="142" t="s">
        <v>23</v>
      </c>
      <c r="AQ11" s="146"/>
      <c r="AR11" s="146"/>
      <c r="AS11" s="146"/>
      <c r="AT11" s="146"/>
      <c r="AU11" s="146"/>
      <c r="AV11" s="146"/>
      <c r="AW11" s="146"/>
      <c r="AX11" s="146"/>
      <c r="AY11" s="146"/>
      <c r="AZ11" s="146"/>
    </row>
    <row r="12" spans="1:52" ht="9.75" customHeight="1" x14ac:dyDescent="0.25">
      <c r="A12" s="142" t="s">
        <v>24</v>
      </c>
      <c r="B12" s="142" t="s">
        <v>125</v>
      </c>
      <c r="C12" s="143"/>
      <c r="D12" s="39"/>
      <c r="E12" s="39"/>
      <c r="F12" s="39"/>
      <c r="G12" s="39"/>
      <c r="H12" s="143"/>
      <c r="I12" s="151">
        <v>170</v>
      </c>
      <c r="J12" s="151">
        <v>178</v>
      </c>
      <c r="K12" s="151">
        <v>184</v>
      </c>
      <c r="L12" s="142" t="s">
        <v>24</v>
      </c>
      <c r="M12" s="143"/>
      <c r="N12" s="143"/>
      <c r="O12" s="39"/>
      <c r="P12" s="39"/>
      <c r="Q12" s="39"/>
      <c r="R12" s="39">
        <v>170</v>
      </c>
      <c r="S12" s="151">
        <v>177</v>
      </c>
      <c r="T12" s="151">
        <v>185</v>
      </c>
      <c r="U12" s="151">
        <v>193</v>
      </c>
      <c r="V12" s="142" t="s">
        <v>24</v>
      </c>
      <c r="W12" s="143"/>
      <c r="X12" s="39"/>
      <c r="Y12" s="39"/>
      <c r="Z12" s="39"/>
      <c r="AA12" s="143">
        <v>170</v>
      </c>
      <c r="AB12" s="143">
        <v>177</v>
      </c>
      <c r="AC12" s="151">
        <v>185</v>
      </c>
      <c r="AD12" s="151">
        <v>193</v>
      </c>
      <c r="AE12" s="151">
        <v>204</v>
      </c>
      <c r="AF12" s="142" t="s">
        <v>24</v>
      </c>
      <c r="AG12" s="143"/>
      <c r="AH12" s="39"/>
      <c r="AI12" s="39"/>
      <c r="AJ12" s="143">
        <v>170</v>
      </c>
      <c r="AK12" s="143">
        <v>177</v>
      </c>
      <c r="AL12" s="151">
        <v>185</v>
      </c>
      <c r="AM12" s="151">
        <v>194</v>
      </c>
      <c r="AN12" s="151">
        <v>204</v>
      </c>
      <c r="AO12" s="151">
        <v>214</v>
      </c>
      <c r="AP12" s="142" t="s">
        <v>24</v>
      </c>
      <c r="AQ12" s="146"/>
      <c r="AR12" s="146"/>
      <c r="AS12" s="146"/>
      <c r="AT12" s="146"/>
      <c r="AU12" s="146"/>
      <c r="AV12" s="146"/>
      <c r="AW12" s="146"/>
      <c r="AX12" s="146"/>
      <c r="AY12" s="146"/>
      <c r="AZ12" s="146"/>
    </row>
    <row r="13" spans="1:52" ht="9.75" customHeight="1" x14ac:dyDescent="0.25">
      <c r="A13" s="142" t="s">
        <v>26</v>
      </c>
      <c r="B13" s="142" t="s">
        <v>126</v>
      </c>
      <c r="C13" s="26"/>
      <c r="D13" s="20"/>
      <c r="E13" s="20"/>
      <c r="F13" s="20"/>
      <c r="G13" s="26"/>
      <c r="H13" s="26">
        <v>166</v>
      </c>
      <c r="I13" s="150">
        <v>174</v>
      </c>
      <c r="J13" s="150">
        <v>182</v>
      </c>
      <c r="K13" s="150">
        <v>189</v>
      </c>
      <c r="L13" s="142" t="s">
        <v>26</v>
      </c>
      <c r="M13" s="26"/>
      <c r="N13" s="26"/>
      <c r="O13" s="20"/>
      <c r="P13" s="20"/>
      <c r="Q13" s="20">
        <v>167</v>
      </c>
      <c r="R13" s="26">
        <v>174</v>
      </c>
      <c r="S13" s="150">
        <v>182</v>
      </c>
      <c r="T13" s="150">
        <v>190</v>
      </c>
      <c r="U13" s="150">
        <v>199</v>
      </c>
      <c r="V13" s="142" t="s">
        <v>26</v>
      </c>
      <c r="W13" s="26"/>
      <c r="X13" s="20"/>
      <c r="Y13" s="20"/>
      <c r="Z13" s="26">
        <v>167</v>
      </c>
      <c r="AA13" s="26">
        <v>174</v>
      </c>
      <c r="AB13" s="26">
        <v>182</v>
      </c>
      <c r="AC13" s="150">
        <v>190</v>
      </c>
      <c r="AD13" s="150">
        <v>199</v>
      </c>
      <c r="AE13" s="150">
        <v>209</v>
      </c>
      <c r="AF13" s="142" t="s">
        <v>26</v>
      </c>
      <c r="AG13" s="26"/>
      <c r="AH13" s="20"/>
      <c r="AI13" s="26">
        <v>167</v>
      </c>
      <c r="AJ13" s="26">
        <v>174</v>
      </c>
      <c r="AK13" s="26">
        <v>182</v>
      </c>
      <c r="AL13" s="150">
        <v>190</v>
      </c>
      <c r="AM13" s="150">
        <v>199</v>
      </c>
      <c r="AN13" s="150">
        <v>209</v>
      </c>
      <c r="AO13" s="150">
        <v>220</v>
      </c>
      <c r="AP13" s="142" t="s">
        <v>26</v>
      </c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</row>
    <row r="14" spans="1:52" ht="9.75" customHeight="1" x14ac:dyDescent="0.25">
      <c r="A14" s="142" t="s">
        <v>28</v>
      </c>
      <c r="B14" s="142" t="s">
        <v>127</v>
      </c>
      <c r="C14" s="143"/>
      <c r="D14" s="39"/>
      <c r="E14" s="39"/>
      <c r="F14" s="143"/>
      <c r="G14" s="143">
        <v>165</v>
      </c>
      <c r="H14" s="143">
        <v>171</v>
      </c>
      <c r="I14" s="151">
        <v>179</v>
      </c>
      <c r="J14" s="151">
        <v>188</v>
      </c>
      <c r="K14" s="151">
        <v>194</v>
      </c>
      <c r="L14" s="142" t="s">
        <v>28</v>
      </c>
      <c r="M14" s="143"/>
      <c r="N14" s="143"/>
      <c r="O14" s="39"/>
      <c r="P14" s="39">
        <v>165</v>
      </c>
      <c r="Q14" s="143">
        <v>172</v>
      </c>
      <c r="R14" s="143">
        <v>179</v>
      </c>
      <c r="S14" s="151">
        <v>187</v>
      </c>
      <c r="T14" s="151">
        <v>195</v>
      </c>
      <c r="U14" s="151">
        <v>204</v>
      </c>
      <c r="V14" s="142" t="s">
        <v>28</v>
      </c>
      <c r="W14" s="143"/>
      <c r="X14" s="39"/>
      <c r="Y14" s="143">
        <v>165</v>
      </c>
      <c r="Z14" s="143">
        <v>172</v>
      </c>
      <c r="AA14" s="143">
        <v>179</v>
      </c>
      <c r="AB14" s="143">
        <v>187</v>
      </c>
      <c r="AC14" s="151">
        <v>195</v>
      </c>
      <c r="AD14" s="151">
        <v>204</v>
      </c>
      <c r="AE14" s="151">
        <v>215</v>
      </c>
      <c r="AF14" s="142" t="s">
        <v>28</v>
      </c>
      <c r="AG14" s="143"/>
      <c r="AH14" s="143">
        <v>165</v>
      </c>
      <c r="AI14" s="143">
        <v>172</v>
      </c>
      <c r="AJ14" s="143">
        <v>179</v>
      </c>
      <c r="AK14" s="143">
        <v>187</v>
      </c>
      <c r="AL14" s="151">
        <v>195</v>
      </c>
      <c r="AM14" s="151">
        <v>205</v>
      </c>
      <c r="AN14" s="151">
        <v>215</v>
      </c>
      <c r="AO14" s="144">
        <v>226</v>
      </c>
      <c r="AP14" s="142" t="s">
        <v>28</v>
      </c>
      <c r="AQ14" s="146"/>
      <c r="AR14" s="146"/>
      <c r="AS14" s="146"/>
      <c r="AT14" s="146"/>
      <c r="AU14" s="146"/>
      <c r="AV14" s="146"/>
      <c r="AW14" s="146"/>
      <c r="AX14" s="146"/>
      <c r="AY14" s="146"/>
      <c r="AZ14" s="146"/>
    </row>
    <row r="15" spans="1:52" ht="9.75" customHeight="1" x14ac:dyDescent="0.25">
      <c r="A15" s="142" t="s">
        <v>30</v>
      </c>
      <c r="B15" s="142" t="s">
        <v>128</v>
      </c>
      <c r="C15" s="26"/>
      <c r="D15" s="20"/>
      <c r="E15" s="26"/>
      <c r="F15" s="26">
        <v>164</v>
      </c>
      <c r="G15" s="26">
        <v>170</v>
      </c>
      <c r="H15" s="26">
        <v>176</v>
      </c>
      <c r="I15" s="150">
        <v>184</v>
      </c>
      <c r="J15" s="150">
        <v>193</v>
      </c>
      <c r="K15" s="150">
        <v>200</v>
      </c>
      <c r="L15" s="142" t="s">
        <v>30</v>
      </c>
      <c r="M15" s="26"/>
      <c r="N15" s="26"/>
      <c r="O15" s="20">
        <v>164</v>
      </c>
      <c r="P15" s="26">
        <v>170</v>
      </c>
      <c r="Q15" s="26">
        <v>177</v>
      </c>
      <c r="R15" s="26">
        <v>184</v>
      </c>
      <c r="S15" s="150">
        <v>192</v>
      </c>
      <c r="T15" s="150">
        <v>201</v>
      </c>
      <c r="U15" s="150">
        <v>210</v>
      </c>
      <c r="V15" s="142" t="s">
        <v>30</v>
      </c>
      <c r="W15" s="26"/>
      <c r="X15" s="26">
        <v>164</v>
      </c>
      <c r="Y15" s="26">
        <v>170</v>
      </c>
      <c r="Z15" s="26">
        <v>177</v>
      </c>
      <c r="AA15" s="26">
        <v>184</v>
      </c>
      <c r="AB15" s="26">
        <v>192</v>
      </c>
      <c r="AC15" s="150">
        <v>201</v>
      </c>
      <c r="AD15" s="150">
        <v>210</v>
      </c>
      <c r="AE15" s="150">
        <v>221</v>
      </c>
      <c r="AF15" s="142" t="s">
        <v>30</v>
      </c>
      <c r="AG15" s="26">
        <v>164</v>
      </c>
      <c r="AH15" s="26">
        <v>170</v>
      </c>
      <c r="AI15" s="26">
        <v>177</v>
      </c>
      <c r="AJ15" s="26">
        <v>184</v>
      </c>
      <c r="AK15" s="26">
        <v>192</v>
      </c>
      <c r="AL15" s="150">
        <v>201</v>
      </c>
      <c r="AM15" s="150">
        <v>211</v>
      </c>
      <c r="AN15" s="150">
        <v>221</v>
      </c>
      <c r="AO15" s="148">
        <v>232</v>
      </c>
      <c r="AP15" s="142" t="s">
        <v>30</v>
      </c>
      <c r="AQ15" s="146"/>
      <c r="AR15" s="146"/>
      <c r="AS15" s="146"/>
      <c r="AT15" s="146"/>
      <c r="AU15" s="146"/>
      <c r="AV15" s="146"/>
      <c r="AW15" s="146"/>
      <c r="AX15" s="146"/>
      <c r="AY15" s="146"/>
      <c r="AZ15" s="146"/>
    </row>
    <row r="16" spans="1:52" ht="9.75" customHeight="1" x14ac:dyDescent="0.25">
      <c r="A16" s="142" t="s">
        <v>32</v>
      </c>
      <c r="B16" s="142" t="s">
        <v>129</v>
      </c>
      <c r="C16" s="143"/>
      <c r="D16" s="143"/>
      <c r="E16" s="143">
        <v>162</v>
      </c>
      <c r="F16" s="143">
        <v>169</v>
      </c>
      <c r="G16" s="143">
        <v>175</v>
      </c>
      <c r="H16" s="143">
        <v>181</v>
      </c>
      <c r="I16" s="151">
        <v>190</v>
      </c>
      <c r="J16" s="151">
        <v>199</v>
      </c>
      <c r="K16" s="151">
        <v>206</v>
      </c>
      <c r="L16" s="142" t="s">
        <v>32</v>
      </c>
      <c r="M16" s="143"/>
      <c r="N16" s="143">
        <v>162</v>
      </c>
      <c r="O16" s="143">
        <v>169</v>
      </c>
      <c r="P16" s="143">
        <v>175</v>
      </c>
      <c r="Q16" s="143">
        <v>182</v>
      </c>
      <c r="R16" s="143">
        <v>190</v>
      </c>
      <c r="S16" s="151">
        <v>198</v>
      </c>
      <c r="T16" s="151">
        <v>206</v>
      </c>
      <c r="U16" s="151">
        <v>216</v>
      </c>
      <c r="V16" s="142" t="s">
        <v>32</v>
      </c>
      <c r="W16" s="143">
        <v>162</v>
      </c>
      <c r="X16" s="143">
        <v>169</v>
      </c>
      <c r="Y16" s="143">
        <v>175</v>
      </c>
      <c r="Z16" s="143">
        <v>182</v>
      </c>
      <c r="AA16" s="143">
        <v>190</v>
      </c>
      <c r="AB16" s="143">
        <v>198</v>
      </c>
      <c r="AC16" s="151">
        <v>206</v>
      </c>
      <c r="AD16" s="144">
        <v>216</v>
      </c>
      <c r="AE16" s="144">
        <v>228</v>
      </c>
      <c r="AF16" s="142" t="s">
        <v>32</v>
      </c>
      <c r="AG16" s="143">
        <v>169</v>
      </c>
      <c r="AH16" s="143">
        <v>175</v>
      </c>
      <c r="AI16" s="143">
        <v>182</v>
      </c>
      <c r="AJ16" s="143">
        <v>190</v>
      </c>
      <c r="AK16" s="143">
        <v>198</v>
      </c>
      <c r="AL16" s="151">
        <v>206</v>
      </c>
      <c r="AM16" s="144">
        <v>217</v>
      </c>
      <c r="AN16" s="144">
        <v>228</v>
      </c>
      <c r="AO16" s="144">
        <v>239</v>
      </c>
      <c r="AP16" s="142" t="s">
        <v>32</v>
      </c>
      <c r="AQ16" s="146"/>
      <c r="AR16" s="146"/>
      <c r="AS16" s="146"/>
      <c r="AT16" s="146"/>
      <c r="AU16" s="146"/>
      <c r="AV16" s="146"/>
      <c r="AW16" s="146"/>
      <c r="AX16" s="146"/>
      <c r="AY16" s="146"/>
      <c r="AZ16" s="146"/>
    </row>
    <row r="17" spans="1:52" ht="9.75" customHeight="1" x14ac:dyDescent="0.25">
      <c r="A17" s="142" t="s">
        <v>33</v>
      </c>
      <c r="B17" s="142" t="s">
        <v>130</v>
      </c>
      <c r="C17" s="26"/>
      <c r="D17" s="26">
        <v>162</v>
      </c>
      <c r="E17" s="26">
        <v>167</v>
      </c>
      <c r="F17" s="26">
        <v>174</v>
      </c>
      <c r="G17" s="26">
        <v>180</v>
      </c>
      <c r="H17" s="26">
        <v>186</v>
      </c>
      <c r="I17" s="150">
        <v>195</v>
      </c>
      <c r="J17" s="150">
        <v>205</v>
      </c>
      <c r="K17" s="150">
        <v>212</v>
      </c>
      <c r="L17" s="142" t="s">
        <v>33</v>
      </c>
      <c r="M17" s="26">
        <v>162</v>
      </c>
      <c r="N17" s="26">
        <v>167</v>
      </c>
      <c r="O17" s="26">
        <v>174</v>
      </c>
      <c r="P17" s="26">
        <v>180</v>
      </c>
      <c r="Q17" s="26">
        <v>187</v>
      </c>
      <c r="R17" s="26">
        <v>195</v>
      </c>
      <c r="S17" s="150">
        <v>204</v>
      </c>
      <c r="T17" s="150">
        <v>213</v>
      </c>
      <c r="U17" s="150">
        <v>223</v>
      </c>
      <c r="V17" s="142" t="s">
        <v>33</v>
      </c>
      <c r="W17" s="26">
        <v>167</v>
      </c>
      <c r="X17" s="26">
        <v>174</v>
      </c>
      <c r="Y17" s="26">
        <v>180</v>
      </c>
      <c r="Z17" s="26">
        <v>187</v>
      </c>
      <c r="AA17" s="26">
        <v>195</v>
      </c>
      <c r="AB17" s="26">
        <v>204</v>
      </c>
      <c r="AC17" s="150">
        <v>213</v>
      </c>
      <c r="AD17" s="148">
        <v>223</v>
      </c>
      <c r="AE17" s="148">
        <v>235</v>
      </c>
      <c r="AF17" s="142" t="s">
        <v>33</v>
      </c>
      <c r="AG17" s="26">
        <v>174</v>
      </c>
      <c r="AH17" s="26">
        <v>180</v>
      </c>
      <c r="AI17" s="26">
        <v>187</v>
      </c>
      <c r="AJ17" s="26">
        <v>195</v>
      </c>
      <c r="AK17" s="26">
        <v>204</v>
      </c>
      <c r="AL17" s="150">
        <v>213</v>
      </c>
      <c r="AM17" s="148">
        <v>224</v>
      </c>
      <c r="AN17" s="148">
        <v>235</v>
      </c>
      <c r="AO17" s="149"/>
      <c r="AP17" s="142" t="s">
        <v>33</v>
      </c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</row>
    <row r="18" spans="1:52" ht="9.75" customHeight="1" x14ac:dyDescent="0.25">
      <c r="A18" s="142" t="s">
        <v>34</v>
      </c>
      <c r="B18" s="142" t="s">
        <v>131</v>
      </c>
      <c r="C18" s="143">
        <v>161</v>
      </c>
      <c r="D18" s="143">
        <v>167</v>
      </c>
      <c r="E18" s="143">
        <v>173</v>
      </c>
      <c r="F18" s="143">
        <v>179</v>
      </c>
      <c r="G18" s="143">
        <v>186</v>
      </c>
      <c r="H18" s="143">
        <v>192</v>
      </c>
      <c r="I18" s="151">
        <v>202</v>
      </c>
      <c r="J18" s="144">
        <v>211</v>
      </c>
      <c r="K18" s="144">
        <v>218</v>
      </c>
      <c r="L18" s="142" t="s">
        <v>34</v>
      </c>
      <c r="M18" s="143">
        <v>167</v>
      </c>
      <c r="N18" s="143">
        <v>173</v>
      </c>
      <c r="O18" s="143">
        <v>179</v>
      </c>
      <c r="P18" s="143">
        <v>186</v>
      </c>
      <c r="Q18" s="143">
        <v>193</v>
      </c>
      <c r="R18" s="143">
        <v>202</v>
      </c>
      <c r="S18" s="151">
        <v>210</v>
      </c>
      <c r="T18" s="144">
        <v>219</v>
      </c>
      <c r="U18" s="144">
        <v>230</v>
      </c>
      <c r="V18" s="142" t="s">
        <v>34</v>
      </c>
      <c r="W18" s="143">
        <v>173</v>
      </c>
      <c r="X18" s="143">
        <v>179</v>
      </c>
      <c r="Y18" s="143">
        <v>186</v>
      </c>
      <c r="Z18" s="143">
        <v>193</v>
      </c>
      <c r="AA18" s="143">
        <v>202</v>
      </c>
      <c r="AB18" s="39">
        <v>210</v>
      </c>
      <c r="AC18" s="144">
        <v>219</v>
      </c>
      <c r="AD18" s="144">
        <v>230</v>
      </c>
      <c r="AE18" s="144"/>
      <c r="AF18" s="142" t="s">
        <v>34</v>
      </c>
      <c r="AG18" s="143">
        <v>179</v>
      </c>
      <c r="AH18" s="143">
        <v>186</v>
      </c>
      <c r="AI18" s="143">
        <v>193</v>
      </c>
      <c r="AJ18" s="143">
        <v>202</v>
      </c>
      <c r="AK18" s="39">
        <v>210</v>
      </c>
      <c r="AL18" s="144">
        <v>219</v>
      </c>
      <c r="AM18" s="144">
        <v>231</v>
      </c>
      <c r="AN18" s="145"/>
      <c r="AO18" s="145"/>
      <c r="AP18" s="142" t="s">
        <v>34</v>
      </c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</row>
    <row r="19" spans="1:52" ht="8.25" customHeight="1" x14ac:dyDescent="0.25">
      <c r="A19" s="142" t="s">
        <v>35</v>
      </c>
      <c r="B19" s="142" t="s">
        <v>22</v>
      </c>
      <c r="C19" s="26">
        <v>166</v>
      </c>
      <c r="D19" s="26">
        <v>172</v>
      </c>
      <c r="E19" s="26">
        <v>178</v>
      </c>
      <c r="F19" s="26">
        <v>185</v>
      </c>
      <c r="G19" s="26">
        <v>192</v>
      </c>
      <c r="H19" s="26">
        <v>198</v>
      </c>
      <c r="I19" s="150">
        <v>208</v>
      </c>
      <c r="J19" s="148">
        <v>218</v>
      </c>
      <c r="K19" s="148">
        <v>225</v>
      </c>
      <c r="L19" s="142" t="s">
        <v>35</v>
      </c>
      <c r="M19" s="26">
        <v>172</v>
      </c>
      <c r="N19" s="26">
        <v>178</v>
      </c>
      <c r="O19" s="26">
        <v>185</v>
      </c>
      <c r="P19" s="26">
        <v>192</v>
      </c>
      <c r="Q19" s="26">
        <v>199</v>
      </c>
      <c r="R19" s="26">
        <v>208</v>
      </c>
      <c r="S19" s="150">
        <v>217</v>
      </c>
      <c r="T19" s="148">
        <v>226</v>
      </c>
      <c r="U19" s="148"/>
      <c r="V19" s="142" t="s">
        <v>35</v>
      </c>
      <c r="W19" s="26">
        <v>178</v>
      </c>
      <c r="X19" s="26">
        <v>185</v>
      </c>
      <c r="Y19" s="26">
        <v>192</v>
      </c>
      <c r="Z19" s="26">
        <v>199</v>
      </c>
      <c r="AA19" s="26">
        <v>208</v>
      </c>
      <c r="AB19" s="20">
        <v>217</v>
      </c>
      <c r="AC19" s="148">
        <v>226</v>
      </c>
      <c r="AD19" s="148"/>
      <c r="AE19" s="149"/>
      <c r="AF19" s="142" t="s">
        <v>35</v>
      </c>
      <c r="AG19" s="26">
        <v>185</v>
      </c>
      <c r="AH19" s="26">
        <v>192</v>
      </c>
      <c r="AI19" s="26">
        <v>199</v>
      </c>
      <c r="AJ19" s="26">
        <v>208</v>
      </c>
      <c r="AK19" s="20">
        <v>217</v>
      </c>
      <c r="AL19" s="148">
        <v>226</v>
      </c>
      <c r="AM19" s="147"/>
      <c r="AN19" s="20"/>
      <c r="AO19" s="147"/>
      <c r="AP19" s="142" t="s">
        <v>35</v>
      </c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</row>
    <row r="20" spans="1:52" ht="9.75" customHeight="1" x14ac:dyDescent="0.25">
      <c r="A20" s="142" t="s">
        <v>36</v>
      </c>
      <c r="B20" s="142" t="s">
        <v>25</v>
      </c>
      <c r="C20" s="143">
        <v>172</v>
      </c>
      <c r="D20" s="143">
        <v>178</v>
      </c>
      <c r="E20" s="143">
        <v>184</v>
      </c>
      <c r="F20" s="143">
        <v>191</v>
      </c>
      <c r="G20" s="143">
        <v>198</v>
      </c>
      <c r="H20" s="39">
        <v>205</v>
      </c>
      <c r="I20" s="144">
        <v>215</v>
      </c>
      <c r="J20" s="144">
        <v>225</v>
      </c>
      <c r="K20" s="141"/>
      <c r="L20" s="142" t="s">
        <v>36</v>
      </c>
      <c r="M20" s="143">
        <v>178</v>
      </c>
      <c r="N20" s="143">
        <v>184</v>
      </c>
      <c r="O20" s="143">
        <v>191</v>
      </c>
      <c r="P20" s="143">
        <v>198</v>
      </c>
      <c r="Q20" s="143">
        <v>206</v>
      </c>
      <c r="R20" s="39">
        <v>215</v>
      </c>
      <c r="S20" s="144">
        <v>224</v>
      </c>
      <c r="T20" s="144"/>
      <c r="U20" s="144"/>
      <c r="V20" s="142" t="s">
        <v>36</v>
      </c>
      <c r="W20" s="143">
        <v>184</v>
      </c>
      <c r="X20" s="143">
        <v>191</v>
      </c>
      <c r="Y20" s="143">
        <v>198</v>
      </c>
      <c r="Z20" s="39">
        <v>206</v>
      </c>
      <c r="AA20" s="39">
        <v>215</v>
      </c>
      <c r="AB20" s="39">
        <v>224</v>
      </c>
      <c r="AC20" s="39"/>
      <c r="AD20" s="144"/>
      <c r="AE20" s="141"/>
      <c r="AF20" s="142" t="s">
        <v>36</v>
      </c>
      <c r="AG20" s="143">
        <v>191</v>
      </c>
      <c r="AH20" s="143">
        <v>198</v>
      </c>
      <c r="AI20" s="39">
        <v>206</v>
      </c>
      <c r="AJ20" s="39">
        <v>215</v>
      </c>
      <c r="AK20" s="39">
        <v>224</v>
      </c>
      <c r="AL20" s="141"/>
      <c r="AM20" s="39"/>
      <c r="AN20" s="39"/>
      <c r="AO20" s="141"/>
      <c r="AP20" s="142" t="s">
        <v>36</v>
      </c>
      <c r="AQ20" s="146"/>
      <c r="AR20" s="146"/>
      <c r="AS20" s="146"/>
      <c r="AT20" s="146"/>
      <c r="AU20" s="146"/>
      <c r="AV20" s="146"/>
      <c r="AW20" s="146"/>
      <c r="AX20" s="146"/>
      <c r="AY20" s="146"/>
      <c r="AZ20" s="146"/>
    </row>
    <row r="21" spans="1:52" ht="9.75" customHeight="1" x14ac:dyDescent="0.25">
      <c r="A21" s="140" t="s">
        <v>38</v>
      </c>
      <c r="B21" s="142" t="s">
        <v>27</v>
      </c>
      <c r="C21" s="26">
        <v>178</v>
      </c>
      <c r="D21" s="26">
        <v>184</v>
      </c>
      <c r="E21" s="26">
        <v>190</v>
      </c>
      <c r="F21" s="26">
        <v>198</v>
      </c>
      <c r="G21" s="26">
        <v>205</v>
      </c>
      <c r="H21" s="20">
        <v>212</v>
      </c>
      <c r="I21" s="148">
        <v>222</v>
      </c>
      <c r="J21" s="20"/>
      <c r="K21" s="147"/>
      <c r="L21" s="140" t="s">
        <v>38</v>
      </c>
      <c r="M21" s="26">
        <v>184</v>
      </c>
      <c r="N21" s="26">
        <v>190</v>
      </c>
      <c r="O21" s="26">
        <v>198</v>
      </c>
      <c r="P21" s="26">
        <v>205</v>
      </c>
      <c r="Q21" s="26">
        <v>213</v>
      </c>
      <c r="R21" s="20">
        <v>222</v>
      </c>
      <c r="S21" s="148"/>
      <c r="T21" s="149"/>
      <c r="U21" s="148"/>
      <c r="V21" s="140" t="s">
        <v>38</v>
      </c>
      <c r="W21" s="26">
        <v>190</v>
      </c>
      <c r="X21" s="26">
        <v>198</v>
      </c>
      <c r="Y21" s="26">
        <v>205</v>
      </c>
      <c r="Z21" s="20">
        <v>213</v>
      </c>
      <c r="AA21" s="20">
        <v>222</v>
      </c>
      <c r="AB21" s="20"/>
      <c r="AC21" s="20"/>
      <c r="AD21" s="20"/>
      <c r="AE21" s="147"/>
      <c r="AF21" s="140" t="s">
        <v>38</v>
      </c>
      <c r="AG21" s="26">
        <v>198</v>
      </c>
      <c r="AH21" s="26">
        <v>205</v>
      </c>
      <c r="AI21" s="20">
        <v>213</v>
      </c>
      <c r="AJ21" s="20">
        <v>222</v>
      </c>
      <c r="AK21" s="147"/>
      <c r="AL21" s="20"/>
      <c r="AM21" s="20"/>
      <c r="AN21" s="20"/>
      <c r="AO21" s="147"/>
      <c r="AP21" s="140" t="s">
        <v>38</v>
      </c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</row>
    <row r="22" spans="1:52" ht="9.75" customHeight="1" x14ac:dyDescent="0.25">
      <c r="A22" s="140" t="s">
        <v>40</v>
      </c>
      <c r="B22" s="142" t="s">
        <v>29</v>
      </c>
      <c r="C22" s="143">
        <v>184</v>
      </c>
      <c r="D22" s="143">
        <v>191</v>
      </c>
      <c r="E22" s="143">
        <v>197</v>
      </c>
      <c r="F22" s="39">
        <v>205</v>
      </c>
      <c r="G22" s="39">
        <v>212</v>
      </c>
      <c r="H22" s="39">
        <v>220</v>
      </c>
      <c r="I22" s="39"/>
      <c r="J22" s="39"/>
      <c r="K22" s="141"/>
      <c r="L22" s="140" t="s">
        <v>40</v>
      </c>
      <c r="M22" s="143">
        <v>191</v>
      </c>
      <c r="N22" s="143">
        <v>197</v>
      </c>
      <c r="O22" s="143">
        <v>205</v>
      </c>
      <c r="P22" s="39">
        <v>212</v>
      </c>
      <c r="Q22" s="39">
        <v>221</v>
      </c>
      <c r="R22" s="39"/>
      <c r="S22" s="144"/>
      <c r="T22" s="144"/>
      <c r="U22" s="144"/>
      <c r="V22" s="140" t="s">
        <v>40</v>
      </c>
      <c r="W22" s="143">
        <v>197</v>
      </c>
      <c r="X22" s="39">
        <v>205</v>
      </c>
      <c r="Y22" s="39">
        <v>212</v>
      </c>
      <c r="Z22" s="39">
        <v>221</v>
      </c>
      <c r="AA22" s="39"/>
      <c r="AB22" s="39"/>
      <c r="AC22" s="39"/>
      <c r="AD22" s="39"/>
      <c r="AE22" s="141"/>
      <c r="AF22" s="140" t="s">
        <v>40</v>
      </c>
      <c r="AG22" s="143"/>
      <c r="AH22" s="39"/>
      <c r="AI22" s="39"/>
      <c r="AJ22" s="39"/>
      <c r="AK22" s="39"/>
      <c r="AL22" s="39"/>
      <c r="AM22" s="39"/>
      <c r="AN22" s="39"/>
      <c r="AO22" s="141"/>
      <c r="AP22" s="140" t="s">
        <v>40</v>
      </c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</row>
    <row r="23" spans="1:52" ht="9.75" customHeight="1" x14ac:dyDescent="0.25">
      <c r="A23" s="140" t="s">
        <v>42</v>
      </c>
      <c r="B23" s="142" t="s">
        <v>31</v>
      </c>
      <c r="C23" s="26">
        <v>191</v>
      </c>
      <c r="D23" s="26">
        <v>198</v>
      </c>
      <c r="E23" s="26">
        <v>204</v>
      </c>
      <c r="F23" s="20">
        <v>212</v>
      </c>
      <c r="G23" s="20">
        <v>220</v>
      </c>
      <c r="H23" s="20"/>
      <c r="I23" s="20"/>
      <c r="J23" s="20"/>
      <c r="K23" s="147"/>
      <c r="L23" s="140" t="s">
        <v>42</v>
      </c>
      <c r="M23" s="26">
        <v>198</v>
      </c>
      <c r="N23" s="26">
        <v>204</v>
      </c>
      <c r="O23" s="26">
        <v>212</v>
      </c>
      <c r="P23" s="20">
        <v>220</v>
      </c>
      <c r="Q23" s="20"/>
      <c r="R23" s="147"/>
      <c r="S23" s="148"/>
      <c r="T23" s="148"/>
      <c r="U23" s="148"/>
      <c r="V23" s="140" t="s">
        <v>42</v>
      </c>
      <c r="W23" s="26"/>
      <c r="X23" s="20"/>
      <c r="Y23" s="20"/>
      <c r="Z23" s="20"/>
      <c r="AA23" s="20"/>
      <c r="AB23" s="20"/>
      <c r="AC23" s="20"/>
      <c r="AD23" s="20"/>
      <c r="AE23" s="147"/>
      <c r="AF23" s="140" t="s">
        <v>42</v>
      </c>
      <c r="AG23" s="26"/>
      <c r="AH23" s="20"/>
      <c r="AI23" s="20"/>
      <c r="AJ23" s="20"/>
      <c r="AK23" s="20"/>
      <c r="AL23" s="20"/>
      <c r="AM23" s="20"/>
      <c r="AN23" s="20"/>
      <c r="AO23" s="147"/>
      <c r="AP23" s="140" t="s">
        <v>42</v>
      </c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</row>
    <row r="24" spans="1:52" ht="9.75" customHeight="1" x14ac:dyDescent="0.25">
      <c r="A24" s="140" t="s">
        <v>132</v>
      </c>
      <c r="B24" s="142" t="s">
        <v>37</v>
      </c>
      <c r="C24" s="143">
        <v>198</v>
      </c>
      <c r="D24" s="39">
        <v>205</v>
      </c>
      <c r="E24" s="39">
        <v>213</v>
      </c>
      <c r="F24" s="39">
        <v>220</v>
      </c>
      <c r="G24" s="39"/>
      <c r="H24" s="39"/>
      <c r="I24" s="39"/>
      <c r="J24" s="39"/>
      <c r="K24" s="141"/>
      <c r="L24" s="140" t="s">
        <v>132</v>
      </c>
      <c r="M24" s="143"/>
      <c r="N24" s="143"/>
      <c r="O24" s="39"/>
      <c r="P24" s="39"/>
      <c r="Q24" s="39"/>
      <c r="R24" s="39"/>
      <c r="S24" s="144"/>
      <c r="T24" s="144"/>
      <c r="U24" s="144"/>
      <c r="V24" s="140" t="s">
        <v>132</v>
      </c>
      <c r="W24" s="143"/>
      <c r="X24" s="39"/>
      <c r="Y24" s="39"/>
      <c r="Z24" s="39"/>
      <c r="AA24" s="39"/>
      <c r="AB24" s="39"/>
      <c r="AC24" s="39"/>
      <c r="AD24" s="39"/>
      <c r="AE24" s="141"/>
      <c r="AF24" s="140" t="s">
        <v>132</v>
      </c>
      <c r="AG24" s="143"/>
      <c r="AH24" s="39"/>
      <c r="AI24" s="39"/>
      <c r="AJ24" s="39"/>
      <c r="AK24" s="39"/>
      <c r="AL24" s="39"/>
      <c r="AM24" s="39"/>
      <c r="AN24" s="39"/>
      <c r="AO24" s="141"/>
      <c r="AP24" s="140" t="s">
        <v>132</v>
      </c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</row>
    <row r="25" spans="1:52" ht="15" customHeight="1" x14ac:dyDescent="0.25">
      <c r="A25" s="152"/>
      <c r="B25" s="152"/>
      <c r="C25" s="216" t="s">
        <v>133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</row>
    <row r="26" spans="1:52" x14ac:dyDescent="0.25">
      <c r="C26" s="222" t="s">
        <v>134</v>
      </c>
      <c r="D26" s="222"/>
      <c r="E26" s="222"/>
      <c r="F26" s="222"/>
      <c r="G26" s="222"/>
      <c r="H26" s="222"/>
      <c r="I26" s="222"/>
      <c r="J26" s="222"/>
      <c r="K26" s="222"/>
      <c r="M26" s="222" t="s">
        <v>134</v>
      </c>
      <c r="N26" s="222"/>
      <c r="O26" s="222"/>
      <c r="P26" s="222"/>
      <c r="Q26" s="222"/>
      <c r="R26" s="222"/>
      <c r="S26" s="222"/>
      <c r="T26" s="222"/>
      <c r="U26" s="222"/>
      <c r="W26" s="222" t="s">
        <v>134</v>
      </c>
      <c r="X26" s="222"/>
      <c r="Y26" s="222"/>
      <c r="Z26" s="222"/>
      <c r="AA26" s="222"/>
      <c r="AB26" s="222"/>
      <c r="AC26" s="222"/>
      <c r="AD26" s="222"/>
      <c r="AE26" s="222"/>
      <c r="AG26" s="222" t="s">
        <v>134</v>
      </c>
      <c r="AH26" s="222"/>
      <c r="AI26" s="222"/>
      <c r="AJ26" s="222"/>
      <c r="AK26" s="222"/>
      <c r="AL26" s="222"/>
      <c r="AM26" s="222"/>
      <c r="AN26" s="222"/>
      <c r="AO26" s="222"/>
      <c r="AQ26" s="221"/>
      <c r="AR26" s="221"/>
      <c r="AS26" s="221"/>
      <c r="AT26" s="221"/>
      <c r="AU26" s="221"/>
      <c r="AV26" s="221"/>
      <c r="AW26" s="221"/>
      <c r="AX26" s="221"/>
      <c r="AY26" s="221"/>
      <c r="AZ26" s="84"/>
    </row>
    <row r="27" spans="1:52" ht="16.5" customHeight="1" x14ac:dyDescent="0.25">
      <c r="A27" s="210" t="s">
        <v>4</v>
      </c>
      <c r="B27" s="210"/>
      <c r="C27" s="213" t="s">
        <v>108</v>
      </c>
      <c r="D27" s="213"/>
      <c r="E27" s="213"/>
      <c r="F27" s="213"/>
      <c r="G27" s="213"/>
      <c r="H27" s="213"/>
      <c r="I27" s="213"/>
      <c r="J27" s="213"/>
      <c r="K27" s="213"/>
      <c r="L27" s="33" t="s">
        <v>109</v>
      </c>
      <c r="M27" s="213" t="s">
        <v>110</v>
      </c>
      <c r="N27" s="213"/>
      <c r="O27" s="213"/>
      <c r="P27" s="213"/>
      <c r="Q27" s="213"/>
      <c r="R27" s="213"/>
      <c r="S27" s="213"/>
      <c r="T27" s="213"/>
      <c r="U27" s="213"/>
      <c r="V27" s="33" t="s">
        <v>109</v>
      </c>
      <c r="W27" s="213" t="s">
        <v>111</v>
      </c>
      <c r="X27" s="213"/>
      <c r="Y27" s="213"/>
      <c r="Z27" s="213"/>
      <c r="AA27" s="213"/>
      <c r="AB27" s="213"/>
      <c r="AC27" s="213"/>
      <c r="AD27" s="213"/>
      <c r="AE27" s="213"/>
      <c r="AF27" s="33" t="s">
        <v>109</v>
      </c>
      <c r="AG27" s="213" t="s">
        <v>112</v>
      </c>
      <c r="AH27" s="213"/>
      <c r="AI27" s="213"/>
      <c r="AJ27" s="213"/>
      <c r="AK27" s="213"/>
      <c r="AL27" s="213"/>
      <c r="AM27" s="213"/>
      <c r="AN27" s="213"/>
      <c r="AO27" s="213"/>
      <c r="AP27" s="33" t="s">
        <v>109</v>
      </c>
      <c r="AQ27" s="220"/>
      <c r="AR27" s="220"/>
      <c r="AS27" s="220"/>
      <c r="AT27" s="220"/>
      <c r="AU27" s="220"/>
      <c r="AV27" s="220"/>
      <c r="AW27" s="220"/>
      <c r="AX27" s="220"/>
      <c r="AY27" s="220"/>
      <c r="AZ27" s="84"/>
    </row>
    <row r="28" spans="1:52" ht="9.75" customHeight="1" x14ac:dyDescent="0.25">
      <c r="A28" s="210" t="s">
        <v>6</v>
      </c>
      <c r="B28" s="210"/>
      <c r="C28" s="126">
        <v>30</v>
      </c>
      <c r="D28" s="127">
        <v>30</v>
      </c>
      <c r="E28" s="127">
        <v>30</v>
      </c>
      <c r="F28" s="127">
        <v>30</v>
      </c>
      <c r="G28" s="127">
        <v>30</v>
      </c>
      <c r="H28" s="127">
        <v>30</v>
      </c>
      <c r="I28" s="127">
        <v>30</v>
      </c>
      <c r="J28" s="127">
        <v>30</v>
      </c>
      <c r="K28" s="128">
        <v>30</v>
      </c>
      <c r="L28" s="129" t="s">
        <v>113</v>
      </c>
      <c r="M28" s="126">
        <v>28</v>
      </c>
      <c r="N28" s="126">
        <v>28</v>
      </c>
      <c r="O28" s="127">
        <v>28</v>
      </c>
      <c r="P28" s="127">
        <v>28</v>
      </c>
      <c r="Q28" s="127">
        <v>28</v>
      </c>
      <c r="R28" s="127">
        <v>28</v>
      </c>
      <c r="S28" s="127">
        <v>28</v>
      </c>
      <c r="T28" s="127">
        <v>28</v>
      </c>
      <c r="U28" s="127">
        <v>28</v>
      </c>
      <c r="V28" s="129" t="s">
        <v>113</v>
      </c>
      <c r="W28" s="126">
        <v>26</v>
      </c>
      <c r="X28" s="127">
        <v>26</v>
      </c>
      <c r="Y28" s="127">
        <v>26</v>
      </c>
      <c r="Z28" s="127">
        <v>26</v>
      </c>
      <c r="AA28" s="127">
        <v>26</v>
      </c>
      <c r="AB28" s="127">
        <v>26</v>
      </c>
      <c r="AC28" s="127">
        <v>26</v>
      </c>
      <c r="AD28" s="127">
        <v>26</v>
      </c>
      <c r="AE28" s="128">
        <v>26</v>
      </c>
      <c r="AF28" s="129" t="s">
        <v>113</v>
      </c>
      <c r="AG28" s="126">
        <v>24</v>
      </c>
      <c r="AH28" s="127">
        <v>24</v>
      </c>
      <c r="AI28" s="127">
        <v>24</v>
      </c>
      <c r="AJ28" s="127">
        <v>24</v>
      </c>
      <c r="AK28" s="127">
        <v>24</v>
      </c>
      <c r="AL28" s="127">
        <v>24</v>
      </c>
      <c r="AM28" s="127">
        <v>24</v>
      </c>
      <c r="AN28" s="127">
        <v>24</v>
      </c>
      <c r="AO28" s="128">
        <v>24</v>
      </c>
      <c r="AP28" s="129" t="s">
        <v>113</v>
      </c>
      <c r="AQ28" s="130"/>
      <c r="AR28" s="130"/>
      <c r="AS28" s="130"/>
      <c r="AT28" s="130"/>
      <c r="AU28" s="130"/>
      <c r="AV28" s="130"/>
      <c r="AW28" s="130"/>
      <c r="AX28" s="130"/>
      <c r="AY28" s="130"/>
      <c r="AZ28" s="84"/>
    </row>
    <row r="29" spans="1:52" ht="9.75" customHeight="1" x14ac:dyDescent="0.25">
      <c r="A29" s="131" t="s">
        <v>11</v>
      </c>
      <c r="B29" s="131" t="s">
        <v>12</v>
      </c>
      <c r="C29" s="132">
        <v>30</v>
      </c>
      <c r="D29" s="133">
        <v>28</v>
      </c>
      <c r="E29" s="133">
        <v>26</v>
      </c>
      <c r="F29" s="134">
        <v>24</v>
      </c>
      <c r="G29" s="134">
        <v>22</v>
      </c>
      <c r="H29" s="134">
        <v>20</v>
      </c>
      <c r="I29" s="134">
        <v>18</v>
      </c>
      <c r="J29" s="134">
        <v>16</v>
      </c>
      <c r="K29" s="135">
        <v>14</v>
      </c>
      <c r="L29" s="136" t="s">
        <v>114</v>
      </c>
      <c r="M29" s="132">
        <v>30</v>
      </c>
      <c r="N29" s="132">
        <v>28</v>
      </c>
      <c r="O29" s="133">
        <v>26</v>
      </c>
      <c r="P29" s="134">
        <v>24</v>
      </c>
      <c r="Q29" s="134">
        <v>22</v>
      </c>
      <c r="R29" s="134">
        <v>20</v>
      </c>
      <c r="S29" s="134">
        <v>18</v>
      </c>
      <c r="T29" s="134">
        <v>16</v>
      </c>
      <c r="U29" s="134">
        <v>14</v>
      </c>
      <c r="V29" s="136" t="s">
        <v>114</v>
      </c>
      <c r="W29" s="132">
        <v>30</v>
      </c>
      <c r="X29" s="134">
        <v>28</v>
      </c>
      <c r="Y29" s="134">
        <v>26</v>
      </c>
      <c r="Z29" s="134">
        <v>24</v>
      </c>
      <c r="AA29" s="134">
        <v>22</v>
      </c>
      <c r="AB29" s="134">
        <v>20</v>
      </c>
      <c r="AC29" s="134">
        <v>18</v>
      </c>
      <c r="AD29" s="134">
        <v>16</v>
      </c>
      <c r="AE29" s="134">
        <v>14</v>
      </c>
      <c r="AF29" s="136" t="s">
        <v>114</v>
      </c>
      <c r="AG29" s="137">
        <v>30</v>
      </c>
      <c r="AH29" s="134">
        <v>28</v>
      </c>
      <c r="AI29" s="134">
        <v>26</v>
      </c>
      <c r="AJ29" s="134">
        <v>24</v>
      </c>
      <c r="AK29" s="134">
        <v>22</v>
      </c>
      <c r="AL29" s="134">
        <v>20</v>
      </c>
      <c r="AM29" s="134">
        <v>18</v>
      </c>
      <c r="AN29" s="134">
        <v>16</v>
      </c>
      <c r="AO29" s="138">
        <v>14</v>
      </c>
      <c r="AP29" s="153" t="s">
        <v>114</v>
      </c>
      <c r="AQ29" s="130"/>
      <c r="AR29" s="139"/>
      <c r="AS29" s="139"/>
      <c r="AT29" s="139"/>
      <c r="AU29" s="139"/>
      <c r="AV29" s="139"/>
      <c r="AW29" s="139"/>
      <c r="AX29" s="139"/>
      <c r="AY29" s="139"/>
      <c r="AZ29" s="84"/>
    </row>
    <row r="30" spans="1:52" ht="9.75" customHeight="1" x14ac:dyDescent="0.25">
      <c r="A30" s="142" t="s">
        <v>115</v>
      </c>
      <c r="B30" s="142" t="s">
        <v>116</v>
      </c>
      <c r="C30" s="39"/>
      <c r="D30" s="39"/>
      <c r="E30" s="39"/>
      <c r="F30" s="39"/>
      <c r="G30" s="39"/>
      <c r="H30" s="39"/>
      <c r="I30" s="39"/>
      <c r="J30" s="39"/>
      <c r="K30" s="141"/>
      <c r="L30" s="142" t="s">
        <v>115</v>
      </c>
      <c r="M30" s="143"/>
      <c r="N30" s="143"/>
      <c r="O30" s="39"/>
      <c r="P30" s="39"/>
      <c r="Q30" s="39"/>
      <c r="R30" s="39"/>
      <c r="S30" s="144"/>
      <c r="T30" s="144"/>
      <c r="U30" s="144"/>
      <c r="V30" s="142" t="s">
        <v>115</v>
      </c>
      <c r="W30" s="143"/>
      <c r="X30" s="39"/>
      <c r="Y30" s="39"/>
      <c r="Z30" s="39"/>
      <c r="AA30" s="39"/>
      <c r="AB30" s="39"/>
      <c r="AC30" s="144"/>
      <c r="AD30" s="144"/>
      <c r="AE30" s="145"/>
      <c r="AF30" s="142" t="s">
        <v>115</v>
      </c>
      <c r="AG30" s="143"/>
      <c r="AH30" s="39"/>
      <c r="AI30" s="39"/>
      <c r="AJ30" s="39"/>
      <c r="AK30" s="39"/>
      <c r="AL30" s="39"/>
      <c r="AM30" s="144"/>
      <c r="AN30" s="144"/>
      <c r="AO30" s="141"/>
      <c r="AP30" s="142" t="s">
        <v>115</v>
      </c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</row>
    <row r="31" spans="1:52" ht="9.75" customHeight="1" x14ac:dyDescent="0.25">
      <c r="A31" s="142" t="s">
        <v>117</v>
      </c>
      <c r="B31" s="142" t="s">
        <v>118</v>
      </c>
      <c r="C31" s="26"/>
      <c r="D31" s="20"/>
      <c r="E31" s="20"/>
      <c r="F31" s="20"/>
      <c r="G31" s="20"/>
      <c r="H31" s="20"/>
      <c r="I31" s="20"/>
      <c r="J31" s="20"/>
      <c r="K31" s="147"/>
      <c r="L31" s="142" t="s">
        <v>117</v>
      </c>
      <c r="M31" s="26"/>
      <c r="N31" s="26"/>
      <c r="O31" s="20"/>
      <c r="P31" s="20"/>
      <c r="Q31" s="20"/>
      <c r="R31" s="20"/>
      <c r="S31" s="148"/>
      <c r="T31" s="148"/>
      <c r="U31" s="148"/>
      <c r="V31" s="142" t="s">
        <v>117</v>
      </c>
      <c r="W31" s="26"/>
      <c r="X31" s="20"/>
      <c r="Y31" s="20"/>
      <c r="Z31" s="20"/>
      <c r="AA31" s="20"/>
      <c r="AB31" s="20"/>
      <c r="AC31" s="148"/>
      <c r="AD31" s="148"/>
      <c r="AE31" s="149"/>
      <c r="AF31" s="142" t="s">
        <v>117</v>
      </c>
      <c r="AG31" s="26"/>
      <c r="AH31" s="20"/>
      <c r="AI31" s="20"/>
      <c r="AJ31" s="20"/>
      <c r="AK31" s="20"/>
      <c r="AL31" s="20"/>
      <c r="AM31" s="148"/>
      <c r="AN31" s="148"/>
      <c r="AO31" s="150">
        <v>179</v>
      </c>
      <c r="AP31" s="142" t="s">
        <v>117</v>
      </c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</row>
    <row r="32" spans="1:52" ht="9.75" customHeight="1" x14ac:dyDescent="0.25">
      <c r="A32" s="142" t="s">
        <v>119</v>
      </c>
      <c r="B32" s="142" t="s">
        <v>120</v>
      </c>
      <c r="C32" s="143"/>
      <c r="D32" s="39"/>
      <c r="E32" s="39"/>
      <c r="F32" s="39"/>
      <c r="G32" s="39"/>
      <c r="H32" s="39"/>
      <c r="I32" s="39"/>
      <c r="J32" s="39"/>
      <c r="K32" s="141"/>
      <c r="L32" s="142" t="s">
        <v>119</v>
      </c>
      <c r="M32" s="143"/>
      <c r="N32" s="143"/>
      <c r="O32" s="39"/>
      <c r="P32" s="39"/>
      <c r="Q32" s="39"/>
      <c r="R32" s="39"/>
      <c r="S32" s="144"/>
      <c r="T32" s="144"/>
      <c r="U32" s="144"/>
      <c r="V32" s="142" t="s">
        <v>119</v>
      </c>
      <c r="W32" s="143"/>
      <c r="X32" s="39"/>
      <c r="Y32" s="39"/>
      <c r="Z32" s="39"/>
      <c r="AA32" s="39"/>
      <c r="AB32" s="39"/>
      <c r="AC32" s="144"/>
      <c r="AD32" s="144"/>
      <c r="AE32" s="151">
        <v>174</v>
      </c>
      <c r="AF32" s="142" t="s">
        <v>119</v>
      </c>
      <c r="AG32" s="143"/>
      <c r="AH32" s="39"/>
      <c r="AI32" s="39"/>
      <c r="AJ32" s="39"/>
      <c r="AK32" s="39"/>
      <c r="AL32" s="39"/>
      <c r="AM32" s="144"/>
      <c r="AN32" s="151">
        <v>174</v>
      </c>
      <c r="AO32" s="145">
        <v>184</v>
      </c>
      <c r="AP32" s="142" t="s">
        <v>119</v>
      </c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</row>
    <row r="33" spans="1:52" ht="9.75" customHeight="1" x14ac:dyDescent="0.25">
      <c r="A33" s="142" t="s">
        <v>121</v>
      </c>
      <c r="B33" s="142" t="s">
        <v>122</v>
      </c>
      <c r="C33" s="26"/>
      <c r="D33" s="20"/>
      <c r="E33" s="20"/>
      <c r="F33" s="20"/>
      <c r="G33" s="20"/>
      <c r="H33" s="20"/>
      <c r="I33" s="20"/>
      <c r="J33" s="20"/>
      <c r="K33" s="26"/>
      <c r="L33" s="142" t="s">
        <v>121</v>
      </c>
      <c r="M33" s="26"/>
      <c r="N33" s="26"/>
      <c r="O33" s="20"/>
      <c r="P33" s="20"/>
      <c r="Q33" s="20"/>
      <c r="R33" s="20"/>
      <c r="S33" s="148"/>
      <c r="T33" s="148"/>
      <c r="U33" s="148">
        <v>170</v>
      </c>
      <c r="V33" s="142" t="s">
        <v>121</v>
      </c>
      <c r="W33" s="26"/>
      <c r="X33" s="20"/>
      <c r="Y33" s="20"/>
      <c r="Z33" s="20"/>
      <c r="AA33" s="20"/>
      <c r="AB33" s="20"/>
      <c r="AC33" s="148"/>
      <c r="AD33" s="150">
        <v>169</v>
      </c>
      <c r="AE33" s="150">
        <v>179</v>
      </c>
      <c r="AF33" s="142" t="s">
        <v>121</v>
      </c>
      <c r="AG33" s="26"/>
      <c r="AH33" s="20"/>
      <c r="AI33" s="20"/>
      <c r="AJ33" s="20"/>
      <c r="AK33" s="20"/>
      <c r="AL33" s="20"/>
      <c r="AM33" s="150">
        <v>170</v>
      </c>
      <c r="AN33" s="150">
        <v>179</v>
      </c>
      <c r="AO33" s="149">
        <v>188</v>
      </c>
      <c r="AP33" s="142" t="s">
        <v>121</v>
      </c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</row>
    <row r="34" spans="1:52" ht="9.75" customHeight="1" x14ac:dyDescent="0.25">
      <c r="A34" s="142" t="s">
        <v>21</v>
      </c>
      <c r="B34" s="142" t="s">
        <v>123</v>
      </c>
      <c r="C34" s="143"/>
      <c r="D34" s="39"/>
      <c r="E34" s="39"/>
      <c r="F34" s="39"/>
      <c r="G34" s="39"/>
      <c r="H34" s="39"/>
      <c r="I34" s="39"/>
      <c r="J34" s="143"/>
      <c r="K34" s="151">
        <v>165</v>
      </c>
      <c r="L34" s="142" t="s">
        <v>21</v>
      </c>
      <c r="M34" s="143"/>
      <c r="N34" s="143"/>
      <c r="O34" s="39"/>
      <c r="P34" s="39"/>
      <c r="Q34" s="39"/>
      <c r="R34" s="39"/>
      <c r="S34" s="144"/>
      <c r="T34" s="144">
        <v>166</v>
      </c>
      <c r="U34" s="151">
        <v>174</v>
      </c>
      <c r="V34" s="142" t="s">
        <v>21</v>
      </c>
      <c r="W34" s="143"/>
      <c r="X34" s="39"/>
      <c r="Y34" s="39"/>
      <c r="Z34" s="39"/>
      <c r="AA34" s="39"/>
      <c r="AB34" s="39"/>
      <c r="AC34" s="151">
        <v>166</v>
      </c>
      <c r="AD34" s="151">
        <v>174</v>
      </c>
      <c r="AE34" s="151">
        <v>184</v>
      </c>
      <c r="AF34" s="142" t="s">
        <v>21</v>
      </c>
      <c r="AG34" s="143"/>
      <c r="AH34" s="39"/>
      <c r="AI34" s="39"/>
      <c r="AJ34" s="39"/>
      <c r="AK34" s="39"/>
      <c r="AL34" s="151">
        <v>166</v>
      </c>
      <c r="AM34" s="151">
        <v>175</v>
      </c>
      <c r="AN34" s="151">
        <v>184</v>
      </c>
      <c r="AO34" s="145">
        <v>193</v>
      </c>
      <c r="AP34" s="142" t="s">
        <v>21</v>
      </c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</row>
    <row r="35" spans="1:52" ht="9.75" customHeight="1" x14ac:dyDescent="0.25">
      <c r="A35" s="142" t="s">
        <v>23</v>
      </c>
      <c r="B35" s="142" t="s">
        <v>124</v>
      </c>
      <c r="C35" s="26"/>
      <c r="D35" s="20"/>
      <c r="E35" s="20"/>
      <c r="F35" s="20"/>
      <c r="G35" s="20"/>
      <c r="H35" s="20"/>
      <c r="I35" s="26"/>
      <c r="J35" s="150">
        <v>163</v>
      </c>
      <c r="K35" s="150">
        <v>169</v>
      </c>
      <c r="L35" s="142" t="s">
        <v>23</v>
      </c>
      <c r="M35" s="26"/>
      <c r="N35" s="26"/>
      <c r="O35" s="20"/>
      <c r="P35" s="20"/>
      <c r="Q35" s="20"/>
      <c r="R35" s="20"/>
      <c r="S35" s="148">
        <v>162</v>
      </c>
      <c r="T35" s="150">
        <v>170</v>
      </c>
      <c r="U35" s="150">
        <v>178</v>
      </c>
      <c r="V35" s="142" t="s">
        <v>23</v>
      </c>
      <c r="W35" s="26"/>
      <c r="X35" s="20"/>
      <c r="Y35" s="20"/>
      <c r="Z35" s="20"/>
      <c r="AA35" s="20"/>
      <c r="AB35" s="26">
        <v>162</v>
      </c>
      <c r="AC35" s="150">
        <v>170</v>
      </c>
      <c r="AD35" s="150">
        <v>178</v>
      </c>
      <c r="AE35" s="150">
        <v>188</v>
      </c>
      <c r="AF35" s="142" t="s">
        <v>23</v>
      </c>
      <c r="AG35" s="26"/>
      <c r="AH35" s="20"/>
      <c r="AI35" s="20"/>
      <c r="AJ35" s="20"/>
      <c r="AK35" s="26">
        <v>162</v>
      </c>
      <c r="AL35" s="150">
        <v>170</v>
      </c>
      <c r="AM35" s="150">
        <v>179</v>
      </c>
      <c r="AN35" s="150">
        <v>188</v>
      </c>
      <c r="AO35" s="149">
        <v>198</v>
      </c>
      <c r="AP35" s="142" t="s">
        <v>23</v>
      </c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</row>
    <row r="36" spans="1:52" ht="9.75" customHeight="1" x14ac:dyDescent="0.25">
      <c r="A36" s="142" t="s">
        <v>24</v>
      </c>
      <c r="B36" s="142" t="s">
        <v>125</v>
      </c>
      <c r="C36" s="143"/>
      <c r="D36" s="39"/>
      <c r="E36" s="39"/>
      <c r="F36" s="39"/>
      <c r="G36" s="39"/>
      <c r="H36" s="143"/>
      <c r="I36" s="151">
        <v>160</v>
      </c>
      <c r="J36" s="151">
        <v>168</v>
      </c>
      <c r="K36" s="151">
        <v>174</v>
      </c>
      <c r="L36" s="142" t="s">
        <v>24</v>
      </c>
      <c r="M36" s="143"/>
      <c r="N36" s="143"/>
      <c r="O36" s="39"/>
      <c r="P36" s="39"/>
      <c r="Q36" s="39"/>
      <c r="R36" s="39">
        <v>160</v>
      </c>
      <c r="S36" s="151">
        <v>167</v>
      </c>
      <c r="T36" s="151">
        <v>175</v>
      </c>
      <c r="U36" s="151">
        <v>183</v>
      </c>
      <c r="V36" s="142" t="s">
        <v>24</v>
      </c>
      <c r="W36" s="143"/>
      <c r="X36" s="39"/>
      <c r="Y36" s="39"/>
      <c r="Z36" s="39"/>
      <c r="AA36" s="143">
        <v>160</v>
      </c>
      <c r="AB36" s="143">
        <v>167</v>
      </c>
      <c r="AC36" s="151">
        <v>175</v>
      </c>
      <c r="AD36" s="151">
        <v>183</v>
      </c>
      <c r="AE36" s="151">
        <v>194</v>
      </c>
      <c r="AF36" s="142" t="s">
        <v>24</v>
      </c>
      <c r="AG36" s="143"/>
      <c r="AH36" s="39"/>
      <c r="AI36" s="39"/>
      <c r="AJ36" s="143">
        <v>160</v>
      </c>
      <c r="AK36" s="143">
        <v>167</v>
      </c>
      <c r="AL36" s="151">
        <v>175</v>
      </c>
      <c r="AM36" s="151">
        <v>184</v>
      </c>
      <c r="AN36" s="151">
        <v>194</v>
      </c>
      <c r="AO36" s="145">
        <v>204</v>
      </c>
      <c r="AP36" s="142" t="s">
        <v>24</v>
      </c>
      <c r="AQ36" s="146"/>
      <c r="AR36" s="146"/>
      <c r="AS36" s="146"/>
      <c r="AT36" s="146"/>
      <c r="AU36" s="146"/>
      <c r="AV36" s="146"/>
      <c r="AW36" s="146"/>
      <c r="AX36" s="146"/>
      <c r="AY36" s="146"/>
      <c r="AZ36" s="146"/>
    </row>
    <row r="37" spans="1:52" ht="9.75" customHeight="1" x14ac:dyDescent="0.25">
      <c r="A37" s="142" t="s">
        <v>26</v>
      </c>
      <c r="B37" s="142" t="s">
        <v>126</v>
      </c>
      <c r="C37" s="26"/>
      <c r="D37" s="20"/>
      <c r="E37" s="20"/>
      <c r="F37" s="20"/>
      <c r="G37" s="26"/>
      <c r="H37" s="26">
        <v>156</v>
      </c>
      <c r="I37" s="150">
        <v>164</v>
      </c>
      <c r="J37" s="150">
        <v>172</v>
      </c>
      <c r="K37" s="150">
        <v>179</v>
      </c>
      <c r="L37" s="142" t="s">
        <v>26</v>
      </c>
      <c r="M37" s="26"/>
      <c r="N37" s="26"/>
      <c r="O37" s="20"/>
      <c r="P37" s="20"/>
      <c r="Q37" s="20">
        <v>157</v>
      </c>
      <c r="R37" s="26">
        <v>164</v>
      </c>
      <c r="S37" s="150">
        <v>172</v>
      </c>
      <c r="T37" s="150">
        <v>180</v>
      </c>
      <c r="U37" s="150">
        <v>189</v>
      </c>
      <c r="V37" s="142" t="s">
        <v>26</v>
      </c>
      <c r="W37" s="26"/>
      <c r="X37" s="20"/>
      <c r="Y37" s="20"/>
      <c r="Z37" s="26">
        <v>157</v>
      </c>
      <c r="AA37" s="26">
        <v>164</v>
      </c>
      <c r="AB37" s="26">
        <v>172</v>
      </c>
      <c r="AC37" s="150">
        <v>180</v>
      </c>
      <c r="AD37" s="150">
        <v>189</v>
      </c>
      <c r="AE37" s="150">
        <v>199</v>
      </c>
      <c r="AF37" s="142" t="s">
        <v>26</v>
      </c>
      <c r="AG37" s="26"/>
      <c r="AH37" s="20"/>
      <c r="AI37" s="26">
        <v>157</v>
      </c>
      <c r="AJ37" s="26">
        <v>164</v>
      </c>
      <c r="AK37" s="26">
        <v>172</v>
      </c>
      <c r="AL37" s="150">
        <v>180</v>
      </c>
      <c r="AM37" s="150">
        <v>189</v>
      </c>
      <c r="AN37" s="150">
        <v>199</v>
      </c>
      <c r="AO37" s="149">
        <v>210</v>
      </c>
      <c r="AP37" s="142" t="s">
        <v>26</v>
      </c>
      <c r="AQ37" s="146"/>
      <c r="AR37" s="146"/>
      <c r="AS37" s="146"/>
      <c r="AT37" s="146"/>
      <c r="AU37" s="146"/>
      <c r="AV37" s="146"/>
      <c r="AW37" s="146"/>
      <c r="AX37" s="146"/>
      <c r="AY37" s="146"/>
      <c r="AZ37" s="146"/>
    </row>
    <row r="38" spans="1:52" ht="9.75" customHeight="1" x14ac:dyDescent="0.25">
      <c r="A38" s="142" t="s">
        <v>28</v>
      </c>
      <c r="B38" s="142" t="s">
        <v>127</v>
      </c>
      <c r="C38" s="143"/>
      <c r="D38" s="39"/>
      <c r="E38" s="39"/>
      <c r="F38" s="143"/>
      <c r="G38" s="143">
        <v>155</v>
      </c>
      <c r="H38" s="143">
        <v>161</v>
      </c>
      <c r="I38" s="151">
        <v>169</v>
      </c>
      <c r="J38" s="151">
        <v>178</v>
      </c>
      <c r="K38" s="151">
        <v>184</v>
      </c>
      <c r="L38" s="142" t="s">
        <v>28</v>
      </c>
      <c r="M38" s="143"/>
      <c r="N38" s="143"/>
      <c r="O38" s="39"/>
      <c r="P38" s="39">
        <v>155</v>
      </c>
      <c r="Q38" s="143">
        <v>162</v>
      </c>
      <c r="R38" s="143">
        <v>169</v>
      </c>
      <c r="S38" s="151">
        <v>177</v>
      </c>
      <c r="T38" s="151">
        <v>185</v>
      </c>
      <c r="U38" s="151">
        <v>194</v>
      </c>
      <c r="V38" s="142" t="s">
        <v>28</v>
      </c>
      <c r="W38" s="143"/>
      <c r="X38" s="39"/>
      <c r="Y38" s="143">
        <v>155</v>
      </c>
      <c r="Z38" s="143">
        <v>162</v>
      </c>
      <c r="AA38" s="143">
        <v>169</v>
      </c>
      <c r="AB38" s="143">
        <v>177</v>
      </c>
      <c r="AC38" s="151">
        <v>185</v>
      </c>
      <c r="AD38" s="151">
        <v>194</v>
      </c>
      <c r="AE38" s="151">
        <v>205</v>
      </c>
      <c r="AF38" s="142" t="s">
        <v>28</v>
      </c>
      <c r="AG38" s="143"/>
      <c r="AH38" s="143">
        <v>155</v>
      </c>
      <c r="AI38" s="143">
        <v>162</v>
      </c>
      <c r="AJ38" s="143">
        <v>169</v>
      </c>
      <c r="AK38" s="143">
        <v>177</v>
      </c>
      <c r="AL38" s="151">
        <v>185</v>
      </c>
      <c r="AM38" s="151">
        <v>195</v>
      </c>
      <c r="AN38" s="151">
        <v>205</v>
      </c>
      <c r="AO38" s="145">
        <v>216</v>
      </c>
      <c r="AP38" s="142" t="s">
        <v>28</v>
      </c>
      <c r="AQ38" s="146"/>
      <c r="AR38" s="146"/>
      <c r="AS38" s="146"/>
      <c r="AT38" s="146"/>
      <c r="AU38" s="146"/>
      <c r="AV38" s="146"/>
      <c r="AW38" s="146"/>
      <c r="AX38" s="146"/>
      <c r="AY38" s="146"/>
      <c r="AZ38" s="146"/>
    </row>
    <row r="39" spans="1:52" ht="9.75" customHeight="1" x14ac:dyDescent="0.25">
      <c r="A39" s="142" t="s">
        <v>30</v>
      </c>
      <c r="B39" s="142" t="s">
        <v>128</v>
      </c>
      <c r="C39" s="26"/>
      <c r="D39" s="20"/>
      <c r="E39" s="26"/>
      <c r="F39" s="26">
        <v>154</v>
      </c>
      <c r="G39" s="26">
        <v>160</v>
      </c>
      <c r="H39" s="26">
        <v>166</v>
      </c>
      <c r="I39" s="150">
        <v>174</v>
      </c>
      <c r="J39" s="150">
        <v>183</v>
      </c>
      <c r="K39" s="150">
        <v>190</v>
      </c>
      <c r="L39" s="142" t="s">
        <v>30</v>
      </c>
      <c r="M39" s="26"/>
      <c r="N39" s="26"/>
      <c r="O39" s="20">
        <v>154</v>
      </c>
      <c r="P39" s="26">
        <v>160</v>
      </c>
      <c r="Q39" s="26">
        <v>167</v>
      </c>
      <c r="R39" s="26">
        <v>174</v>
      </c>
      <c r="S39" s="150">
        <v>182</v>
      </c>
      <c r="T39" s="150">
        <v>191</v>
      </c>
      <c r="U39" s="150">
        <v>200</v>
      </c>
      <c r="V39" s="142" t="s">
        <v>30</v>
      </c>
      <c r="W39" s="26"/>
      <c r="X39" s="26">
        <v>154</v>
      </c>
      <c r="Y39" s="26">
        <v>160</v>
      </c>
      <c r="Z39" s="26">
        <v>167</v>
      </c>
      <c r="AA39" s="26">
        <v>174</v>
      </c>
      <c r="AB39" s="26">
        <v>182</v>
      </c>
      <c r="AC39" s="150">
        <v>191</v>
      </c>
      <c r="AD39" s="150">
        <v>200</v>
      </c>
      <c r="AE39" s="150">
        <v>211</v>
      </c>
      <c r="AF39" s="142" t="s">
        <v>30</v>
      </c>
      <c r="AG39" s="26">
        <v>154</v>
      </c>
      <c r="AH39" s="26">
        <v>160</v>
      </c>
      <c r="AI39" s="26">
        <v>167</v>
      </c>
      <c r="AJ39" s="26">
        <v>174</v>
      </c>
      <c r="AK39" s="26">
        <v>182</v>
      </c>
      <c r="AL39" s="150">
        <v>191</v>
      </c>
      <c r="AM39" s="150">
        <v>201</v>
      </c>
      <c r="AN39" s="150">
        <v>211</v>
      </c>
      <c r="AO39" s="149">
        <v>222</v>
      </c>
      <c r="AP39" s="142" t="s">
        <v>30</v>
      </c>
      <c r="AQ39" s="146"/>
      <c r="AR39" s="146"/>
      <c r="AS39" s="146"/>
      <c r="AT39" s="146"/>
      <c r="AU39" s="146"/>
      <c r="AV39" s="146"/>
      <c r="AW39" s="146"/>
      <c r="AX39" s="146"/>
      <c r="AY39" s="146"/>
      <c r="AZ39" s="146"/>
    </row>
    <row r="40" spans="1:52" ht="9.75" customHeight="1" x14ac:dyDescent="0.25">
      <c r="A40" s="142" t="s">
        <v>32</v>
      </c>
      <c r="B40" s="142" t="s">
        <v>129</v>
      </c>
      <c r="C40" s="143"/>
      <c r="D40" s="143"/>
      <c r="E40" s="143">
        <v>152</v>
      </c>
      <c r="F40" s="143">
        <v>159</v>
      </c>
      <c r="G40" s="143">
        <v>165</v>
      </c>
      <c r="H40" s="143">
        <v>171</v>
      </c>
      <c r="I40" s="151">
        <v>180</v>
      </c>
      <c r="J40" s="151">
        <v>189</v>
      </c>
      <c r="K40" s="151">
        <v>196</v>
      </c>
      <c r="L40" s="142" t="s">
        <v>32</v>
      </c>
      <c r="M40" s="143"/>
      <c r="N40" s="143">
        <v>152</v>
      </c>
      <c r="O40" s="143">
        <v>159</v>
      </c>
      <c r="P40" s="143">
        <v>165</v>
      </c>
      <c r="Q40" s="143">
        <v>172</v>
      </c>
      <c r="R40" s="143">
        <v>180</v>
      </c>
      <c r="S40" s="151">
        <v>188</v>
      </c>
      <c r="T40" s="151">
        <v>196</v>
      </c>
      <c r="U40" s="151">
        <v>206</v>
      </c>
      <c r="V40" s="142" t="s">
        <v>32</v>
      </c>
      <c r="W40" s="143">
        <v>152</v>
      </c>
      <c r="X40" s="143">
        <v>159</v>
      </c>
      <c r="Y40" s="143">
        <v>165</v>
      </c>
      <c r="Z40" s="143">
        <v>172</v>
      </c>
      <c r="AA40" s="143">
        <v>180</v>
      </c>
      <c r="AB40" s="143">
        <v>188</v>
      </c>
      <c r="AC40" s="151">
        <v>196</v>
      </c>
      <c r="AD40" s="144">
        <v>206</v>
      </c>
      <c r="AE40" s="144">
        <v>218</v>
      </c>
      <c r="AF40" s="142" t="s">
        <v>32</v>
      </c>
      <c r="AG40" s="143">
        <v>159</v>
      </c>
      <c r="AH40" s="143">
        <v>165</v>
      </c>
      <c r="AI40" s="143">
        <v>172</v>
      </c>
      <c r="AJ40" s="143">
        <v>180</v>
      </c>
      <c r="AK40" s="143">
        <v>188</v>
      </c>
      <c r="AL40" s="151">
        <v>196</v>
      </c>
      <c r="AM40" s="144">
        <v>207</v>
      </c>
      <c r="AN40" s="144">
        <v>218</v>
      </c>
      <c r="AO40" s="145">
        <v>229</v>
      </c>
      <c r="AP40" s="142" t="s">
        <v>32</v>
      </c>
      <c r="AQ40" s="146"/>
      <c r="AR40" s="146"/>
      <c r="AS40" s="146"/>
      <c r="AT40" s="146"/>
      <c r="AU40" s="146"/>
      <c r="AV40" s="146"/>
      <c r="AW40" s="146"/>
      <c r="AX40" s="146"/>
      <c r="AY40" s="146"/>
      <c r="AZ40" s="146"/>
    </row>
    <row r="41" spans="1:52" ht="9.75" customHeight="1" x14ac:dyDescent="0.25">
      <c r="A41" s="142" t="s">
        <v>33</v>
      </c>
      <c r="B41" s="142" t="s">
        <v>130</v>
      </c>
      <c r="C41" s="26"/>
      <c r="D41" s="26">
        <v>152</v>
      </c>
      <c r="E41" s="26">
        <v>157</v>
      </c>
      <c r="F41" s="26">
        <v>164</v>
      </c>
      <c r="G41" s="26">
        <v>170</v>
      </c>
      <c r="H41" s="26">
        <v>176</v>
      </c>
      <c r="I41" s="150">
        <v>185</v>
      </c>
      <c r="J41" s="150">
        <v>195</v>
      </c>
      <c r="K41" s="150">
        <v>202</v>
      </c>
      <c r="L41" s="142" t="s">
        <v>33</v>
      </c>
      <c r="M41" s="26">
        <v>152</v>
      </c>
      <c r="N41" s="26">
        <v>157</v>
      </c>
      <c r="O41" s="26">
        <v>164</v>
      </c>
      <c r="P41" s="26">
        <v>170</v>
      </c>
      <c r="Q41" s="26">
        <v>177</v>
      </c>
      <c r="R41" s="26">
        <v>185</v>
      </c>
      <c r="S41" s="150">
        <v>194</v>
      </c>
      <c r="T41" s="150">
        <v>203</v>
      </c>
      <c r="U41" s="150">
        <v>213</v>
      </c>
      <c r="V41" s="142" t="s">
        <v>33</v>
      </c>
      <c r="W41" s="26">
        <v>157</v>
      </c>
      <c r="X41" s="26">
        <v>164</v>
      </c>
      <c r="Y41" s="26">
        <v>170</v>
      </c>
      <c r="Z41" s="26">
        <v>177</v>
      </c>
      <c r="AA41" s="26">
        <v>185</v>
      </c>
      <c r="AB41" s="26">
        <v>194</v>
      </c>
      <c r="AC41" s="150">
        <v>203</v>
      </c>
      <c r="AD41" s="148">
        <v>213</v>
      </c>
      <c r="AE41" s="148">
        <v>225</v>
      </c>
      <c r="AF41" s="142" t="s">
        <v>33</v>
      </c>
      <c r="AG41" s="26">
        <v>164</v>
      </c>
      <c r="AH41" s="26">
        <v>170</v>
      </c>
      <c r="AI41" s="26">
        <v>177</v>
      </c>
      <c r="AJ41" s="26">
        <v>185</v>
      </c>
      <c r="AK41" s="26">
        <v>194</v>
      </c>
      <c r="AL41" s="150">
        <v>203</v>
      </c>
      <c r="AM41" s="148">
        <v>214</v>
      </c>
      <c r="AN41" s="148">
        <v>225</v>
      </c>
      <c r="AO41" s="147"/>
      <c r="AP41" s="142" t="s">
        <v>33</v>
      </c>
      <c r="AQ41" s="146"/>
      <c r="AR41" s="146"/>
      <c r="AS41" s="146"/>
      <c r="AT41" s="146"/>
      <c r="AU41" s="146"/>
      <c r="AV41" s="146"/>
      <c r="AW41" s="146"/>
      <c r="AX41" s="146"/>
      <c r="AY41" s="146"/>
      <c r="AZ41" s="146"/>
    </row>
    <row r="42" spans="1:52" ht="9.75" customHeight="1" x14ac:dyDescent="0.25">
      <c r="A42" s="142" t="s">
        <v>34</v>
      </c>
      <c r="B42" s="142" t="s">
        <v>131</v>
      </c>
      <c r="C42" s="143">
        <v>151</v>
      </c>
      <c r="D42" s="143">
        <v>157</v>
      </c>
      <c r="E42" s="143">
        <v>163</v>
      </c>
      <c r="F42" s="143">
        <v>169</v>
      </c>
      <c r="G42" s="143">
        <v>176</v>
      </c>
      <c r="H42" s="143">
        <v>182</v>
      </c>
      <c r="I42" s="151">
        <v>192</v>
      </c>
      <c r="J42" s="144">
        <v>201</v>
      </c>
      <c r="K42" s="144">
        <v>208</v>
      </c>
      <c r="L42" s="142" t="s">
        <v>34</v>
      </c>
      <c r="M42" s="143">
        <v>157</v>
      </c>
      <c r="N42" s="143">
        <v>163</v>
      </c>
      <c r="O42" s="143">
        <v>169</v>
      </c>
      <c r="P42" s="143">
        <v>176</v>
      </c>
      <c r="Q42" s="143">
        <v>183</v>
      </c>
      <c r="R42" s="143">
        <v>192</v>
      </c>
      <c r="S42" s="151">
        <v>200</v>
      </c>
      <c r="T42" s="144">
        <v>209</v>
      </c>
      <c r="U42" s="144">
        <v>220</v>
      </c>
      <c r="V42" s="142" t="s">
        <v>34</v>
      </c>
      <c r="W42" s="143">
        <v>163</v>
      </c>
      <c r="X42" s="143">
        <v>169</v>
      </c>
      <c r="Y42" s="143">
        <v>176</v>
      </c>
      <c r="Z42" s="143">
        <v>183</v>
      </c>
      <c r="AA42" s="143">
        <v>192</v>
      </c>
      <c r="AB42" s="39">
        <v>200</v>
      </c>
      <c r="AC42" s="144">
        <v>209</v>
      </c>
      <c r="AD42" s="144">
        <v>220</v>
      </c>
      <c r="AE42" s="144"/>
      <c r="AF42" s="142" t="s">
        <v>34</v>
      </c>
      <c r="AG42" s="143">
        <v>169</v>
      </c>
      <c r="AH42" s="143">
        <v>176</v>
      </c>
      <c r="AI42" s="143">
        <v>183</v>
      </c>
      <c r="AJ42" s="143">
        <v>192</v>
      </c>
      <c r="AK42" s="39">
        <v>200</v>
      </c>
      <c r="AL42" s="144">
        <v>209</v>
      </c>
      <c r="AM42" s="144">
        <v>221</v>
      </c>
      <c r="AN42" s="145"/>
      <c r="AO42" s="141"/>
      <c r="AP42" s="142" t="s">
        <v>34</v>
      </c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</row>
    <row r="43" spans="1:52" ht="9.75" customHeight="1" x14ac:dyDescent="0.25">
      <c r="A43" s="142" t="s">
        <v>35</v>
      </c>
      <c r="B43" s="142" t="s">
        <v>22</v>
      </c>
      <c r="C43" s="26">
        <v>156</v>
      </c>
      <c r="D43" s="26">
        <v>162</v>
      </c>
      <c r="E43" s="26">
        <v>168</v>
      </c>
      <c r="F43" s="26">
        <v>175</v>
      </c>
      <c r="G43" s="26">
        <v>182</v>
      </c>
      <c r="H43" s="26">
        <v>188</v>
      </c>
      <c r="I43" s="150">
        <v>198</v>
      </c>
      <c r="J43" s="148">
        <v>208</v>
      </c>
      <c r="K43" s="148">
        <v>215</v>
      </c>
      <c r="L43" s="142" t="s">
        <v>35</v>
      </c>
      <c r="M43" s="26">
        <v>162</v>
      </c>
      <c r="N43" s="26">
        <v>168</v>
      </c>
      <c r="O43" s="26">
        <v>175</v>
      </c>
      <c r="P43" s="26">
        <v>182</v>
      </c>
      <c r="Q43" s="26">
        <v>189</v>
      </c>
      <c r="R43" s="26">
        <v>198</v>
      </c>
      <c r="S43" s="150">
        <v>207</v>
      </c>
      <c r="T43" s="148">
        <v>216</v>
      </c>
      <c r="U43" s="148"/>
      <c r="V43" s="142" t="s">
        <v>35</v>
      </c>
      <c r="W43" s="26">
        <v>168</v>
      </c>
      <c r="X43" s="26">
        <v>175</v>
      </c>
      <c r="Y43" s="26">
        <v>182</v>
      </c>
      <c r="Z43" s="26">
        <v>189</v>
      </c>
      <c r="AA43" s="26">
        <v>198</v>
      </c>
      <c r="AB43" s="20">
        <v>207</v>
      </c>
      <c r="AC43" s="148">
        <v>216</v>
      </c>
      <c r="AD43" s="148"/>
      <c r="AE43" s="149"/>
      <c r="AF43" s="142" t="s">
        <v>35</v>
      </c>
      <c r="AG43" s="26">
        <v>175</v>
      </c>
      <c r="AH43" s="26">
        <v>182</v>
      </c>
      <c r="AI43" s="26">
        <v>189</v>
      </c>
      <c r="AJ43" s="26">
        <v>198</v>
      </c>
      <c r="AK43" s="20">
        <v>207</v>
      </c>
      <c r="AL43" s="148">
        <v>216</v>
      </c>
      <c r="AM43" s="147"/>
      <c r="AN43" s="20"/>
      <c r="AO43" s="147"/>
      <c r="AP43" s="142" t="s">
        <v>35</v>
      </c>
      <c r="AQ43" s="146"/>
      <c r="AR43" s="146"/>
      <c r="AS43" s="146"/>
      <c r="AT43" s="146"/>
      <c r="AU43" s="146"/>
      <c r="AV43" s="146"/>
      <c r="AW43" s="146"/>
      <c r="AX43" s="146"/>
      <c r="AY43" s="146"/>
      <c r="AZ43" s="146"/>
    </row>
    <row r="44" spans="1:52" ht="9.75" customHeight="1" x14ac:dyDescent="0.25">
      <c r="A44" s="142" t="s">
        <v>36</v>
      </c>
      <c r="B44" s="142" t="s">
        <v>25</v>
      </c>
      <c r="C44" s="143">
        <v>162</v>
      </c>
      <c r="D44" s="143">
        <v>168</v>
      </c>
      <c r="E44" s="143">
        <v>174</v>
      </c>
      <c r="F44" s="143">
        <v>181</v>
      </c>
      <c r="G44" s="143">
        <v>188</v>
      </c>
      <c r="H44" s="39">
        <v>195</v>
      </c>
      <c r="I44" s="144">
        <v>205</v>
      </c>
      <c r="J44" s="144">
        <v>215</v>
      </c>
      <c r="K44" s="141"/>
      <c r="L44" s="142" t="s">
        <v>36</v>
      </c>
      <c r="M44" s="143">
        <v>168</v>
      </c>
      <c r="N44" s="143">
        <v>174</v>
      </c>
      <c r="O44" s="143">
        <v>181</v>
      </c>
      <c r="P44" s="143">
        <v>188</v>
      </c>
      <c r="Q44" s="143">
        <v>196</v>
      </c>
      <c r="R44" s="39">
        <v>205</v>
      </c>
      <c r="S44" s="144">
        <v>214</v>
      </c>
      <c r="T44" s="144"/>
      <c r="U44" s="144"/>
      <c r="V44" s="142" t="s">
        <v>36</v>
      </c>
      <c r="W44" s="143">
        <v>174</v>
      </c>
      <c r="X44" s="143">
        <v>181</v>
      </c>
      <c r="Y44" s="143">
        <v>188</v>
      </c>
      <c r="Z44" s="39">
        <v>196</v>
      </c>
      <c r="AA44" s="39">
        <v>205</v>
      </c>
      <c r="AB44" s="39">
        <v>214</v>
      </c>
      <c r="AC44" s="39"/>
      <c r="AD44" s="144"/>
      <c r="AE44" s="141"/>
      <c r="AF44" s="142" t="s">
        <v>36</v>
      </c>
      <c r="AG44" s="143">
        <v>181</v>
      </c>
      <c r="AH44" s="143">
        <v>188</v>
      </c>
      <c r="AI44" s="39">
        <v>196</v>
      </c>
      <c r="AJ44" s="39">
        <v>205</v>
      </c>
      <c r="AK44" s="39">
        <v>214</v>
      </c>
      <c r="AL44" s="141"/>
      <c r="AM44" s="39"/>
      <c r="AN44" s="39"/>
      <c r="AO44" s="141"/>
      <c r="AP44" s="142" t="s">
        <v>36</v>
      </c>
      <c r="AQ44" s="146"/>
      <c r="AR44" s="146"/>
      <c r="AS44" s="146"/>
      <c r="AT44" s="146"/>
      <c r="AU44" s="146"/>
      <c r="AV44" s="146"/>
      <c r="AW44" s="146"/>
      <c r="AX44" s="146"/>
      <c r="AY44" s="146"/>
      <c r="AZ44" s="146"/>
    </row>
    <row r="45" spans="1:52" ht="9.75" customHeight="1" x14ac:dyDescent="0.25">
      <c r="A45" s="140" t="s">
        <v>38</v>
      </c>
      <c r="B45" s="142" t="s">
        <v>27</v>
      </c>
      <c r="C45" s="26">
        <v>168</v>
      </c>
      <c r="D45" s="26">
        <v>174</v>
      </c>
      <c r="E45" s="26">
        <v>180</v>
      </c>
      <c r="F45" s="26">
        <v>188</v>
      </c>
      <c r="G45" s="26">
        <v>195</v>
      </c>
      <c r="H45" s="20">
        <v>202</v>
      </c>
      <c r="I45" s="148">
        <v>212</v>
      </c>
      <c r="J45" s="20"/>
      <c r="K45" s="147"/>
      <c r="L45" s="140" t="s">
        <v>38</v>
      </c>
      <c r="M45" s="26">
        <v>174</v>
      </c>
      <c r="N45" s="26">
        <v>180</v>
      </c>
      <c r="O45" s="26">
        <v>188</v>
      </c>
      <c r="P45" s="26">
        <v>195</v>
      </c>
      <c r="Q45" s="26">
        <v>203</v>
      </c>
      <c r="R45" s="20">
        <v>212</v>
      </c>
      <c r="S45" s="148"/>
      <c r="T45" s="149"/>
      <c r="U45" s="148"/>
      <c r="V45" s="140" t="s">
        <v>38</v>
      </c>
      <c r="W45" s="26">
        <v>180</v>
      </c>
      <c r="X45" s="26">
        <v>188</v>
      </c>
      <c r="Y45" s="26">
        <v>195</v>
      </c>
      <c r="Z45" s="20">
        <v>203</v>
      </c>
      <c r="AA45" s="20">
        <v>212</v>
      </c>
      <c r="AB45" s="20"/>
      <c r="AC45" s="20"/>
      <c r="AD45" s="20"/>
      <c r="AE45" s="147"/>
      <c r="AF45" s="140" t="s">
        <v>38</v>
      </c>
      <c r="AG45" s="26">
        <v>188</v>
      </c>
      <c r="AH45" s="26">
        <v>195</v>
      </c>
      <c r="AI45" s="20">
        <v>203</v>
      </c>
      <c r="AJ45" s="20">
        <v>212</v>
      </c>
      <c r="AK45" s="147"/>
      <c r="AL45" s="20"/>
      <c r="AM45" s="20"/>
      <c r="AN45" s="20"/>
      <c r="AO45" s="147"/>
      <c r="AP45" s="140" t="s">
        <v>38</v>
      </c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</row>
    <row r="46" spans="1:52" ht="9.75" customHeight="1" x14ac:dyDescent="0.25">
      <c r="A46" s="140" t="s">
        <v>40</v>
      </c>
      <c r="B46" s="142" t="s">
        <v>29</v>
      </c>
      <c r="C46" s="143">
        <v>174</v>
      </c>
      <c r="D46" s="143">
        <v>181</v>
      </c>
      <c r="E46" s="143">
        <v>187</v>
      </c>
      <c r="F46" s="39">
        <v>195</v>
      </c>
      <c r="G46" s="39">
        <v>202</v>
      </c>
      <c r="H46" s="39">
        <v>210</v>
      </c>
      <c r="I46" s="39"/>
      <c r="J46" s="39"/>
      <c r="K46" s="141"/>
      <c r="L46" s="140" t="s">
        <v>40</v>
      </c>
      <c r="M46" s="143">
        <v>181</v>
      </c>
      <c r="N46" s="143">
        <v>187</v>
      </c>
      <c r="O46" s="143">
        <v>195</v>
      </c>
      <c r="P46" s="39">
        <v>202</v>
      </c>
      <c r="Q46" s="39">
        <v>211</v>
      </c>
      <c r="R46" s="39"/>
      <c r="S46" s="144"/>
      <c r="T46" s="144"/>
      <c r="U46" s="144"/>
      <c r="V46" s="140" t="s">
        <v>40</v>
      </c>
      <c r="W46" s="143">
        <v>187</v>
      </c>
      <c r="X46" s="39">
        <v>195</v>
      </c>
      <c r="Y46" s="39">
        <v>202</v>
      </c>
      <c r="Z46" s="39">
        <v>211</v>
      </c>
      <c r="AA46" s="39"/>
      <c r="AB46" s="39"/>
      <c r="AC46" s="39"/>
      <c r="AD46" s="39"/>
      <c r="AE46" s="141"/>
      <c r="AF46" s="140" t="s">
        <v>40</v>
      </c>
      <c r="AG46" s="143"/>
      <c r="AH46" s="39"/>
      <c r="AI46" s="39"/>
      <c r="AJ46" s="39"/>
      <c r="AK46" s="39"/>
      <c r="AL46" s="39"/>
      <c r="AM46" s="39"/>
      <c r="AN46" s="39"/>
      <c r="AO46" s="141"/>
      <c r="AP46" s="140" t="s">
        <v>40</v>
      </c>
      <c r="AQ46" s="146"/>
      <c r="AR46" s="146"/>
      <c r="AS46" s="146"/>
      <c r="AT46" s="146"/>
      <c r="AU46" s="146"/>
      <c r="AV46" s="146"/>
      <c r="AW46" s="146"/>
      <c r="AX46" s="146"/>
      <c r="AY46" s="146"/>
      <c r="AZ46" s="146"/>
    </row>
    <row r="47" spans="1:52" ht="9.75" customHeight="1" x14ac:dyDescent="0.25">
      <c r="A47" s="140" t="s">
        <v>42</v>
      </c>
      <c r="B47" s="142" t="s">
        <v>31</v>
      </c>
      <c r="C47" s="26">
        <v>181</v>
      </c>
      <c r="D47" s="26">
        <v>188</v>
      </c>
      <c r="E47" s="26">
        <v>194</v>
      </c>
      <c r="F47" s="20">
        <v>202</v>
      </c>
      <c r="G47" s="20">
        <v>210</v>
      </c>
      <c r="H47" s="20"/>
      <c r="I47" s="20"/>
      <c r="J47" s="20"/>
      <c r="K47" s="147"/>
      <c r="L47" s="140" t="s">
        <v>42</v>
      </c>
      <c r="M47" s="26">
        <v>188</v>
      </c>
      <c r="N47" s="26">
        <v>194</v>
      </c>
      <c r="O47" s="26">
        <v>202</v>
      </c>
      <c r="P47" s="20">
        <v>210</v>
      </c>
      <c r="Q47" s="20"/>
      <c r="R47" s="147"/>
      <c r="S47" s="148"/>
      <c r="T47" s="148"/>
      <c r="U47" s="148"/>
      <c r="V47" s="140" t="s">
        <v>42</v>
      </c>
      <c r="W47" s="26"/>
      <c r="X47" s="20"/>
      <c r="Y47" s="20"/>
      <c r="Z47" s="20"/>
      <c r="AA47" s="20"/>
      <c r="AB47" s="20"/>
      <c r="AC47" s="20"/>
      <c r="AD47" s="20"/>
      <c r="AE47" s="147"/>
      <c r="AF47" s="140" t="s">
        <v>42</v>
      </c>
      <c r="AG47" s="26"/>
      <c r="AH47" s="20"/>
      <c r="AI47" s="20"/>
      <c r="AJ47" s="20"/>
      <c r="AK47" s="20"/>
      <c r="AL47" s="20"/>
      <c r="AM47" s="20"/>
      <c r="AN47" s="20"/>
      <c r="AO47" s="147"/>
      <c r="AP47" s="140" t="s">
        <v>42</v>
      </c>
      <c r="AQ47" s="146"/>
      <c r="AR47" s="146"/>
      <c r="AS47" s="146"/>
      <c r="AT47" s="146"/>
      <c r="AU47" s="146"/>
      <c r="AV47" s="146"/>
      <c r="AW47" s="146"/>
      <c r="AX47" s="146"/>
      <c r="AY47" s="146"/>
      <c r="AZ47" s="146"/>
    </row>
    <row r="48" spans="1:52" ht="9.75" customHeight="1" x14ac:dyDescent="0.25">
      <c r="A48" s="140" t="s">
        <v>132</v>
      </c>
      <c r="B48" s="142" t="s">
        <v>37</v>
      </c>
      <c r="C48" s="143">
        <v>188</v>
      </c>
      <c r="D48" s="39">
        <v>195</v>
      </c>
      <c r="E48" s="39">
        <v>203</v>
      </c>
      <c r="F48" s="39">
        <v>210</v>
      </c>
      <c r="G48" s="39"/>
      <c r="H48" s="39"/>
      <c r="I48" s="39"/>
      <c r="J48" s="39"/>
      <c r="K48" s="141"/>
      <c r="L48" s="140" t="s">
        <v>132</v>
      </c>
      <c r="M48" s="143"/>
      <c r="N48" s="143"/>
      <c r="O48" s="39"/>
      <c r="P48" s="39"/>
      <c r="Q48" s="39"/>
      <c r="R48" s="39"/>
      <c r="S48" s="144"/>
      <c r="T48" s="144"/>
      <c r="U48" s="144"/>
      <c r="V48" s="140" t="s">
        <v>132</v>
      </c>
      <c r="W48" s="143"/>
      <c r="X48" s="39"/>
      <c r="Y48" s="39"/>
      <c r="Z48" s="39"/>
      <c r="AA48" s="39"/>
      <c r="AB48" s="39"/>
      <c r="AC48" s="39"/>
      <c r="AD48" s="39"/>
      <c r="AE48" s="141"/>
      <c r="AF48" s="140" t="s">
        <v>132</v>
      </c>
      <c r="AG48" s="143"/>
      <c r="AH48" s="39"/>
      <c r="AI48" s="39"/>
      <c r="AJ48" s="39"/>
      <c r="AK48" s="39"/>
      <c r="AL48" s="39"/>
      <c r="AM48" s="39"/>
      <c r="AN48" s="39"/>
      <c r="AO48" s="141"/>
      <c r="AP48" s="140" t="s">
        <v>132</v>
      </c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</row>
    <row r="49" spans="1:52" ht="15" customHeight="1" x14ac:dyDescent="0.25">
      <c r="A49" s="152"/>
      <c r="B49" s="152"/>
      <c r="C49" s="216" t="s">
        <v>133</v>
      </c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  <c r="AH49" s="216"/>
      <c r="AI49" s="216"/>
      <c r="AJ49" s="216"/>
      <c r="AK49" s="216"/>
      <c r="AL49" s="216"/>
      <c r="AM49" s="216"/>
      <c r="AN49" s="216"/>
      <c r="AO49" s="216"/>
      <c r="AP49" s="216"/>
      <c r="AQ49" s="216"/>
      <c r="AR49" s="216"/>
      <c r="AS49" s="216"/>
      <c r="AT49" s="216"/>
      <c r="AU49" s="216"/>
      <c r="AV49" s="216"/>
      <c r="AW49" s="216"/>
      <c r="AX49" s="216"/>
      <c r="AY49" s="216"/>
      <c r="AZ49" s="216"/>
    </row>
    <row r="50" spans="1:52" x14ac:dyDescent="0.25">
      <c r="C50" s="214" t="s">
        <v>135</v>
      </c>
      <c r="D50" s="214"/>
      <c r="E50" s="214"/>
      <c r="F50" s="214"/>
      <c r="G50" s="214"/>
      <c r="H50" s="214"/>
      <c r="I50" s="214"/>
      <c r="J50" s="214"/>
      <c r="K50" s="214"/>
      <c r="M50" s="214" t="s">
        <v>135</v>
      </c>
      <c r="N50" s="214"/>
      <c r="O50" s="214"/>
      <c r="P50" s="214"/>
      <c r="Q50" s="214"/>
      <c r="R50" s="214"/>
      <c r="S50" s="214"/>
      <c r="T50" s="214"/>
      <c r="U50" s="214"/>
      <c r="W50" s="214" t="s">
        <v>135</v>
      </c>
      <c r="X50" s="214"/>
      <c r="Y50" s="214"/>
      <c r="Z50" s="214"/>
      <c r="AA50" s="214"/>
      <c r="AB50" s="214"/>
      <c r="AC50" s="214"/>
      <c r="AD50" s="214"/>
      <c r="AE50" s="214"/>
      <c r="AG50" s="214" t="s">
        <v>135</v>
      </c>
      <c r="AH50" s="214"/>
      <c r="AI50" s="214"/>
      <c r="AJ50" s="214"/>
      <c r="AK50" s="214"/>
      <c r="AL50" s="214"/>
      <c r="AM50" s="214"/>
      <c r="AN50" s="214"/>
      <c r="AO50" s="214"/>
      <c r="AQ50" s="221"/>
      <c r="AR50" s="221"/>
      <c r="AS50" s="221"/>
      <c r="AT50" s="221"/>
      <c r="AU50" s="221"/>
      <c r="AV50" s="221"/>
      <c r="AW50" s="221"/>
      <c r="AX50" s="221"/>
      <c r="AY50" s="221"/>
      <c r="AZ50" s="84"/>
    </row>
    <row r="51" spans="1:52" ht="16.5" customHeight="1" x14ac:dyDescent="0.25">
      <c r="A51" s="210" t="s">
        <v>4</v>
      </c>
      <c r="B51" s="210"/>
      <c r="C51" s="212" t="s">
        <v>108</v>
      </c>
      <c r="D51" s="212"/>
      <c r="E51" s="212"/>
      <c r="F51" s="212"/>
      <c r="G51" s="212"/>
      <c r="H51" s="212"/>
      <c r="I51" s="212"/>
      <c r="J51" s="212"/>
      <c r="K51" s="212"/>
      <c r="L51" s="33" t="s">
        <v>109</v>
      </c>
      <c r="M51" s="213" t="s">
        <v>110</v>
      </c>
      <c r="N51" s="213"/>
      <c r="O51" s="213"/>
      <c r="P51" s="213"/>
      <c r="Q51" s="213"/>
      <c r="R51" s="213"/>
      <c r="S51" s="213"/>
      <c r="T51" s="213"/>
      <c r="U51" s="213"/>
      <c r="V51" s="33" t="s">
        <v>109</v>
      </c>
      <c r="W51" s="213" t="s">
        <v>111</v>
      </c>
      <c r="X51" s="213"/>
      <c r="Y51" s="213"/>
      <c r="Z51" s="213"/>
      <c r="AA51" s="213"/>
      <c r="AB51" s="213"/>
      <c r="AC51" s="213"/>
      <c r="AD51" s="213"/>
      <c r="AE51" s="213"/>
      <c r="AF51" s="33" t="s">
        <v>109</v>
      </c>
      <c r="AG51" s="213" t="s">
        <v>112</v>
      </c>
      <c r="AH51" s="213"/>
      <c r="AI51" s="213"/>
      <c r="AJ51" s="213"/>
      <c r="AK51" s="213"/>
      <c r="AL51" s="213"/>
      <c r="AM51" s="213"/>
      <c r="AN51" s="213"/>
      <c r="AO51" s="213"/>
      <c r="AP51" s="33" t="s">
        <v>109</v>
      </c>
      <c r="AQ51" s="220"/>
      <c r="AR51" s="220"/>
      <c r="AS51" s="220"/>
      <c r="AT51" s="220"/>
      <c r="AU51" s="220"/>
      <c r="AV51" s="220"/>
      <c r="AW51" s="220"/>
      <c r="AX51" s="220"/>
      <c r="AY51" s="220"/>
      <c r="AZ51" s="84"/>
    </row>
    <row r="52" spans="1:52" ht="9.75" customHeight="1" x14ac:dyDescent="0.25">
      <c r="A52" s="210" t="s">
        <v>6</v>
      </c>
      <c r="B52" s="210"/>
      <c r="C52" s="154">
        <v>30</v>
      </c>
      <c r="D52" s="155">
        <v>30</v>
      </c>
      <c r="E52" s="155">
        <v>30</v>
      </c>
      <c r="F52" s="155">
        <v>30</v>
      </c>
      <c r="G52" s="155">
        <v>30</v>
      </c>
      <c r="H52" s="155">
        <v>30</v>
      </c>
      <c r="I52" s="155">
        <v>30</v>
      </c>
      <c r="J52" s="155">
        <v>30</v>
      </c>
      <c r="K52" s="156">
        <v>30</v>
      </c>
      <c r="L52" s="129" t="s">
        <v>113</v>
      </c>
      <c r="M52" s="126">
        <v>28</v>
      </c>
      <c r="N52" s="126">
        <v>28</v>
      </c>
      <c r="O52" s="127">
        <v>28</v>
      </c>
      <c r="P52" s="127">
        <v>28</v>
      </c>
      <c r="Q52" s="127">
        <v>28</v>
      </c>
      <c r="R52" s="127">
        <v>28</v>
      </c>
      <c r="S52" s="127">
        <v>28</v>
      </c>
      <c r="T52" s="127">
        <v>28</v>
      </c>
      <c r="U52" s="127">
        <v>28</v>
      </c>
      <c r="V52" s="129" t="s">
        <v>113</v>
      </c>
      <c r="W52" s="126">
        <v>26</v>
      </c>
      <c r="X52" s="127">
        <v>26</v>
      </c>
      <c r="Y52" s="127">
        <v>26</v>
      </c>
      <c r="Z52" s="127">
        <v>26</v>
      </c>
      <c r="AA52" s="127">
        <v>26</v>
      </c>
      <c r="AB52" s="127">
        <v>26</v>
      </c>
      <c r="AC52" s="127">
        <v>26</v>
      </c>
      <c r="AD52" s="127">
        <v>26</v>
      </c>
      <c r="AE52" s="128">
        <v>26</v>
      </c>
      <c r="AF52" s="129" t="s">
        <v>113</v>
      </c>
      <c r="AG52" s="126">
        <v>24</v>
      </c>
      <c r="AH52" s="127">
        <v>24</v>
      </c>
      <c r="AI52" s="127">
        <v>24</v>
      </c>
      <c r="AJ52" s="127">
        <v>24</v>
      </c>
      <c r="AK52" s="127">
        <v>24</v>
      </c>
      <c r="AL52" s="127">
        <v>24</v>
      </c>
      <c r="AM52" s="127">
        <v>24</v>
      </c>
      <c r="AN52" s="127">
        <v>24</v>
      </c>
      <c r="AO52" s="128">
        <v>24</v>
      </c>
      <c r="AP52" s="129" t="s">
        <v>113</v>
      </c>
      <c r="AQ52" s="130"/>
      <c r="AR52" s="130"/>
      <c r="AS52" s="130"/>
      <c r="AT52" s="130"/>
      <c r="AU52" s="130"/>
      <c r="AV52" s="130"/>
      <c r="AW52" s="130"/>
      <c r="AX52" s="130"/>
      <c r="AY52" s="130"/>
      <c r="AZ52" s="84"/>
    </row>
    <row r="53" spans="1:52" ht="9.75" customHeight="1" x14ac:dyDescent="0.25">
      <c r="A53" s="131" t="s">
        <v>11</v>
      </c>
      <c r="B53" s="131" t="s">
        <v>12</v>
      </c>
      <c r="C53" s="157">
        <v>30</v>
      </c>
      <c r="D53" s="158">
        <v>28</v>
      </c>
      <c r="E53" s="158">
        <v>26</v>
      </c>
      <c r="F53" s="158">
        <v>24</v>
      </c>
      <c r="G53" s="158">
        <v>22</v>
      </c>
      <c r="H53" s="158">
        <v>20</v>
      </c>
      <c r="I53" s="158">
        <v>18</v>
      </c>
      <c r="J53" s="158">
        <v>16</v>
      </c>
      <c r="K53" s="138">
        <v>14</v>
      </c>
      <c r="L53" s="159" t="s">
        <v>114</v>
      </c>
      <c r="M53" s="132">
        <v>30</v>
      </c>
      <c r="N53" s="132">
        <v>28</v>
      </c>
      <c r="O53" s="133">
        <v>26</v>
      </c>
      <c r="P53" s="134">
        <v>24</v>
      </c>
      <c r="Q53" s="134">
        <v>22</v>
      </c>
      <c r="R53" s="134">
        <v>20</v>
      </c>
      <c r="S53" s="134">
        <v>18</v>
      </c>
      <c r="T53" s="134">
        <v>16</v>
      </c>
      <c r="U53" s="134">
        <v>14</v>
      </c>
      <c r="V53" s="159" t="s">
        <v>114</v>
      </c>
      <c r="W53" s="132">
        <v>30</v>
      </c>
      <c r="X53" s="134">
        <v>28</v>
      </c>
      <c r="Y53" s="134">
        <v>26</v>
      </c>
      <c r="Z53" s="134">
        <v>24</v>
      </c>
      <c r="AA53" s="134">
        <v>22</v>
      </c>
      <c r="AB53" s="134">
        <v>20</v>
      </c>
      <c r="AC53" s="134">
        <v>18</v>
      </c>
      <c r="AD53" s="134">
        <v>16</v>
      </c>
      <c r="AE53" s="134">
        <v>14</v>
      </c>
      <c r="AF53" s="136" t="s">
        <v>114</v>
      </c>
      <c r="AG53" s="137">
        <v>30</v>
      </c>
      <c r="AH53" s="134">
        <v>28</v>
      </c>
      <c r="AI53" s="134">
        <v>26</v>
      </c>
      <c r="AJ53" s="134">
        <v>24</v>
      </c>
      <c r="AK53" s="134">
        <v>22</v>
      </c>
      <c r="AL53" s="134">
        <v>20</v>
      </c>
      <c r="AM53" s="134">
        <v>18</v>
      </c>
      <c r="AN53" s="134">
        <v>16</v>
      </c>
      <c r="AO53" s="138">
        <v>14</v>
      </c>
      <c r="AP53" s="159" t="s">
        <v>114</v>
      </c>
      <c r="AQ53" s="130"/>
      <c r="AR53" s="139"/>
      <c r="AS53" s="139"/>
      <c r="AT53" s="139"/>
      <c r="AU53" s="139"/>
      <c r="AV53" s="139"/>
      <c r="AW53" s="139"/>
      <c r="AX53" s="139"/>
      <c r="AY53" s="139"/>
      <c r="AZ53" s="84"/>
    </row>
    <row r="54" spans="1:52" ht="9.75" customHeight="1" x14ac:dyDescent="0.25">
      <c r="A54" s="142" t="s">
        <v>115</v>
      </c>
      <c r="B54" s="142" t="s">
        <v>116</v>
      </c>
      <c r="C54" s="39"/>
      <c r="D54" s="39"/>
      <c r="E54" s="39"/>
      <c r="F54" s="39"/>
      <c r="G54" s="39"/>
      <c r="H54" s="39"/>
      <c r="I54" s="39"/>
      <c r="J54" s="39"/>
      <c r="K54" s="141"/>
      <c r="L54" s="142" t="s">
        <v>115</v>
      </c>
      <c r="M54" s="143"/>
      <c r="N54" s="143"/>
      <c r="O54" s="39"/>
      <c r="P54" s="39"/>
      <c r="Q54" s="39"/>
      <c r="R54" s="39"/>
      <c r="S54" s="144"/>
      <c r="T54" s="144"/>
      <c r="U54" s="144"/>
      <c r="V54" s="142" t="s">
        <v>115</v>
      </c>
      <c r="W54" s="143"/>
      <c r="X54" s="39"/>
      <c r="Y54" s="39"/>
      <c r="Z54" s="39"/>
      <c r="AA54" s="39"/>
      <c r="AB54" s="39"/>
      <c r="AC54" s="144"/>
      <c r="AD54" s="144"/>
      <c r="AE54" s="145"/>
      <c r="AF54" s="142" t="s">
        <v>115</v>
      </c>
      <c r="AG54" s="143"/>
      <c r="AH54" s="39"/>
      <c r="AI54" s="39"/>
      <c r="AJ54" s="39"/>
      <c r="AK54" s="39"/>
      <c r="AL54" s="39"/>
      <c r="AM54" s="144"/>
      <c r="AN54" s="144"/>
      <c r="AO54" s="141"/>
      <c r="AP54" s="142" t="s">
        <v>115</v>
      </c>
      <c r="AQ54" s="146"/>
      <c r="AR54" s="146"/>
      <c r="AS54" s="146"/>
      <c r="AT54" s="146"/>
      <c r="AU54" s="146"/>
      <c r="AV54" s="146"/>
      <c r="AW54" s="146"/>
      <c r="AX54" s="146"/>
      <c r="AY54" s="146"/>
      <c r="AZ54" s="146"/>
    </row>
    <row r="55" spans="1:52" ht="9.75" customHeight="1" x14ac:dyDescent="0.25">
      <c r="A55" s="142" t="s">
        <v>117</v>
      </c>
      <c r="B55" s="142" t="s">
        <v>118</v>
      </c>
      <c r="C55" s="26"/>
      <c r="D55" s="20"/>
      <c r="E55" s="20"/>
      <c r="F55" s="20"/>
      <c r="G55" s="20"/>
      <c r="H55" s="20"/>
      <c r="I55" s="20"/>
      <c r="J55" s="20"/>
      <c r="K55" s="147"/>
      <c r="L55" s="142" t="s">
        <v>117</v>
      </c>
      <c r="M55" s="26"/>
      <c r="N55" s="26"/>
      <c r="O55" s="20"/>
      <c r="P55" s="20"/>
      <c r="Q55" s="20"/>
      <c r="R55" s="20"/>
      <c r="S55" s="148"/>
      <c r="T55" s="148"/>
      <c r="U55" s="148"/>
      <c r="V55" s="142" t="s">
        <v>117</v>
      </c>
      <c r="W55" s="26"/>
      <c r="X55" s="20"/>
      <c r="Y55" s="20"/>
      <c r="Z55" s="20"/>
      <c r="AA55" s="20"/>
      <c r="AB55" s="20"/>
      <c r="AC55" s="148"/>
      <c r="AD55" s="148"/>
      <c r="AE55" s="149"/>
      <c r="AF55" s="142" t="s">
        <v>117</v>
      </c>
      <c r="AG55" s="26"/>
      <c r="AH55" s="20"/>
      <c r="AI55" s="20"/>
      <c r="AJ55" s="20"/>
      <c r="AK55" s="20"/>
      <c r="AL55" s="20"/>
      <c r="AM55" s="148"/>
      <c r="AN55" s="148"/>
      <c r="AO55" s="150">
        <v>169</v>
      </c>
      <c r="AP55" s="142" t="s">
        <v>117</v>
      </c>
      <c r="AQ55" s="146"/>
      <c r="AR55" s="146"/>
      <c r="AS55" s="146"/>
      <c r="AT55" s="146"/>
      <c r="AU55" s="146"/>
      <c r="AV55" s="146"/>
      <c r="AW55" s="146"/>
      <c r="AX55" s="146"/>
      <c r="AY55" s="146"/>
      <c r="AZ55" s="146"/>
    </row>
    <row r="56" spans="1:52" ht="9.75" customHeight="1" x14ac:dyDescent="0.25">
      <c r="A56" s="142" t="s">
        <v>119</v>
      </c>
      <c r="B56" s="142" t="s">
        <v>120</v>
      </c>
      <c r="C56" s="143"/>
      <c r="D56" s="39"/>
      <c r="E56" s="39"/>
      <c r="F56" s="39"/>
      <c r="G56" s="39"/>
      <c r="H56" s="39"/>
      <c r="I56" s="39"/>
      <c r="J56" s="39"/>
      <c r="K56" s="141"/>
      <c r="L56" s="142" t="s">
        <v>119</v>
      </c>
      <c r="M56" s="143"/>
      <c r="N56" s="143"/>
      <c r="O56" s="39"/>
      <c r="P56" s="39"/>
      <c r="Q56" s="39"/>
      <c r="R56" s="39"/>
      <c r="S56" s="144"/>
      <c r="T56" s="144"/>
      <c r="U56" s="144"/>
      <c r="V56" s="142" t="s">
        <v>119</v>
      </c>
      <c r="W56" s="143"/>
      <c r="X56" s="39"/>
      <c r="Y56" s="39"/>
      <c r="Z56" s="39"/>
      <c r="AA56" s="39"/>
      <c r="AB56" s="39"/>
      <c r="AC56" s="144"/>
      <c r="AD56" s="144"/>
      <c r="AE56" s="151">
        <v>164</v>
      </c>
      <c r="AF56" s="142" t="s">
        <v>119</v>
      </c>
      <c r="AG56" s="143"/>
      <c r="AH56" s="39"/>
      <c r="AI56" s="39"/>
      <c r="AJ56" s="39"/>
      <c r="AK56" s="39"/>
      <c r="AL56" s="39"/>
      <c r="AM56" s="144"/>
      <c r="AN56" s="151">
        <v>164</v>
      </c>
      <c r="AO56" s="145">
        <v>174</v>
      </c>
      <c r="AP56" s="142" t="s">
        <v>119</v>
      </c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</row>
    <row r="57" spans="1:52" ht="9.75" customHeight="1" x14ac:dyDescent="0.25">
      <c r="A57" s="142" t="s">
        <v>121</v>
      </c>
      <c r="B57" s="142" t="s">
        <v>122</v>
      </c>
      <c r="C57" s="26"/>
      <c r="D57" s="20"/>
      <c r="E57" s="20"/>
      <c r="F57" s="20"/>
      <c r="G57" s="20"/>
      <c r="H57" s="20"/>
      <c r="I57" s="20"/>
      <c r="J57" s="20"/>
      <c r="K57" s="26"/>
      <c r="L57" s="142" t="s">
        <v>121</v>
      </c>
      <c r="M57" s="26"/>
      <c r="N57" s="26"/>
      <c r="O57" s="20"/>
      <c r="P57" s="20"/>
      <c r="Q57" s="20"/>
      <c r="R57" s="20"/>
      <c r="S57" s="148"/>
      <c r="T57" s="148"/>
      <c r="U57" s="148">
        <v>160</v>
      </c>
      <c r="V57" s="142" t="s">
        <v>121</v>
      </c>
      <c r="W57" s="26"/>
      <c r="X57" s="20"/>
      <c r="Y57" s="20"/>
      <c r="Z57" s="20"/>
      <c r="AA57" s="20"/>
      <c r="AB57" s="20"/>
      <c r="AC57" s="148"/>
      <c r="AD57" s="150">
        <v>159</v>
      </c>
      <c r="AE57" s="150">
        <v>169</v>
      </c>
      <c r="AF57" s="142" t="s">
        <v>121</v>
      </c>
      <c r="AG57" s="26"/>
      <c r="AH57" s="20"/>
      <c r="AI57" s="20"/>
      <c r="AJ57" s="20"/>
      <c r="AK57" s="20"/>
      <c r="AL57" s="20"/>
      <c r="AM57" s="150">
        <v>160</v>
      </c>
      <c r="AN57" s="150">
        <v>169</v>
      </c>
      <c r="AO57" s="149">
        <v>178</v>
      </c>
      <c r="AP57" s="142" t="s">
        <v>121</v>
      </c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</row>
    <row r="58" spans="1:52" ht="9.75" customHeight="1" x14ac:dyDescent="0.25">
      <c r="A58" s="142" t="s">
        <v>21</v>
      </c>
      <c r="B58" s="142" t="s">
        <v>123</v>
      </c>
      <c r="C58" s="143"/>
      <c r="D58" s="39"/>
      <c r="E58" s="39"/>
      <c r="F58" s="39"/>
      <c r="G58" s="39"/>
      <c r="H58" s="39"/>
      <c r="I58" s="39"/>
      <c r="J58" s="143"/>
      <c r="K58" s="151">
        <v>155</v>
      </c>
      <c r="L58" s="142" t="s">
        <v>21</v>
      </c>
      <c r="M58" s="143"/>
      <c r="N58" s="143"/>
      <c r="O58" s="39"/>
      <c r="P58" s="39"/>
      <c r="Q58" s="39"/>
      <c r="R58" s="39"/>
      <c r="S58" s="144"/>
      <c r="T58" s="144">
        <v>156</v>
      </c>
      <c r="U58" s="151">
        <v>164</v>
      </c>
      <c r="V58" s="142" t="s">
        <v>21</v>
      </c>
      <c r="W58" s="143"/>
      <c r="X58" s="39"/>
      <c r="Y58" s="39"/>
      <c r="Z58" s="39"/>
      <c r="AA58" s="39"/>
      <c r="AB58" s="39"/>
      <c r="AC58" s="151">
        <v>156</v>
      </c>
      <c r="AD58" s="151">
        <v>164</v>
      </c>
      <c r="AE58" s="151">
        <v>174</v>
      </c>
      <c r="AF58" s="142" t="s">
        <v>21</v>
      </c>
      <c r="AG58" s="143"/>
      <c r="AH58" s="39"/>
      <c r="AI58" s="39"/>
      <c r="AJ58" s="39"/>
      <c r="AK58" s="39"/>
      <c r="AL58" s="151">
        <v>156</v>
      </c>
      <c r="AM58" s="151">
        <v>165</v>
      </c>
      <c r="AN58" s="151">
        <v>174</v>
      </c>
      <c r="AO58" s="145">
        <v>183</v>
      </c>
      <c r="AP58" s="142" t="s">
        <v>21</v>
      </c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</row>
    <row r="59" spans="1:52" ht="9.75" customHeight="1" x14ac:dyDescent="0.25">
      <c r="A59" s="142" t="s">
        <v>23</v>
      </c>
      <c r="B59" s="142" t="s">
        <v>124</v>
      </c>
      <c r="C59" s="26"/>
      <c r="D59" s="20"/>
      <c r="E59" s="20"/>
      <c r="F59" s="20"/>
      <c r="G59" s="20"/>
      <c r="H59" s="20"/>
      <c r="I59" s="26"/>
      <c r="J59" s="150">
        <v>153</v>
      </c>
      <c r="K59" s="150">
        <v>159</v>
      </c>
      <c r="L59" s="142" t="s">
        <v>23</v>
      </c>
      <c r="M59" s="26"/>
      <c r="N59" s="26"/>
      <c r="O59" s="20"/>
      <c r="P59" s="20"/>
      <c r="Q59" s="20"/>
      <c r="R59" s="20"/>
      <c r="S59" s="148">
        <v>152</v>
      </c>
      <c r="T59" s="150">
        <v>160</v>
      </c>
      <c r="U59" s="150">
        <v>168</v>
      </c>
      <c r="V59" s="142" t="s">
        <v>23</v>
      </c>
      <c r="W59" s="26"/>
      <c r="X59" s="20"/>
      <c r="Y59" s="20"/>
      <c r="Z59" s="20"/>
      <c r="AA59" s="20"/>
      <c r="AB59" s="26">
        <v>152</v>
      </c>
      <c r="AC59" s="150">
        <v>160</v>
      </c>
      <c r="AD59" s="150">
        <v>168</v>
      </c>
      <c r="AE59" s="150">
        <v>178</v>
      </c>
      <c r="AF59" s="142" t="s">
        <v>23</v>
      </c>
      <c r="AG59" s="26"/>
      <c r="AH59" s="20"/>
      <c r="AI59" s="20"/>
      <c r="AJ59" s="20"/>
      <c r="AK59" s="26">
        <v>152</v>
      </c>
      <c r="AL59" s="150">
        <v>160</v>
      </c>
      <c r="AM59" s="150">
        <v>169</v>
      </c>
      <c r="AN59" s="150">
        <v>178</v>
      </c>
      <c r="AO59" s="149">
        <v>188</v>
      </c>
      <c r="AP59" s="142" t="s">
        <v>23</v>
      </c>
      <c r="AQ59" s="146"/>
      <c r="AR59" s="146"/>
      <c r="AS59" s="146"/>
      <c r="AT59" s="146"/>
      <c r="AU59" s="146"/>
      <c r="AV59" s="146"/>
      <c r="AW59" s="146"/>
      <c r="AX59" s="146"/>
      <c r="AY59" s="146"/>
      <c r="AZ59" s="146"/>
    </row>
    <row r="60" spans="1:52" ht="9.75" customHeight="1" x14ac:dyDescent="0.25">
      <c r="A60" s="142" t="s">
        <v>24</v>
      </c>
      <c r="B60" s="142" t="s">
        <v>125</v>
      </c>
      <c r="C60" s="143"/>
      <c r="D60" s="39"/>
      <c r="E60" s="39"/>
      <c r="F60" s="39"/>
      <c r="G60" s="39"/>
      <c r="H60" s="143"/>
      <c r="I60" s="151">
        <v>150</v>
      </c>
      <c r="J60" s="151">
        <v>158</v>
      </c>
      <c r="K60" s="151">
        <v>164</v>
      </c>
      <c r="L60" s="142" t="s">
        <v>24</v>
      </c>
      <c r="M60" s="143"/>
      <c r="N60" s="143"/>
      <c r="O60" s="39"/>
      <c r="P60" s="39"/>
      <c r="Q60" s="39"/>
      <c r="R60" s="39">
        <v>150</v>
      </c>
      <c r="S60" s="151">
        <v>157</v>
      </c>
      <c r="T60" s="151">
        <v>165</v>
      </c>
      <c r="U60" s="151">
        <v>173</v>
      </c>
      <c r="V60" s="142" t="s">
        <v>24</v>
      </c>
      <c r="W60" s="143"/>
      <c r="X60" s="39"/>
      <c r="Y60" s="39"/>
      <c r="Z60" s="39"/>
      <c r="AA60" s="143">
        <v>150</v>
      </c>
      <c r="AB60" s="143">
        <v>157</v>
      </c>
      <c r="AC60" s="151">
        <v>165</v>
      </c>
      <c r="AD60" s="151">
        <v>173</v>
      </c>
      <c r="AE60" s="151">
        <v>184</v>
      </c>
      <c r="AF60" s="142" t="s">
        <v>24</v>
      </c>
      <c r="AG60" s="143"/>
      <c r="AH60" s="39"/>
      <c r="AI60" s="39"/>
      <c r="AJ60" s="143">
        <v>150</v>
      </c>
      <c r="AK60" s="143">
        <v>157</v>
      </c>
      <c r="AL60" s="151">
        <v>165</v>
      </c>
      <c r="AM60" s="151">
        <v>174</v>
      </c>
      <c r="AN60" s="151">
        <v>184</v>
      </c>
      <c r="AO60" s="145">
        <v>194</v>
      </c>
      <c r="AP60" s="142" t="s">
        <v>24</v>
      </c>
      <c r="AQ60" s="146"/>
      <c r="AR60" s="146"/>
      <c r="AS60" s="146"/>
      <c r="AT60" s="146"/>
      <c r="AU60" s="146"/>
      <c r="AV60" s="146"/>
      <c r="AW60" s="146"/>
      <c r="AX60" s="146"/>
      <c r="AY60" s="146"/>
      <c r="AZ60" s="146"/>
    </row>
    <row r="61" spans="1:52" ht="9.75" customHeight="1" x14ac:dyDescent="0.25">
      <c r="A61" s="142" t="s">
        <v>26</v>
      </c>
      <c r="B61" s="142" t="s">
        <v>126</v>
      </c>
      <c r="C61" s="26"/>
      <c r="D61" s="20"/>
      <c r="E61" s="20"/>
      <c r="F61" s="20"/>
      <c r="G61" s="26"/>
      <c r="H61" s="26">
        <v>146</v>
      </c>
      <c r="I61" s="150">
        <v>154</v>
      </c>
      <c r="J61" s="150">
        <v>162</v>
      </c>
      <c r="K61" s="150">
        <v>169</v>
      </c>
      <c r="L61" s="142" t="s">
        <v>26</v>
      </c>
      <c r="M61" s="26"/>
      <c r="N61" s="26"/>
      <c r="O61" s="20"/>
      <c r="P61" s="20"/>
      <c r="Q61" s="20">
        <v>147</v>
      </c>
      <c r="R61" s="26">
        <v>154</v>
      </c>
      <c r="S61" s="150">
        <v>162</v>
      </c>
      <c r="T61" s="150">
        <v>170</v>
      </c>
      <c r="U61" s="150">
        <v>179</v>
      </c>
      <c r="V61" s="142" t="s">
        <v>26</v>
      </c>
      <c r="W61" s="26"/>
      <c r="X61" s="20"/>
      <c r="Y61" s="20"/>
      <c r="Z61" s="26">
        <v>147</v>
      </c>
      <c r="AA61" s="26">
        <v>154</v>
      </c>
      <c r="AB61" s="26">
        <v>162</v>
      </c>
      <c r="AC61" s="150">
        <v>170</v>
      </c>
      <c r="AD61" s="150">
        <v>179</v>
      </c>
      <c r="AE61" s="150">
        <v>189</v>
      </c>
      <c r="AF61" s="142" t="s">
        <v>26</v>
      </c>
      <c r="AG61" s="26"/>
      <c r="AH61" s="20"/>
      <c r="AI61" s="26">
        <v>147</v>
      </c>
      <c r="AJ61" s="26">
        <v>154</v>
      </c>
      <c r="AK61" s="26">
        <v>162</v>
      </c>
      <c r="AL61" s="150">
        <v>170</v>
      </c>
      <c r="AM61" s="150">
        <v>179</v>
      </c>
      <c r="AN61" s="150">
        <v>189</v>
      </c>
      <c r="AO61" s="149">
        <v>200</v>
      </c>
      <c r="AP61" s="142" t="s">
        <v>26</v>
      </c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</row>
    <row r="62" spans="1:52" ht="9.75" customHeight="1" x14ac:dyDescent="0.25">
      <c r="A62" s="142" t="s">
        <v>28</v>
      </c>
      <c r="B62" s="142" t="s">
        <v>127</v>
      </c>
      <c r="C62" s="143"/>
      <c r="D62" s="39"/>
      <c r="E62" s="39"/>
      <c r="F62" s="143"/>
      <c r="G62" s="143">
        <v>145</v>
      </c>
      <c r="H62" s="143">
        <v>151</v>
      </c>
      <c r="I62" s="151">
        <v>159</v>
      </c>
      <c r="J62" s="151">
        <v>168</v>
      </c>
      <c r="K62" s="151">
        <v>174</v>
      </c>
      <c r="L62" s="142" t="s">
        <v>28</v>
      </c>
      <c r="M62" s="143"/>
      <c r="N62" s="143"/>
      <c r="O62" s="39"/>
      <c r="P62" s="39">
        <v>145</v>
      </c>
      <c r="Q62" s="143">
        <v>152</v>
      </c>
      <c r="R62" s="143">
        <v>159</v>
      </c>
      <c r="S62" s="151">
        <v>167</v>
      </c>
      <c r="T62" s="151">
        <v>175</v>
      </c>
      <c r="U62" s="151">
        <v>184</v>
      </c>
      <c r="V62" s="142" t="s">
        <v>28</v>
      </c>
      <c r="W62" s="143"/>
      <c r="X62" s="39"/>
      <c r="Y62" s="143">
        <v>145</v>
      </c>
      <c r="Z62" s="143">
        <v>152</v>
      </c>
      <c r="AA62" s="143">
        <v>159</v>
      </c>
      <c r="AB62" s="143">
        <v>167</v>
      </c>
      <c r="AC62" s="151">
        <v>175</v>
      </c>
      <c r="AD62" s="151">
        <v>184</v>
      </c>
      <c r="AE62" s="151">
        <v>195</v>
      </c>
      <c r="AF62" s="142" t="s">
        <v>28</v>
      </c>
      <c r="AG62" s="143"/>
      <c r="AH62" s="143">
        <v>145</v>
      </c>
      <c r="AI62" s="143">
        <v>152</v>
      </c>
      <c r="AJ62" s="143">
        <v>159</v>
      </c>
      <c r="AK62" s="143">
        <v>167</v>
      </c>
      <c r="AL62" s="151">
        <v>175</v>
      </c>
      <c r="AM62" s="151">
        <v>185</v>
      </c>
      <c r="AN62" s="151">
        <v>195</v>
      </c>
      <c r="AO62" s="145">
        <v>206</v>
      </c>
      <c r="AP62" s="142" t="s">
        <v>28</v>
      </c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</row>
    <row r="63" spans="1:52" ht="9.75" customHeight="1" x14ac:dyDescent="0.25">
      <c r="A63" s="142" t="s">
        <v>30</v>
      </c>
      <c r="B63" s="142" t="s">
        <v>128</v>
      </c>
      <c r="C63" s="26"/>
      <c r="D63" s="20"/>
      <c r="E63" s="26"/>
      <c r="F63" s="26">
        <v>144</v>
      </c>
      <c r="G63" s="26">
        <v>150</v>
      </c>
      <c r="H63" s="26">
        <v>156</v>
      </c>
      <c r="I63" s="150">
        <v>164</v>
      </c>
      <c r="J63" s="150">
        <v>173</v>
      </c>
      <c r="K63" s="150">
        <v>180</v>
      </c>
      <c r="L63" s="142" t="s">
        <v>30</v>
      </c>
      <c r="M63" s="26"/>
      <c r="N63" s="26"/>
      <c r="O63" s="20">
        <v>144</v>
      </c>
      <c r="P63" s="26">
        <v>150</v>
      </c>
      <c r="Q63" s="26">
        <v>157</v>
      </c>
      <c r="R63" s="26">
        <v>164</v>
      </c>
      <c r="S63" s="150">
        <v>172</v>
      </c>
      <c r="T63" s="150">
        <v>181</v>
      </c>
      <c r="U63" s="150">
        <v>190</v>
      </c>
      <c r="V63" s="142" t="s">
        <v>30</v>
      </c>
      <c r="W63" s="26"/>
      <c r="X63" s="26">
        <v>144</v>
      </c>
      <c r="Y63" s="26">
        <v>150</v>
      </c>
      <c r="Z63" s="26">
        <v>157</v>
      </c>
      <c r="AA63" s="26">
        <v>164</v>
      </c>
      <c r="AB63" s="26">
        <v>172</v>
      </c>
      <c r="AC63" s="150">
        <v>181</v>
      </c>
      <c r="AD63" s="150">
        <v>190</v>
      </c>
      <c r="AE63" s="150">
        <v>201</v>
      </c>
      <c r="AF63" s="142" t="s">
        <v>30</v>
      </c>
      <c r="AG63" s="26">
        <v>144</v>
      </c>
      <c r="AH63" s="26">
        <v>150</v>
      </c>
      <c r="AI63" s="26">
        <v>157</v>
      </c>
      <c r="AJ63" s="26">
        <v>164</v>
      </c>
      <c r="AK63" s="26">
        <v>172</v>
      </c>
      <c r="AL63" s="150">
        <v>181</v>
      </c>
      <c r="AM63" s="150">
        <v>191</v>
      </c>
      <c r="AN63" s="150">
        <v>201</v>
      </c>
      <c r="AO63" s="149">
        <v>212</v>
      </c>
      <c r="AP63" s="142" t="s">
        <v>30</v>
      </c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</row>
    <row r="64" spans="1:52" ht="9.75" customHeight="1" x14ac:dyDescent="0.25">
      <c r="A64" s="142" t="s">
        <v>32</v>
      </c>
      <c r="B64" s="142" t="s">
        <v>129</v>
      </c>
      <c r="C64" s="143"/>
      <c r="D64" s="143"/>
      <c r="E64" s="143">
        <v>142</v>
      </c>
      <c r="F64" s="143">
        <v>149</v>
      </c>
      <c r="G64" s="143">
        <v>155</v>
      </c>
      <c r="H64" s="143">
        <v>161</v>
      </c>
      <c r="I64" s="151">
        <v>170</v>
      </c>
      <c r="J64" s="151">
        <v>179</v>
      </c>
      <c r="K64" s="151">
        <v>186</v>
      </c>
      <c r="L64" s="142" t="s">
        <v>32</v>
      </c>
      <c r="M64" s="143"/>
      <c r="N64" s="143">
        <v>142</v>
      </c>
      <c r="O64" s="143">
        <v>149</v>
      </c>
      <c r="P64" s="143">
        <v>155</v>
      </c>
      <c r="Q64" s="143">
        <v>162</v>
      </c>
      <c r="R64" s="143">
        <v>170</v>
      </c>
      <c r="S64" s="151">
        <v>178</v>
      </c>
      <c r="T64" s="151">
        <v>186</v>
      </c>
      <c r="U64" s="151">
        <v>196</v>
      </c>
      <c r="V64" s="142" t="s">
        <v>32</v>
      </c>
      <c r="W64" s="143">
        <v>142</v>
      </c>
      <c r="X64" s="143">
        <v>149</v>
      </c>
      <c r="Y64" s="143">
        <v>155</v>
      </c>
      <c r="Z64" s="143">
        <v>162</v>
      </c>
      <c r="AA64" s="143">
        <v>170</v>
      </c>
      <c r="AB64" s="143">
        <v>178</v>
      </c>
      <c r="AC64" s="151">
        <v>186</v>
      </c>
      <c r="AD64" s="144">
        <v>196</v>
      </c>
      <c r="AE64" s="144">
        <v>208</v>
      </c>
      <c r="AF64" s="142" t="s">
        <v>32</v>
      </c>
      <c r="AG64" s="143">
        <v>149</v>
      </c>
      <c r="AH64" s="143">
        <v>155</v>
      </c>
      <c r="AI64" s="143">
        <v>162</v>
      </c>
      <c r="AJ64" s="143">
        <v>170</v>
      </c>
      <c r="AK64" s="143">
        <v>178</v>
      </c>
      <c r="AL64" s="151">
        <v>186</v>
      </c>
      <c r="AM64" s="144">
        <v>197</v>
      </c>
      <c r="AN64" s="144">
        <v>208</v>
      </c>
      <c r="AO64" s="145">
        <v>219</v>
      </c>
      <c r="AP64" s="142" t="s">
        <v>32</v>
      </c>
      <c r="AQ64" s="146"/>
      <c r="AR64" s="146"/>
      <c r="AS64" s="146"/>
      <c r="AT64" s="146"/>
      <c r="AU64" s="146"/>
      <c r="AV64" s="146"/>
      <c r="AW64" s="146"/>
      <c r="AX64" s="146"/>
      <c r="AY64" s="146"/>
      <c r="AZ64" s="146"/>
    </row>
    <row r="65" spans="1:52" ht="9.75" customHeight="1" x14ac:dyDescent="0.25">
      <c r="A65" s="142" t="s">
        <v>33</v>
      </c>
      <c r="B65" s="142" t="s">
        <v>130</v>
      </c>
      <c r="C65" s="26"/>
      <c r="D65" s="26">
        <v>142</v>
      </c>
      <c r="E65" s="26">
        <v>147</v>
      </c>
      <c r="F65" s="26">
        <v>154</v>
      </c>
      <c r="G65" s="26">
        <v>160</v>
      </c>
      <c r="H65" s="26">
        <v>166</v>
      </c>
      <c r="I65" s="150">
        <v>175</v>
      </c>
      <c r="J65" s="150">
        <v>185</v>
      </c>
      <c r="K65" s="150">
        <v>192</v>
      </c>
      <c r="L65" s="142" t="s">
        <v>33</v>
      </c>
      <c r="M65" s="26">
        <v>142</v>
      </c>
      <c r="N65" s="26">
        <v>147</v>
      </c>
      <c r="O65" s="26">
        <v>154</v>
      </c>
      <c r="P65" s="26">
        <v>160</v>
      </c>
      <c r="Q65" s="26">
        <v>167</v>
      </c>
      <c r="R65" s="26">
        <v>175</v>
      </c>
      <c r="S65" s="150">
        <v>184</v>
      </c>
      <c r="T65" s="150">
        <v>193</v>
      </c>
      <c r="U65" s="150">
        <v>203</v>
      </c>
      <c r="V65" s="142" t="s">
        <v>33</v>
      </c>
      <c r="W65" s="26">
        <v>147</v>
      </c>
      <c r="X65" s="26">
        <v>154</v>
      </c>
      <c r="Y65" s="26">
        <v>160</v>
      </c>
      <c r="Z65" s="26">
        <v>167</v>
      </c>
      <c r="AA65" s="26">
        <v>175</v>
      </c>
      <c r="AB65" s="26">
        <v>184</v>
      </c>
      <c r="AC65" s="150">
        <v>193</v>
      </c>
      <c r="AD65" s="148">
        <v>203</v>
      </c>
      <c r="AE65" s="148">
        <v>215</v>
      </c>
      <c r="AF65" s="142" t="s">
        <v>33</v>
      </c>
      <c r="AG65" s="26">
        <v>154</v>
      </c>
      <c r="AH65" s="26">
        <v>160</v>
      </c>
      <c r="AI65" s="26">
        <v>167</v>
      </c>
      <c r="AJ65" s="26">
        <v>175</v>
      </c>
      <c r="AK65" s="26">
        <v>184</v>
      </c>
      <c r="AL65" s="150">
        <v>193</v>
      </c>
      <c r="AM65" s="148">
        <v>204</v>
      </c>
      <c r="AN65" s="148">
        <v>215</v>
      </c>
      <c r="AO65" s="147"/>
      <c r="AP65" s="142" t="s">
        <v>33</v>
      </c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</row>
    <row r="66" spans="1:52" ht="9.75" customHeight="1" x14ac:dyDescent="0.25">
      <c r="A66" s="142" t="s">
        <v>34</v>
      </c>
      <c r="B66" s="142" t="s">
        <v>131</v>
      </c>
      <c r="C66" s="143">
        <v>141</v>
      </c>
      <c r="D66" s="143">
        <v>147</v>
      </c>
      <c r="E66" s="143">
        <v>153</v>
      </c>
      <c r="F66" s="143">
        <v>159</v>
      </c>
      <c r="G66" s="143">
        <v>166</v>
      </c>
      <c r="H66" s="143">
        <v>172</v>
      </c>
      <c r="I66" s="151">
        <v>182</v>
      </c>
      <c r="J66" s="144">
        <v>191</v>
      </c>
      <c r="K66" s="144">
        <v>198</v>
      </c>
      <c r="L66" s="142" t="s">
        <v>34</v>
      </c>
      <c r="M66" s="143">
        <v>147</v>
      </c>
      <c r="N66" s="143">
        <v>153</v>
      </c>
      <c r="O66" s="143">
        <v>159</v>
      </c>
      <c r="P66" s="143">
        <v>166</v>
      </c>
      <c r="Q66" s="143">
        <v>173</v>
      </c>
      <c r="R66" s="143">
        <v>182</v>
      </c>
      <c r="S66" s="151">
        <v>190</v>
      </c>
      <c r="T66" s="144">
        <v>199</v>
      </c>
      <c r="U66" s="144">
        <v>210</v>
      </c>
      <c r="V66" s="142" t="s">
        <v>34</v>
      </c>
      <c r="W66" s="143">
        <v>153</v>
      </c>
      <c r="X66" s="143">
        <v>159</v>
      </c>
      <c r="Y66" s="143">
        <v>166</v>
      </c>
      <c r="Z66" s="143">
        <v>173</v>
      </c>
      <c r="AA66" s="143">
        <v>182</v>
      </c>
      <c r="AB66" s="39">
        <v>190</v>
      </c>
      <c r="AC66" s="144">
        <v>199</v>
      </c>
      <c r="AD66" s="144">
        <v>210</v>
      </c>
      <c r="AE66" s="144"/>
      <c r="AF66" s="142" t="s">
        <v>34</v>
      </c>
      <c r="AG66" s="143">
        <v>159</v>
      </c>
      <c r="AH66" s="143">
        <v>166</v>
      </c>
      <c r="AI66" s="143">
        <v>173</v>
      </c>
      <c r="AJ66" s="143">
        <v>182</v>
      </c>
      <c r="AK66" s="39">
        <v>190</v>
      </c>
      <c r="AL66" s="144">
        <v>199</v>
      </c>
      <c r="AM66" s="144">
        <v>211</v>
      </c>
      <c r="AN66" s="145"/>
      <c r="AO66" s="141"/>
      <c r="AP66" s="142" t="s">
        <v>34</v>
      </c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</row>
    <row r="67" spans="1:52" ht="9.75" customHeight="1" x14ac:dyDescent="0.25">
      <c r="A67" s="142" t="s">
        <v>35</v>
      </c>
      <c r="B67" s="142" t="s">
        <v>22</v>
      </c>
      <c r="C67" s="26">
        <v>146</v>
      </c>
      <c r="D67" s="26">
        <v>152</v>
      </c>
      <c r="E67" s="26">
        <v>158</v>
      </c>
      <c r="F67" s="26">
        <v>165</v>
      </c>
      <c r="G67" s="26">
        <v>172</v>
      </c>
      <c r="H67" s="26">
        <v>178</v>
      </c>
      <c r="I67" s="150">
        <v>188</v>
      </c>
      <c r="J67" s="148">
        <v>198</v>
      </c>
      <c r="K67" s="148">
        <v>205</v>
      </c>
      <c r="L67" s="142" t="s">
        <v>35</v>
      </c>
      <c r="M67" s="26">
        <v>152</v>
      </c>
      <c r="N67" s="26">
        <v>158</v>
      </c>
      <c r="O67" s="26">
        <v>165</v>
      </c>
      <c r="P67" s="26">
        <v>172</v>
      </c>
      <c r="Q67" s="26">
        <v>179</v>
      </c>
      <c r="R67" s="26">
        <v>188</v>
      </c>
      <c r="S67" s="150">
        <v>197</v>
      </c>
      <c r="T67" s="148">
        <v>206</v>
      </c>
      <c r="U67" s="148"/>
      <c r="V67" s="142" t="s">
        <v>35</v>
      </c>
      <c r="W67" s="26">
        <v>158</v>
      </c>
      <c r="X67" s="26">
        <v>165</v>
      </c>
      <c r="Y67" s="26">
        <v>172</v>
      </c>
      <c r="Z67" s="26">
        <v>179</v>
      </c>
      <c r="AA67" s="26">
        <v>188</v>
      </c>
      <c r="AB67" s="20">
        <v>197</v>
      </c>
      <c r="AC67" s="148">
        <v>206</v>
      </c>
      <c r="AD67" s="148"/>
      <c r="AE67" s="149"/>
      <c r="AF67" s="142" t="s">
        <v>35</v>
      </c>
      <c r="AG67" s="26">
        <v>165</v>
      </c>
      <c r="AH67" s="26">
        <v>172</v>
      </c>
      <c r="AI67" s="26">
        <v>179</v>
      </c>
      <c r="AJ67" s="26">
        <v>188</v>
      </c>
      <c r="AK67" s="20">
        <v>197</v>
      </c>
      <c r="AL67" s="148">
        <v>206</v>
      </c>
      <c r="AM67" s="147"/>
      <c r="AN67" s="20"/>
      <c r="AO67" s="147"/>
      <c r="AP67" s="142" t="s">
        <v>35</v>
      </c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</row>
    <row r="68" spans="1:52" ht="9.75" customHeight="1" x14ac:dyDescent="0.25">
      <c r="A68" s="142" t="s">
        <v>36</v>
      </c>
      <c r="B68" s="142" t="s">
        <v>25</v>
      </c>
      <c r="C68" s="143">
        <v>152</v>
      </c>
      <c r="D68" s="143">
        <v>158</v>
      </c>
      <c r="E68" s="143">
        <v>164</v>
      </c>
      <c r="F68" s="143">
        <v>171</v>
      </c>
      <c r="G68" s="143">
        <v>178</v>
      </c>
      <c r="H68" s="39">
        <v>185</v>
      </c>
      <c r="I68" s="144">
        <v>195</v>
      </c>
      <c r="J68" s="144">
        <v>205</v>
      </c>
      <c r="K68" s="141"/>
      <c r="L68" s="142" t="s">
        <v>36</v>
      </c>
      <c r="M68" s="143">
        <v>158</v>
      </c>
      <c r="N68" s="143">
        <v>164</v>
      </c>
      <c r="O68" s="143">
        <v>171</v>
      </c>
      <c r="P68" s="143">
        <v>178</v>
      </c>
      <c r="Q68" s="143">
        <v>186</v>
      </c>
      <c r="R68" s="39">
        <v>195</v>
      </c>
      <c r="S68" s="144">
        <v>204</v>
      </c>
      <c r="T68" s="144"/>
      <c r="U68" s="144"/>
      <c r="V68" s="142" t="s">
        <v>36</v>
      </c>
      <c r="W68" s="143">
        <v>164</v>
      </c>
      <c r="X68" s="143">
        <v>171</v>
      </c>
      <c r="Y68" s="143">
        <v>178</v>
      </c>
      <c r="Z68" s="39">
        <v>186</v>
      </c>
      <c r="AA68" s="39">
        <v>195</v>
      </c>
      <c r="AB68" s="39">
        <v>204</v>
      </c>
      <c r="AC68" s="39"/>
      <c r="AD68" s="144"/>
      <c r="AE68" s="141"/>
      <c r="AF68" s="142" t="s">
        <v>36</v>
      </c>
      <c r="AG68" s="143">
        <v>171</v>
      </c>
      <c r="AH68" s="143">
        <v>178</v>
      </c>
      <c r="AI68" s="39">
        <v>186</v>
      </c>
      <c r="AJ68" s="39">
        <v>195</v>
      </c>
      <c r="AK68" s="39">
        <v>204</v>
      </c>
      <c r="AL68" s="141"/>
      <c r="AM68" s="39"/>
      <c r="AN68" s="39"/>
      <c r="AO68" s="141"/>
      <c r="AP68" s="142" t="s">
        <v>36</v>
      </c>
      <c r="AQ68" s="146"/>
      <c r="AR68" s="146"/>
      <c r="AS68" s="146"/>
      <c r="AT68" s="146"/>
      <c r="AU68" s="146"/>
      <c r="AV68" s="146"/>
      <c r="AW68" s="146"/>
      <c r="AX68" s="146"/>
      <c r="AY68" s="146"/>
      <c r="AZ68" s="146"/>
    </row>
    <row r="69" spans="1:52" ht="9.75" customHeight="1" x14ac:dyDescent="0.25">
      <c r="A69" s="140" t="s">
        <v>38</v>
      </c>
      <c r="B69" s="142" t="s">
        <v>27</v>
      </c>
      <c r="C69" s="26">
        <v>158</v>
      </c>
      <c r="D69" s="26">
        <v>164</v>
      </c>
      <c r="E69" s="26">
        <v>170</v>
      </c>
      <c r="F69" s="26">
        <v>178</v>
      </c>
      <c r="G69" s="26">
        <v>185</v>
      </c>
      <c r="H69" s="20">
        <v>192</v>
      </c>
      <c r="I69" s="148">
        <v>202</v>
      </c>
      <c r="J69" s="20"/>
      <c r="K69" s="147"/>
      <c r="L69" s="140" t="s">
        <v>38</v>
      </c>
      <c r="M69" s="26">
        <v>164</v>
      </c>
      <c r="N69" s="26">
        <v>170</v>
      </c>
      <c r="O69" s="26">
        <v>178</v>
      </c>
      <c r="P69" s="26">
        <v>185</v>
      </c>
      <c r="Q69" s="26">
        <v>193</v>
      </c>
      <c r="R69" s="20">
        <v>202</v>
      </c>
      <c r="S69" s="148"/>
      <c r="T69" s="149"/>
      <c r="U69" s="148"/>
      <c r="V69" s="140" t="s">
        <v>38</v>
      </c>
      <c r="W69" s="26">
        <v>170</v>
      </c>
      <c r="X69" s="26">
        <v>178</v>
      </c>
      <c r="Y69" s="26">
        <v>185</v>
      </c>
      <c r="Z69" s="20">
        <v>193</v>
      </c>
      <c r="AA69" s="20">
        <v>202</v>
      </c>
      <c r="AB69" s="20"/>
      <c r="AC69" s="20"/>
      <c r="AD69" s="20"/>
      <c r="AE69" s="147"/>
      <c r="AF69" s="140" t="s">
        <v>38</v>
      </c>
      <c r="AG69" s="26">
        <v>178</v>
      </c>
      <c r="AH69" s="26">
        <v>185</v>
      </c>
      <c r="AI69" s="20">
        <v>193</v>
      </c>
      <c r="AJ69" s="20">
        <v>202</v>
      </c>
      <c r="AK69" s="147"/>
      <c r="AL69" s="20"/>
      <c r="AM69" s="20"/>
      <c r="AN69" s="20"/>
      <c r="AO69" s="147"/>
      <c r="AP69" s="140" t="s">
        <v>38</v>
      </c>
      <c r="AQ69" s="146"/>
      <c r="AR69" s="146"/>
      <c r="AS69" s="146"/>
      <c r="AT69" s="146"/>
      <c r="AU69" s="146"/>
      <c r="AV69" s="146"/>
      <c r="AW69" s="146"/>
      <c r="AX69" s="146"/>
      <c r="AY69" s="146"/>
      <c r="AZ69" s="146"/>
    </row>
    <row r="70" spans="1:52" ht="9.75" customHeight="1" x14ac:dyDescent="0.25">
      <c r="A70" s="140" t="s">
        <v>40</v>
      </c>
      <c r="B70" s="142" t="s">
        <v>29</v>
      </c>
      <c r="C70" s="143">
        <v>164</v>
      </c>
      <c r="D70" s="143">
        <v>171</v>
      </c>
      <c r="E70" s="143">
        <v>177</v>
      </c>
      <c r="F70" s="39">
        <v>185</v>
      </c>
      <c r="G70" s="39">
        <v>192</v>
      </c>
      <c r="H70" s="39">
        <v>200</v>
      </c>
      <c r="I70" s="39"/>
      <c r="J70" s="39"/>
      <c r="K70" s="141"/>
      <c r="L70" s="140" t="s">
        <v>40</v>
      </c>
      <c r="M70" s="143">
        <v>171</v>
      </c>
      <c r="N70" s="143">
        <v>177</v>
      </c>
      <c r="O70" s="143">
        <v>185</v>
      </c>
      <c r="P70" s="39">
        <v>192</v>
      </c>
      <c r="Q70" s="39">
        <v>201</v>
      </c>
      <c r="R70" s="39"/>
      <c r="S70" s="144"/>
      <c r="T70" s="144"/>
      <c r="U70" s="144"/>
      <c r="V70" s="140" t="s">
        <v>40</v>
      </c>
      <c r="W70" s="143">
        <v>177</v>
      </c>
      <c r="X70" s="39">
        <v>185</v>
      </c>
      <c r="Y70" s="39">
        <v>192</v>
      </c>
      <c r="Z70" s="39">
        <v>201</v>
      </c>
      <c r="AA70" s="39"/>
      <c r="AB70" s="39"/>
      <c r="AC70" s="39"/>
      <c r="AD70" s="39"/>
      <c r="AE70" s="141"/>
      <c r="AF70" s="140" t="s">
        <v>40</v>
      </c>
      <c r="AG70" s="143"/>
      <c r="AH70" s="39"/>
      <c r="AI70" s="39"/>
      <c r="AJ70" s="39"/>
      <c r="AK70" s="39"/>
      <c r="AL70" s="39"/>
      <c r="AM70" s="39"/>
      <c r="AN70" s="39"/>
      <c r="AO70" s="141"/>
      <c r="AP70" s="140" t="s">
        <v>40</v>
      </c>
      <c r="AQ70" s="146"/>
      <c r="AR70" s="146"/>
      <c r="AS70" s="146"/>
      <c r="AT70" s="146"/>
      <c r="AU70" s="146"/>
      <c r="AV70" s="146"/>
      <c r="AW70" s="146"/>
      <c r="AX70" s="146"/>
      <c r="AY70" s="146"/>
      <c r="AZ70" s="146"/>
    </row>
    <row r="71" spans="1:52" ht="9.75" customHeight="1" x14ac:dyDescent="0.25">
      <c r="A71" s="140" t="s">
        <v>42</v>
      </c>
      <c r="B71" s="142" t="s">
        <v>31</v>
      </c>
      <c r="C71" s="26">
        <v>171</v>
      </c>
      <c r="D71" s="26">
        <v>178</v>
      </c>
      <c r="E71" s="26">
        <v>184</v>
      </c>
      <c r="F71" s="20">
        <v>192</v>
      </c>
      <c r="G71" s="20">
        <v>200</v>
      </c>
      <c r="H71" s="20"/>
      <c r="I71" s="20"/>
      <c r="J71" s="20"/>
      <c r="K71" s="147"/>
      <c r="L71" s="140" t="s">
        <v>42</v>
      </c>
      <c r="M71" s="26">
        <v>178</v>
      </c>
      <c r="N71" s="26">
        <v>184</v>
      </c>
      <c r="O71" s="26">
        <v>192</v>
      </c>
      <c r="P71" s="20">
        <v>200</v>
      </c>
      <c r="Q71" s="20"/>
      <c r="R71" s="147"/>
      <c r="S71" s="148"/>
      <c r="T71" s="148"/>
      <c r="U71" s="148"/>
      <c r="V71" s="140" t="s">
        <v>42</v>
      </c>
      <c r="W71" s="26"/>
      <c r="X71" s="20"/>
      <c r="Y71" s="20"/>
      <c r="Z71" s="20"/>
      <c r="AA71" s="20"/>
      <c r="AB71" s="20"/>
      <c r="AC71" s="20"/>
      <c r="AD71" s="20"/>
      <c r="AE71" s="147"/>
      <c r="AF71" s="140" t="s">
        <v>42</v>
      </c>
      <c r="AG71" s="26"/>
      <c r="AH71" s="20"/>
      <c r="AI71" s="20"/>
      <c r="AJ71" s="20"/>
      <c r="AK71" s="20"/>
      <c r="AL71" s="20"/>
      <c r="AM71" s="20"/>
      <c r="AN71" s="20"/>
      <c r="AO71" s="147"/>
      <c r="AP71" s="140" t="s">
        <v>42</v>
      </c>
      <c r="AQ71" s="146"/>
      <c r="AR71" s="146"/>
      <c r="AS71" s="146"/>
      <c r="AT71" s="146"/>
      <c r="AU71" s="146"/>
      <c r="AV71" s="146"/>
      <c r="AW71" s="146"/>
      <c r="AX71" s="146"/>
      <c r="AY71" s="146"/>
      <c r="AZ71" s="146"/>
    </row>
    <row r="72" spans="1:52" ht="9.75" customHeight="1" x14ac:dyDescent="0.25">
      <c r="A72" s="140" t="s">
        <v>132</v>
      </c>
      <c r="B72" s="142" t="s">
        <v>37</v>
      </c>
      <c r="C72" s="143">
        <v>178</v>
      </c>
      <c r="D72" s="39">
        <v>185</v>
      </c>
      <c r="E72" s="39">
        <v>193</v>
      </c>
      <c r="F72" s="39">
        <v>200</v>
      </c>
      <c r="G72" s="39"/>
      <c r="H72" s="39"/>
      <c r="I72" s="39"/>
      <c r="J72" s="39"/>
      <c r="K72" s="141"/>
      <c r="L72" s="140" t="s">
        <v>132</v>
      </c>
      <c r="M72" s="143"/>
      <c r="N72" s="143"/>
      <c r="O72" s="39"/>
      <c r="P72" s="39"/>
      <c r="Q72" s="39"/>
      <c r="R72" s="39"/>
      <c r="S72" s="144"/>
      <c r="T72" s="144"/>
      <c r="U72" s="144"/>
      <c r="V72" s="140" t="s">
        <v>132</v>
      </c>
      <c r="W72" s="143"/>
      <c r="X72" s="39"/>
      <c r="Y72" s="39"/>
      <c r="Z72" s="39"/>
      <c r="AA72" s="39"/>
      <c r="AB72" s="39"/>
      <c r="AC72" s="39"/>
      <c r="AD72" s="39"/>
      <c r="AE72" s="141"/>
      <c r="AF72" s="140" t="s">
        <v>132</v>
      </c>
      <c r="AG72" s="143"/>
      <c r="AH72" s="39"/>
      <c r="AI72" s="39"/>
      <c r="AJ72" s="39"/>
      <c r="AK72" s="39"/>
      <c r="AL72" s="39"/>
      <c r="AM72" s="39"/>
      <c r="AN72" s="39"/>
      <c r="AO72" s="141"/>
      <c r="AP72" s="140" t="s">
        <v>132</v>
      </c>
      <c r="AQ72" s="146"/>
      <c r="AR72" s="146"/>
      <c r="AS72" s="146"/>
      <c r="AT72" s="146"/>
      <c r="AU72" s="146"/>
      <c r="AV72" s="146"/>
      <c r="AW72" s="146"/>
      <c r="AX72" s="146"/>
      <c r="AY72" s="146"/>
      <c r="AZ72" s="146"/>
    </row>
    <row r="73" spans="1:52" ht="15" customHeight="1" x14ac:dyDescent="0.25">
      <c r="A73" s="152"/>
      <c r="B73" s="152"/>
      <c r="C73" s="216" t="s">
        <v>133</v>
      </c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  <c r="AT73" s="216"/>
      <c r="AU73" s="216"/>
      <c r="AV73" s="216"/>
      <c r="AW73" s="216"/>
      <c r="AX73" s="216"/>
      <c r="AY73" s="216"/>
      <c r="AZ73" s="216"/>
    </row>
    <row r="74" spans="1:52" ht="17.25" customHeight="1" x14ac:dyDescent="0.25">
      <c r="C74" s="217" t="s">
        <v>106</v>
      </c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217"/>
      <c r="AN74" s="217"/>
      <c r="AO74" s="217"/>
      <c r="AP74" s="217"/>
      <c r="AQ74" s="217"/>
      <c r="AR74" s="217"/>
      <c r="AS74" s="217"/>
      <c r="AT74" s="217"/>
      <c r="AU74" s="217"/>
      <c r="AV74" s="217"/>
      <c r="AW74" s="217"/>
      <c r="AX74" s="217"/>
      <c r="AY74" s="217"/>
    </row>
    <row r="75" spans="1:52" ht="17.25" customHeight="1" x14ac:dyDescent="0.25">
      <c r="C75" s="218" t="s">
        <v>136</v>
      </c>
      <c r="D75" s="218"/>
      <c r="E75" s="218"/>
      <c r="F75" s="218"/>
      <c r="G75" s="218"/>
      <c r="H75" s="218"/>
      <c r="I75" s="218"/>
      <c r="J75" s="218"/>
      <c r="K75" s="218"/>
      <c r="L75" s="124"/>
      <c r="M75" s="218" t="s">
        <v>136</v>
      </c>
      <c r="N75" s="218"/>
      <c r="O75" s="218"/>
      <c r="P75" s="218"/>
      <c r="Q75" s="218"/>
      <c r="R75" s="218"/>
      <c r="S75" s="218"/>
      <c r="T75" s="218"/>
      <c r="U75" s="218"/>
      <c r="V75" s="124"/>
      <c r="W75" s="218" t="s">
        <v>136</v>
      </c>
      <c r="X75" s="218"/>
      <c r="Y75" s="218"/>
      <c r="Z75" s="218"/>
      <c r="AA75" s="218"/>
      <c r="AB75" s="218"/>
      <c r="AC75" s="218"/>
      <c r="AD75" s="218"/>
      <c r="AE75" s="218"/>
      <c r="AF75" s="124"/>
      <c r="AG75" s="218" t="s">
        <v>136</v>
      </c>
      <c r="AH75" s="218"/>
      <c r="AI75" s="218"/>
      <c r="AJ75" s="218"/>
      <c r="AK75" s="218"/>
      <c r="AL75" s="218"/>
      <c r="AM75" s="218"/>
      <c r="AN75" s="218"/>
      <c r="AO75" s="218"/>
      <c r="AP75" s="124"/>
      <c r="AQ75" s="219" t="s">
        <v>136</v>
      </c>
      <c r="AR75" s="219"/>
      <c r="AS75" s="219"/>
      <c r="AT75" s="219"/>
      <c r="AU75" s="219"/>
      <c r="AV75" s="219"/>
      <c r="AW75" s="219"/>
      <c r="AX75" s="219"/>
      <c r="AY75" s="219"/>
      <c r="AZ75" s="124"/>
    </row>
    <row r="76" spans="1:52" ht="16.5" customHeight="1" x14ac:dyDescent="0.25">
      <c r="A76" s="210" t="s">
        <v>4</v>
      </c>
      <c r="B76" s="210"/>
      <c r="C76" s="213" t="s">
        <v>137</v>
      </c>
      <c r="D76" s="213"/>
      <c r="E76" s="213"/>
      <c r="F76" s="213"/>
      <c r="G76" s="213"/>
      <c r="H76" s="213"/>
      <c r="I76" s="213"/>
      <c r="J76" s="213"/>
      <c r="K76" s="213"/>
      <c r="L76" s="33" t="s">
        <v>109</v>
      </c>
      <c r="M76" s="213" t="s">
        <v>138</v>
      </c>
      <c r="N76" s="213"/>
      <c r="O76" s="213"/>
      <c r="P76" s="213"/>
      <c r="Q76" s="213"/>
      <c r="R76" s="213"/>
      <c r="S76" s="213"/>
      <c r="T76" s="213"/>
      <c r="U76" s="213"/>
      <c r="V76" s="33" t="s">
        <v>109</v>
      </c>
      <c r="W76" s="213" t="s">
        <v>139</v>
      </c>
      <c r="X76" s="213"/>
      <c r="Y76" s="213"/>
      <c r="Z76" s="213"/>
      <c r="AA76" s="213"/>
      <c r="AB76" s="213"/>
      <c r="AC76" s="213"/>
      <c r="AD76" s="213"/>
      <c r="AE76" s="213"/>
      <c r="AF76" s="33" t="s">
        <v>109</v>
      </c>
      <c r="AG76" s="213" t="s">
        <v>140</v>
      </c>
      <c r="AH76" s="213"/>
      <c r="AI76" s="213"/>
      <c r="AJ76" s="213"/>
      <c r="AK76" s="213"/>
      <c r="AL76" s="213"/>
      <c r="AM76" s="213"/>
      <c r="AN76" s="213"/>
      <c r="AO76" s="213"/>
      <c r="AP76" s="33" t="s">
        <v>109</v>
      </c>
      <c r="AQ76" s="213" t="s">
        <v>141</v>
      </c>
      <c r="AR76" s="213"/>
      <c r="AS76" s="213"/>
      <c r="AT76" s="213"/>
      <c r="AU76" s="213"/>
      <c r="AV76" s="213"/>
      <c r="AW76" s="213"/>
      <c r="AX76" s="213"/>
      <c r="AY76" s="213"/>
      <c r="AZ76" s="160" t="s">
        <v>109</v>
      </c>
    </row>
    <row r="77" spans="1:52" ht="9.75" customHeight="1" x14ac:dyDescent="0.25">
      <c r="A77" s="210" t="s">
        <v>6</v>
      </c>
      <c r="B77" s="210"/>
      <c r="C77" s="126">
        <v>20</v>
      </c>
      <c r="D77" s="126">
        <v>20</v>
      </c>
      <c r="E77" s="127">
        <v>20</v>
      </c>
      <c r="F77" s="127">
        <v>20</v>
      </c>
      <c r="G77" s="127">
        <v>20</v>
      </c>
      <c r="H77" s="127">
        <v>20</v>
      </c>
      <c r="I77" s="127">
        <v>20</v>
      </c>
      <c r="J77" s="155">
        <v>20</v>
      </c>
      <c r="K77" s="155">
        <v>20</v>
      </c>
      <c r="L77" s="129" t="s">
        <v>113</v>
      </c>
      <c r="M77" s="126">
        <v>19</v>
      </c>
      <c r="N77" s="126">
        <v>19</v>
      </c>
      <c r="O77" s="127">
        <v>19</v>
      </c>
      <c r="P77" s="127">
        <v>19</v>
      </c>
      <c r="Q77" s="127">
        <v>19</v>
      </c>
      <c r="R77" s="127">
        <v>19</v>
      </c>
      <c r="S77" s="127">
        <v>19</v>
      </c>
      <c r="T77" s="127">
        <v>19</v>
      </c>
      <c r="U77" s="127">
        <v>19</v>
      </c>
      <c r="V77" s="129" t="s">
        <v>113</v>
      </c>
      <c r="W77" s="126">
        <v>18</v>
      </c>
      <c r="X77" s="126">
        <v>18</v>
      </c>
      <c r="Y77" s="126">
        <v>18</v>
      </c>
      <c r="Z77" s="126">
        <v>18</v>
      </c>
      <c r="AA77" s="126">
        <v>18</v>
      </c>
      <c r="AB77" s="126">
        <v>18</v>
      </c>
      <c r="AC77" s="126">
        <v>18</v>
      </c>
      <c r="AD77" s="126">
        <v>18</v>
      </c>
      <c r="AE77" s="126">
        <v>18</v>
      </c>
      <c r="AF77" s="129" t="s">
        <v>113</v>
      </c>
      <c r="AG77" s="126">
        <v>17</v>
      </c>
      <c r="AH77" s="126">
        <v>17</v>
      </c>
      <c r="AI77" s="126">
        <v>17</v>
      </c>
      <c r="AJ77" s="126">
        <v>17</v>
      </c>
      <c r="AK77" s="126">
        <v>17</v>
      </c>
      <c r="AL77" s="126">
        <v>17</v>
      </c>
      <c r="AM77" s="126">
        <v>17</v>
      </c>
      <c r="AN77" s="126">
        <v>17</v>
      </c>
      <c r="AO77" s="126">
        <v>17</v>
      </c>
      <c r="AP77" s="129" t="s">
        <v>113</v>
      </c>
      <c r="AQ77" s="126">
        <v>16</v>
      </c>
      <c r="AR77" s="126">
        <v>16</v>
      </c>
      <c r="AS77" s="126">
        <v>16</v>
      </c>
      <c r="AT77" s="126">
        <v>16</v>
      </c>
      <c r="AU77" s="126">
        <v>16</v>
      </c>
      <c r="AV77" s="126">
        <v>16</v>
      </c>
      <c r="AW77" s="126">
        <v>16</v>
      </c>
      <c r="AX77" s="126">
        <v>16</v>
      </c>
      <c r="AY77" s="126">
        <v>16</v>
      </c>
      <c r="AZ77" s="161" t="s">
        <v>113</v>
      </c>
    </row>
    <row r="78" spans="1:52" ht="9.75" customHeight="1" x14ac:dyDescent="0.25">
      <c r="A78" s="131" t="s">
        <v>11</v>
      </c>
      <c r="B78" s="131" t="s">
        <v>12</v>
      </c>
      <c r="C78" s="132">
        <v>22</v>
      </c>
      <c r="D78" s="137">
        <v>20</v>
      </c>
      <c r="E78" s="134">
        <v>18</v>
      </c>
      <c r="F78" s="134">
        <v>16</v>
      </c>
      <c r="G78" s="134">
        <v>14</v>
      </c>
      <c r="H78" s="134">
        <v>12</v>
      </c>
      <c r="I78" s="134">
        <v>10</v>
      </c>
      <c r="J78" s="158">
        <v>8</v>
      </c>
      <c r="K78" s="158">
        <v>6</v>
      </c>
      <c r="L78" s="136" t="s">
        <v>114</v>
      </c>
      <c r="M78" s="132">
        <v>22</v>
      </c>
      <c r="N78" s="137">
        <v>20</v>
      </c>
      <c r="O78" s="134">
        <v>18</v>
      </c>
      <c r="P78" s="134">
        <v>16</v>
      </c>
      <c r="Q78" s="134">
        <v>14</v>
      </c>
      <c r="R78" s="134">
        <v>12</v>
      </c>
      <c r="S78" s="134">
        <v>10</v>
      </c>
      <c r="T78" s="158">
        <v>8</v>
      </c>
      <c r="U78" s="158">
        <v>6</v>
      </c>
      <c r="V78" s="136" t="s">
        <v>114</v>
      </c>
      <c r="W78" s="132">
        <v>22</v>
      </c>
      <c r="X78" s="137">
        <v>20</v>
      </c>
      <c r="Y78" s="134">
        <v>18</v>
      </c>
      <c r="Z78" s="134">
        <v>16</v>
      </c>
      <c r="AA78" s="134">
        <v>14</v>
      </c>
      <c r="AB78" s="134">
        <v>12</v>
      </c>
      <c r="AC78" s="134">
        <v>10</v>
      </c>
      <c r="AD78" s="158">
        <v>8</v>
      </c>
      <c r="AE78" s="158">
        <v>6</v>
      </c>
      <c r="AF78" s="136" t="s">
        <v>114</v>
      </c>
      <c r="AG78" s="137">
        <v>22</v>
      </c>
      <c r="AH78" s="137">
        <v>20</v>
      </c>
      <c r="AI78" s="134">
        <v>18</v>
      </c>
      <c r="AJ78" s="134">
        <v>16</v>
      </c>
      <c r="AK78" s="134">
        <v>14</v>
      </c>
      <c r="AL78" s="134">
        <v>12</v>
      </c>
      <c r="AM78" s="134">
        <v>10</v>
      </c>
      <c r="AN78" s="158">
        <v>8</v>
      </c>
      <c r="AO78" s="158">
        <v>6</v>
      </c>
      <c r="AP78" s="136" t="s">
        <v>114</v>
      </c>
      <c r="AQ78" s="132">
        <v>22</v>
      </c>
      <c r="AR78" s="137">
        <v>20</v>
      </c>
      <c r="AS78" s="134">
        <v>18</v>
      </c>
      <c r="AT78" s="134">
        <v>16</v>
      </c>
      <c r="AU78" s="134">
        <v>14</v>
      </c>
      <c r="AV78" s="134">
        <v>12</v>
      </c>
      <c r="AW78" s="134">
        <v>10</v>
      </c>
      <c r="AX78" s="158">
        <v>8</v>
      </c>
      <c r="AY78" s="158">
        <v>6</v>
      </c>
      <c r="AZ78" s="153" t="s">
        <v>114</v>
      </c>
    </row>
    <row r="79" spans="1:52" ht="9.75" customHeight="1" x14ac:dyDescent="0.25">
      <c r="A79" s="140" t="s">
        <v>115</v>
      </c>
      <c r="B79" s="140" t="s">
        <v>116</v>
      </c>
      <c r="C79" s="39"/>
      <c r="D79" s="143"/>
      <c r="E79" s="39"/>
      <c r="F79" s="39"/>
      <c r="G79" s="39"/>
      <c r="H79" s="39"/>
      <c r="I79" s="144"/>
      <c r="J79" s="39"/>
      <c r="K79" s="144">
        <v>200</v>
      </c>
      <c r="L79" s="142" t="s">
        <v>115</v>
      </c>
      <c r="M79" s="143"/>
      <c r="N79" s="143"/>
      <c r="O79" s="39"/>
      <c r="P79" s="39"/>
      <c r="Q79" s="39"/>
      <c r="R79" s="39"/>
      <c r="S79" s="39"/>
      <c r="T79" s="39"/>
      <c r="U79" s="144">
        <v>210</v>
      </c>
      <c r="V79" s="142" t="s">
        <v>115</v>
      </c>
      <c r="W79" s="143"/>
      <c r="X79" s="143"/>
      <c r="Y79" s="39"/>
      <c r="Z79" s="39"/>
      <c r="AA79" s="39"/>
      <c r="AB79" s="39"/>
      <c r="AC79" s="39"/>
      <c r="AD79" s="39"/>
      <c r="AE79" s="144">
        <v>220</v>
      </c>
      <c r="AF79" s="142" t="s">
        <v>115</v>
      </c>
      <c r="AG79" s="143"/>
      <c r="AH79" s="143"/>
      <c r="AI79" s="39"/>
      <c r="AJ79" s="39"/>
      <c r="AK79" s="39"/>
      <c r="AL79" s="39"/>
      <c r="AM79" s="39"/>
      <c r="AN79" s="39"/>
      <c r="AO79" s="144">
        <v>230</v>
      </c>
      <c r="AP79" s="142" t="s">
        <v>115</v>
      </c>
      <c r="AQ79" s="143"/>
      <c r="AR79" s="39"/>
      <c r="AS79" s="39"/>
      <c r="AT79" s="39"/>
      <c r="AU79" s="39"/>
      <c r="AV79" s="39"/>
      <c r="AW79" s="39"/>
      <c r="AX79" s="39"/>
      <c r="AY79" s="144">
        <v>240</v>
      </c>
      <c r="AZ79" s="142" t="s">
        <v>115</v>
      </c>
    </row>
    <row r="80" spans="1:52" ht="9.75" customHeight="1" x14ac:dyDescent="0.25">
      <c r="A80" s="142" t="s">
        <v>117</v>
      </c>
      <c r="B80" s="142" t="s">
        <v>118</v>
      </c>
      <c r="C80" s="26"/>
      <c r="D80" s="26"/>
      <c r="E80" s="20"/>
      <c r="F80" s="20"/>
      <c r="G80" s="20"/>
      <c r="H80" s="20"/>
      <c r="I80" s="148"/>
      <c r="J80" s="20">
        <v>200</v>
      </c>
      <c r="K80" s="148">
        <v>210</v>
      </c>
      <c r="L80" s="142" t="s">
        <v>117</v>
      </c>
      <c r="M80" s="26"/>
      <c r="N80" s="26"/>
      <c r="O80" s="20"/>
      <c r="P80" s="20"/>
      <c r="Q80" s="20"/>
      <c r="R80" s="20"/>
      <c r="S80" s="20"/>
      <c r="T80" s="20">
        <v>210</v>
      </c>
      <c r="U80" s="148">
        <v>220</v>
      </c>
      <c r="V80" s="142" t="s">
        <v>117</v>
      </c>
      <c r="W80" s="26"/>
      <c r="X80" s="26"/>
      <c r="Y80" s="20"/>
      <c r="Z80" s="20"/>
      <c r="AA80" s="20"/>
      <c r="AB80" s="20"/>
      <c r="AC80" s="20"/>
      <c r="AD80" s="20">
        <v>220</v>
      </c>
      <c r="AE80" s="148">
        <v>230</v>
      </c>
      <c r="AF80" s="142" t="s">
        <v>117</v>
      </c>
      <c r="AG80" s="26"/>
      <c r="AH80" s="26"/>
      <c r="AI80" s="20"/>
      <c r="AJ80" s="20"/>
      <c r="AK80" s="20"/>
      <c r="AL80" s="20"/>
      <c r="AM80" s="20"/>
      <c r="AN80" s="20">
        <v>230</v>
      </c>
      <c r="AO80" s="148">
        <v>240</v>
      </c>
      <c r="AP80" s="142" t="s">
        <v>117</v>
      </c>
      <c r="AQ80" s="26"/>
      <c r="AR80" s="20"/>
      <c r="AS80" s="20"/>
      <c r="AT80" s="20"/>
      <c r="AU80" s="20"/>
      <c r="AV80" s="20"/>
      <c r="AW80" s="20"/>
      <c r="AX80" s="20">
        <v>240</v>
      </c>
      <c r="AY80" s="148">
        <v>250</v>
      </c>
      <c r="AZ80" s="142" t="s">
        <v>117</v>
      </c>
    </row>
    <row r="81" spans="1:52" ht="9.75" customHeight="1" x14ac:dyDescent="0.25">
      <c r="A81" s="142" t="s">
        <v>119</v>
      </c>
      <c r="B81" s="142" t="s">
        <v>120</v>
      </c>
      <c r="C81" s="143"/>
      <c r="D81" s="143"/>
      <c r="E81" s="39"/>
      <c r="F81" s="39"/>
      <c r="G81" s="39"/>
      <c r="H81" s="39"/>
      <c r="I81" s="144">
        <v>200</v>
      </c>
      <c r="J81" s="39">
        <v>210</v>
      </c>
      <c r="K81" s="144">
        <v>220</v>
      </c>
      <c r="L81" s="142" t="s">
        <v>119</v>
      </c>
      <c r="M81" s="143"/>
      <c r="N81" s="143"/>
      <c r="O81" s="39"/>
      <c r="P81" s="39"/>
      <c r="Q81" s="39"/>
      <c r="R81" s="39"/>
      <c r="S81" s="144">
        <v>210</v>
      </c>
      <c r="T81" s="39">
        <v>220</v>
      </c>
      <c r="U81" s="144">
        <v>230</v>
      </c>
      <c r="V81" s="142" t="s">
        <v>119</v>
      </c>
      <c r="W81" s="143"/>
      <c r="X81" s="143"/>
      <c r="Y81" s="39"/>
      <c r="Z81" s="39"/>
      <c r="AA81" s="39"/>
      <c r="AB81" s="39"/>
      <c r="AC81" s="144">
        <v>220</v>
      </c>
      <c r="AD81" s="39">
        <v>230</v>
      </c>
      <c r="AE81" s="144">
        <v>240</v>
      </c>
      <c r="AF81" s="142" t="s">
        <v>119</v>
      </c>
      <c r="AG81" s="143"/>
      <c r="AH81" s="143"/>
      <c r="AI81" s="39"/>
      <c r="AJ81" s="39"/>
      <c r="AK81" s="39"/>
      <c r="AL81" s="39"/>
      <c r="AM81" s="144">
        <v>230</v>
      </c>
      <c r="AN81" s="39">
        <v>240</v>
      </c>
      <c r="AO81" s="144">
        <v>250</v>
      </c>
      <c r="AP81" s="142" t="s">
        <v>119</v>
      </c>
      <c r="AQ81" s="143"/>
      <c r="AR81" s="39"/>
      <c r="AS81" s="39"/>
      <c r="AT81" s="39"/>
      <c r="AU81" s="39"/>
      <c r="AV81" s="39"/>
      <c r="AW81" s="144">
        <v>240</v>
      </c>
      <c r="AX81" s="39">
        <v>250</v>
      </c>
      <c r="AY81" s="144">
        <v>260</v>
      </c>
      <c r="AZ81" s="142" t="s">
        <v>119</v>
      </c>
    </row>
    <row r="82" spans="1:52" ht="9.75" customHeight="1" x14ac:dyDescent="0.25">
      <c r="A82" s="142" t="s">
        <v>121</v>
      </c>
      <c r="B82" s="142" t="s">
        <v>122</v>
      </c>
      <c r="C82" s="26"/>
      <c r="D82" s="26"/>
      <c r="E82" s="20"/>
      <c r="F82" s="20"/>
      <c r="G82" s="20"/>
      <c r="H82" s="20">
        <v>200</v>
      </c>
      <c r="I82" s="148">
        <v>210</v>
      </c>
      <c r="J82" s="20">
        <v>220</v>
      </c>
      <c r="K82" s="148">
        <v>230</v>
      </c>
      <c r="L82" s="142" t="s">
        <v>121</v>
      </c>
      <c r="M82" s="26"/>
      <c r="N82" s="26"/>
      <c r="O82" s="20"/>
      <c r="P82" s="20"/>
      <c r="Q82" s="20"/>
      <c r="R82" s="20">
        <v>210</v>
      </c>
      <c r="S82" s="148">
        <v>220</v>
      </c>
      <c r="T82" s="20">
        <v>230</v>
      </c>
      <c r="U82" s="148">
        <v>240</v>
      </c>
      <c r="V82" s="142" t="s">
        <v>121</v>
      </c>
      <c r="W82" s="26"/>
      <c r="X82" s="26"/>
      <c r="Y82" s="20"/>
      <c r="Z82" s="20"/>
      <c r="AA82" s="20"/>
      <c r="AB82" s="20">
        <v>220</v>
      </c>
      <c r="AC82" s="148">
        <v>230</v>
      </c>
      <c r="AD82" s="20">
        <v>240</v>
      </c>
      <c r="AE82" s="148">
        <v>250</v>
      </c>
      <c r="AF82" s="142" t="s">
        <v>121</v>
      </c>
      <c r="AG82" s="26"/>
      <c r="AH82" s="26"/>
      <c r="AI82" s="20"/>
      <c r="AJ82" s="20"/>
      <c r="AK82" s="20"/>
      <c r="AL82" s="20">
        <v>230</v>
      </c>
      <c r="AM82" s="148">
        <v>240</v>
      </c>
      <c r="AN82" s="20">
        <v>250</v>
      </c>
      <c r="AO82" s="148">
        <v>260</v>
      </c>
      <c r="AP82" s="142" t="s">
        <v>121</v>
      </c>
      <c r="AQ82" s="26"/>
      <c r="AR82" s="20"/>
      <c r="AS82" s="20"/>
      <c r="AT82" s="20"/>
      <c r="AU82" s="20"/>
      <c r="AV82" s="20">
        <v>240</v>
      </c>
      <c r="AW82" s="148">
        <v>250</v>
      </c>
      <c r="AX82" s="20">
        <v>260</v>
      </c>
      <c r="AY82" s="148">
        <v>270</v>
      </c>
      <c r="AZ82" s="142" t="s">
        <v>121</v>
      </c>
    </row>
    <row r="83" spans="1:52" ht="9.75" customHeight="1" x14ac:dyDescent="0.25">
      <c r="A83" s="142" t="s">
        <v>21</v>
      </c>
      <c r="B83" s="142" t="s">
        <v>123</v>
      </c>
      <c r="C83" s="143"/>
      <c r="D83" s="143"/>
      <c r="E83" s="39"/>
      <c r="F83" s="39"/>
      <c r="G83" s="144">
        <v>200</v>
      </c>
      <c r="H83" s="39">
        <v>210</v>
      </c>
      <c r="I83" s="144">
        <v>220</v>
      </c>
      <c r="J83" s="39">
        <v>230</v>
      </c>
      <c r="K83" s="144">
        <v>240</v>
      </c>
      <c r="L83" s="142" t="s">
        <v>21</v>
      </c>
      <c r="M83" s="143"/>
      <c r="N83" s="143"/>
      <c r="O83" s="39"/>
      <c r="P83" s="39"/>
      <c r="Q83" s="144">
        <v>210</v>
      </c>
      <c r="R83" s="39">
        <v>220</v>
      </c>
      <c r="S83" s="144">
        <v>230</v>
      </c>
      <c r="T83" s="39">
        <v>240</v>
      </c>
      <c r="U83" s="144">
        <v>250</v>
      </c>
      <c r="V83" s="142" t="s">
        <v>21</v>
      </c>
      <c r="W83" s="143"/>
      <c r="X83" s="143"/>
      <c r="Y83" s="39"/>
      <c r="Z83" s="39"/>
      <c r="AA83" s="144">
        <v>220</v>
      </c>
      <c r="AB83" s="39">
        <v>230</v>
      </c>
      <c r="AC83" s="144">
        <v>240</v>
      </c>
      <c r="AD83" s="39">
        <v>250</v>
      </c>
      <c r="AE83" s="144">
        <v>260</v>
      </c>
      <c r="AF83" s="142" t="s">
        <v>21</v>
      </c>
      <c r="AG83" s="143"/>
      <c r="AH83" s="143"/>
      <c r="AI83" s="39"/>
      <c r="AJ83" s="39"/>
      <c r="AK83" s="144">
        <v>230</v>
      </c>
      <c r="AL83" s="39">
        <v>240</v>
      </c>
      <c r="AM83" s="144">
        <v>250</v>
      </c>
      <c r="AN83" s="39">
        <v>260</v>
      </c>
      <c r="AO83" s="144">
        <v>270</v>
      </c>
      <c r="AP83" s="142" t="s">
        <v>21</v>
      </c>
      <c r="AQ83" s="143"/>
      <c r="AR83" s="39"/>
      <c r="AS83" s="39"/>
      <c r="AT83" s="39"/>
      <c r="AU83" s="144">
        <v>240</v>
      </c>
      <c r="AV83" s="39">
        <v>250</v>
      </c>
      <c r="AW83" s="144">
        <v>260</v>
      </c>
      <c r="AX83" s="39">
        <v>270</v>
      </c>
      <c r="AY83" s="144">
        <v>280</v>
      </c>
      <c r="AZ83" s="142" t="s">
        <v>21</v>
      </c>
    </row>
    <row r="84" spans="1:52" ht="9.75" customHeight="1" x14ac:dyDescent="0.25">
      <c r="A84" s="142" t="s">
        <v>23</v>
      </c>
      <c r="B84" s="142" t="s">
        <v>124</v>
      </c>
      <c r="C84" s="26"/>
      <c r="D84" s="26"/>
      <c r="E84" s="20"/>
      <c r="F84" s="20">
        <v>200</v>
      </c>
      <c r="G84" s="148">
        <v>210</v>
      </c>
      <c r="H84" s="20">
        <v>220</v>
      </c>
      <c r="I84" s="148">
        <v>230</v>
      </c>
      <c r="J84" s="20">
        <v>240</v>
      </c>
      <c r="K84" s="148">
        <v>250</v>
      </c>
      <c r="L84" s="142" t="s">
        <v>23</v>
      </c>
      <c r="M84" s="26"/>
      <c r="N84" s="26"/>
      <c r="O84" s="20"/>
      <c r="P84" s="20">
        <v>210</v>
      </c>
      <c r="Q84" s="148">
        <v>220</v>
      </c>
      <c r="R84" s="20">
        <v>230</v>
      </c>
      <c r="S84" s="148">
        <v>240</v>
      </c>
      <c r="T84" s="20">
        <v>250</v>
      </c>
      <c r="U84" s="148">
        <v>260</v>
      </c>
      <c r="V84" s="142" t="s">
        <v>23</v>
      </c>
      <c r="W84" s="26"/>
      <c r="X84" s="26"/>
      <c r="Y84" s="20"/>
      <c r="Z84" s="20">
        <v>220</v>
      </c>
      <c r="AA84" s="148">
        <v>230</v>
      </c>
      <c r="AB84" s="20">
        <v>240</v>
      </c>
      <c r="AC84" s="148">
        <v>250</v>
      </c>
      <c r="AD84" s="20">
        <v>260</v>
      </c>
      <c r="AE84" s="148">
        <v>270</v>
      </c>
      <c r="AF84" s="142" t="s">
        <v>23</v>
      </c>
      <c r="AG84" s="26"/>
      <c r="AH84" s="26"/>
      <c r="AI84" s="20"/>
      <c r="AJ84" s="20">
        <v>230</v>
      </c>
      <c r="AK84" s="148">
        <v>240</v>
      </c>
      <c r="AL84" s="20">
        <v>250</v>
      </c>
      <c r="AM84" s="148">
        <v>260</v>
      </c>
      <c r="AN84" s="20">
        <v>270</v>
      </c>
      <c r="AO84" s="148">
        <v>280</v>
      </c>
      <c r="AP84" s="142" t="s">
        <v>23</v>
      </c>
      <c r="AQ84" s="26"/>
      <c r="AR84" s="20"/>
      <c r="AS84" s="20"/>
      <c r="AT84" s="20">
        <v>240</v>
      </c>
      <c r="AU84" s="148">
        <v>250</v>
      </c>
      <c r="AV84" s="20">
        <v>260</v>
      </c>
      <c r="AW84" s="148">
        <v>270</v>
      </c>
      <c r="AX84" s="20">
        <v>280</v>
      </c>
      <c r="AY84" s="148">
        <v>290</v>
      </c>
      <c r="AZ84" s="142" t="s">
        <v>23</v>
      </c>
    </row>
    <row r="85" spans="1:52" ht="9.75" customHeight="1" x14ac:dyDescent="0.25">
      <c r="A85" s="142" t="s">
        <v>24</v>
      </c>
      <c r="B85" s="142" t="s">
        <v>125</v>
      </c>
      <c r="C85" s="143"/>
      <c r="D85" s="143"/>
      <c r="E85" s="144">
        <v>200</v>
      </c>
      <c r="F85" s="39">
        <v>210</v>
      </c>
      <c r="G85" s="144">
        <v>220</v>
      </c>
      <c r="H85" s="39">
        <v>230</v>
      </c>
      <c r="I85" s="144">
        <v>240</v>
      </c>
      <c r="J85" s="39">
        <v>250</v>
      </c>
      <c r="K85" s="144">
        <v>260</v>
      </c>
      <c r="L85" s="142" t="s">
        <v>24</v>
      </c>
      <c r="M85" s="143"/>
      <c r="N85" s="143"/>
      <c r="O85" s="144">
        <v>210</v>
      </c>
      <c r="P85" s="39">
        <v>220</v>
      </c>
      <c r="Q85" s="144">
        <v>230</v>
      </c>
      <c r="R85" s="39">
        <v>240</v>
      </c>
      <c r="S85" s="144">
        <v>250</v>
      </c>
      <c r="T85" s="39">
        <v>260</v>
      </c>
      <c r="U85" s="144">
        <v>270</v>
      </c>
      <c r="V85" s="142" t="s">
        <v>24</v>
      </c>
      <c r="W85" s="143"/>
      <c r="X85" s="143"/>
      <c r="Y85" s="144">
        <v>220</v>
      </c>
      <c r="Z85" s="39">
        <v>230</v>
      </c>
      <c r="AA85" s="144">
        <v>240</v>
      </c>
      <c r="AB85" s="39">
        <v>250</v>
      </c>
      <c r="AC85" s="144">
        <v>260</v>
      </c>
      <c r="AD85" s="39">
        <v>270</v>
      </c>
      <c r="AE85" s="144">
        <v>280</v>
      </c>
      <c r="AF85" s="142" t="s">
        <v>24</v>
      </c>
      <c r="AG85" s="143"/>
      <c r="AH85" s="143"/>
      <c r="AI85" s="144">
        <v>230</v>
      </c>
      <c r="AJ85" s="39">
        <v>240</v>
      </c>
      <c r="AK85" s="144">
        <v>250</v>
      </c>
      <c r="AL85" s="39">
        <v>260</v>
      </c>
      <c r="AM85" s="144">
        <v>270</v>
      </c>
      <c r="AN85" s="39">
        <v>280</v>
      </c>
      <c r="AO85" s="144">
        <v>290</v>
      </c>
      <c r="AP85" s="142" t="s">
        <v>24</v>
      </c>
      <c r="AQ85" s="143"/>
      <c r="AR85" s="39"/>
      <c r="AS85" s="144">
        <v>240</v>
      </c>
      <c r="AT85" s="39">
        <v>250</v>
      </c>
      <c r="AU85" s="144">
        <v>260</v>
      </c>
      <c r="AV85" s="39">
        <v>270</v>
      </c>
      <c r="AW85" s="144">
        <v>280</v>
      </c>
      <c r="AX85" s="39">
        <v>290</v>
      </c>
      <c r="AY85" s="144">
        <v>300</v>
      </c>
      <c r="AZ85" s="142" t="s">
        <v>24</v>
      </c>
    </row>
    <row r="86" spans="1:52" ht="9.75" customHeight="1" x14ac:dyDescent="0.25">
      <c r="A86" s="142" t="s">
        <v>26</v>
      </c>
      <c r="B86" s="142" t="s">
        <v>126</v>
      </c>
      <c r="C86" s="26"/>
      <c r="D86" s="20">
        <v>200</v>
      </c>
      <c r="E86" s="148">
        <v>210</v>
      </c>
      <c r="F86" s="20">
        <v>220</v>
      </c>
      <c r="G86" s="148">
        <v>230</v>
      </c>
      <c r="H86" s="20">
        <v>240</v>
      </c>
      <c r="I86" s="148">
        <v>250</v>
      </c>
      <c r="J86" s="20">
        <v>260</v>
      </c>
      <c r="K86" s="148">
        <v>270</v>
      </c>
      <c r="L86" s="142" t="s">
        <v>26</v>
      </c>
      <c r="M86" s="26"/>
      <c r="N86" s="20">
        <v>210</v>
      </c>
      <c r="O86" s="148">
        <v>220</v>
      </c>
      <c r="P86" s="20">
        <v>230</v>
      </c>
      <c r="Q86" s="148">
        <v>240</v>
      </c>
      <c r="R86" s="20">
        <v>250</v>
      </c>
      <c r="S86" s="148">
        <v>260</v>
      </c>
      <c r="T86" s="20">
        <v>270</v>
      </c>
      <c r="U86" s="148">
        <v>280</v>
      </c>
      <c r="V86" s="142" t="s">
        <v>26</v>
      </c>
      <c r="W86" s="26"/>
      <c r="X86" s="20">
        <v>220</v>
      </c>
      <c r="Y86" s="148">
        <v>230</v>
      </c>
      <c r="Z86" s="20">
        <v>240</v>
      </c>
      <c r="AA86" s="148">
        <v>250</v>
      </c>
      <c r="AB86" s="20">
        <v>260</v>
      </c>
      <c r="AC86" s="148">
        <v>270</v>
      </c>
      <c r="AD86" s="20">
        <v>280</v>
      </c>
      <c r="AE86" s="148">
        <v>290</v>
      </c>
      <c r="AF86" s="142" t="s">
        <v>26</v>
      </c>
      <c r="AG86" s="26"/>
      <c r="AH86" s="20">
        <v>230</v>
      </c>
      <c r="AI86" s="148">
        <v>240</v>
      </c>
      <c r="AJ86" s="20">
        <v>250</v>
      </c>
      <c r="AK86" s="148">
        <v>260</v>
      </c>
      <c r="AL86" s="20">
        <v>270</v>
      </c>
      <c r="AM86" s="148">
        <v>280</v>
      </c>
      <c r="AN86" s="20">
        <v>290</v>
      </c>
      <c r="AO86" s="148">
        <v>300</v>
      </c>
      <c r="AP86" s="142" t="s">
        <v>26</v>
      </c>
      <c r="AQ86" s="150">
        <v>230</v>
      </c>
      <c r="AR86" s="20">
        <v>240</v>
      </c>
      <c r="AS86" s="148">
        <v>250</v>
      </c>
      <c r="AT86" s="20">
        <v>260</v>
      </c>
      <c r="AU86" s="148">
        <v>270</v>
      </c>
      <c r="AV86" s="20">
        <v>280</v>
      </c>
      <c r="AW86" s="148">
        <v>290</v>
      </c>
      <c r="AX86" s="20">
        <v>300</v>
      </c>
      <c r="AY86" s="20"/>
      <c r="AZ86" s="142" t="s">
        <v>26</v>
      </c>
    </row>
    <row r="87" spans="1:52" ht="9.75" customHeight="1" x14ac:dyDescent="0.25">
      <c r="A87" s="142" t="s">
        <v>28</v>
      </c>
      <c r="B87" s="142" t="s">
        <v>127</v>
      </c>
      <c r="C87" s="144">
        <v>200</v>
      </c>
      <c r="D87" s="39">
        <v>210</v>
      </c>
      <c r="E87" s="144">
        <v>220</v>
      </c>
      <c r="F87" s="39">
        <v>230</v>
      </c>
      <c r="G87" s="144">
        <v>240</v>
      </c>
      <c r="H87" s="39">
        <v>250</v>
      </c>
      <c r="I87" s="144">
        <v>260</v>
      </c>
      <c r="J87" s="39">
        <v>270</v>
      </c>
      <c r="K87" s="144">
        <v>280</v>
      </c>
      <c r="L87" s="142" t="s">
        <v>28</v>
      </c>
      <c r="M87" s="144">
        <v>210</v>
      </c>
      <c r="N87" s="39">
        <v>220</v>
      </c>
      <c r="O87" s="144">
        <v>230</v>
      </c>
      <c r="P87" s="39">
        <v>240</v>
      </c>
      <c r="Q87" s="144">
        <v>250</v>
      </c>
      <c r="R87" s="39">
        <v>260</v>
      </c>
      <c r="S87" s="144">
        <v>270</v>
      </c>
      <c r="T87" s="39">
        <v>280</v>
      </c>
      <c r="U87" s="144">
        <v>290</v>
      </c>
      <c r="V87" s="142" t="s">
        <v>28</v>
      </c>
      <c r="W87" s="144">
        <v>220</v>
      </c>
      <c r="X87" s="39">
        <v>230</v>
      </c>
      <c r="Y87" s="144">
        <v>240</v>
      </c>
      <c r="Z87" s="39">
        <v>250</v>
      </c>
      <c r="AA87" s="144">
        <v>260</v>
      </c>
      <c r="AB87" s="39">
        <v>270</v>
      </c>
      <c r="AC87" s="144">
        <v>280</v>
      </c>
      <c r="AD87" s="39">
        <v>290</v>
      </c>
      <c r="AE87" s="144">
        <v>300</v>
      </c>
      <c r="AF87" s="142" t="s">
        <v>28</v>
      </c>
      <c r="AG87" s="144">
        <v>230</v>
      </c>
      <c r="AH87" s="39">
        <v>240</v>
      </c>
      <c r="AI87" s="144">
        <v>250</v>
      </c>
      <c r="AJ87" s="39">
        <v>260</v>
      </c>
      <c r="AK87" s="144">
        <v>270</v>
      </c>
      <c r="AL87" s="39">
        <v>280</v>
      </c>
      <c r="AM87" s="144">
        <v>290</v>
      </c>
      <c r="AN87" s="39">
        <v>300</v>
      </c>
      <c r="AO87" s="39"/>
      <c r="AP87" s="142" t="s">
        <v>28</v>
      </c>
      <c r="AQ87" s="143"/>
      <c r="AR87" s="39"/>
      <c r="AS87" s="39"/>
      <c r="AT87" s="39"/>
      <c r="AU87" s="39"/>
      <c r="AV87" s="39"/>
      <c r="AW87" s="39"/>
      <c r="AX87" s="39"/>
      <c r="AY87" s="39"/>
      <c r="AZ87" s="142" t="s">
        <v>28</v>
      </c>
    </row>
    <row r="88" spans="1:52" ht="9.75" customHeight="1" x14ac:dyDescent="0.25">
      <c r="A88" s="142" t="s">
        <v>30</v>
      </c>
      <c r="B88" s="142" t="s">
        <v>128</v>
      </c>
      <c r="C88" s="148">
        <v>210</v>
      </c>
      <c r="D88" s="20">
        <v>220</v>
      </c>
      <c r="E88" s="148">
        <v>230</v>
      </c>
      <c r="F88" s="20">
        <v>240</v>
      </c>
      <c r="G88" s="148">
        <v>250</v>
      </c>
      <c r="H88" s="20">
        <v>260</v>
      </c>
      <c r="I88" s="148">
        <v>270</v>
      </c>
      <c r="J88" s="20">
        <v>280</v>
      </c>
      <c r="K88" s="148">
        <v>290</v>
      </c>
      <c r="L88" s="142" t="s">
        <v>30</v>
      </c>
      <c r="M88" s="148">
        <v>220</v>
      </c>
      <c r="N88" s="20">
        <v>230</v>
      </c>
      <c r="O88" s="148">
        <v>240</v>
      </c>
      <c r="P88" s="20">
        <v>250</v>
      </c>
      <c r="Q88" s="148">
        <v>260</v>
      </c>
      <c r="R88" s="20">
        <v>270</v>
      </c>
      <c r="S88" s="148">
        <v>280</v>
      </c>
      <c r="T88" s="20">
        <v>290</v>
      </c>
      <c r="U88" s="148">
        <v>300</v>
      </c>
      <c r="V88" s="142" t="s">
        <v>30</v>
      </c>
      <c r="W88" s="148">
        <v>230</v>
      </c>
      <c r="X88" s="20">
        <v>240</v>
      </c>
      <c r="Y88" s="148">
        <v>250</v>
      </c>
      <c r="Z88" s="20">
        <v>260</v>
      </c>
      <c r="AA88" s="148">
        <v>270</v>
      </c>
      <c r="AB88" s="20">
        <v>280</v>
      </c>
      <c r="AC88" s="148">
        <v>290</v>
      </c>
      <c r="AD88" s="20">
        <v>300</v>
      </c>
      <c r="AE88" s="20"/>
      <c r="AF88" s="142" t="s">
        <v>30</v>
      </c>
      <c r="AG88" s="148">
        <v>240</v>
      </c>
      <c r="AH88" s="20">
        <v>250</v>
      </c>
      <c r="AI88" s="148">
        <v>260</v>
      </c>
      <c r="AJ88" s="20">
        <v>270</v>
      </c>
      <c r="AK88" s="148">
        <v>280</v>
      </c>
      <c r="AL88" s="20">
        <v>290</v>
      </c>
      <c r="AM88" s="148">
        <v>300</v>
      </c>
      <c r="AN88" s="20"/>
      <c r="AO88" s="20"/>
      <c r="AP88" s="142" t="s">
        <v>30</v>
      </c>
      <c r="AQ88" s="26"/>
      <c r="AR88" s="20"/>
      <c r="AS88" s="20"/>
      <c r="AT88" s="20"/>
      <c r="AU88" s="20"/>
      <c r="AV88" s="20"/>
      <c r="AW88" s="20"/>
      <c r="AX88" s="20"/>
      <c r="AY88" s="20"/>
      <c r="AZ88" s="142" t="s">
        <v>30</v>
      </c>
    </row>
    <row r="89" spans="1:52" ht="9.75" customHeight="1" x14ac:dyDescent="0.25">
      <c r="A89" s="142" t="s">
        <v>32</v>
      </c>
      <c r="B89" s="142" t="s">
        <v>129</v>
      </c>
      <c r="C89" s="144">
        <v>220</v>
      </c>
      <c r="D89" s="39">
        <v>230</v>
      </c>
      <c r="E89" s="144">
        <v>240</v>
      </c>
      <c r="F89" s="39">
        <v>250</v>
      </c>
      <c r="G89" s="144">
        <v>260</v>
      </c>
      <c r="H89" s="39">
        <v>270</v>
      </c>
      <c r="I89" s="144">
        <v>280</v>
      </c>
      <c r="J89" s="39">
        <v>290</v>
      </c>
      <c r="K89" s="144">
        <v>300</v>
      </c>
      <c r="L89" s="142" t="s">
        <v>32</v>
      </c>
      <c r="M89" s="144">
        <v>230</v>
      </c>
      <c r="N89" s="39">
        <v>240</v>
      </c>
      <c r="O89" s="144">
        <v>250</v>
      </c>
      <c r="P89" s="39">
        <v>260</v>
      </c>
      <c r="Q89" s="144">
        <v>270</v>
      </c>
      <c r="R89" s="39">
        <v>280</v>
      </c>
      <c r="S89" s="144">
        <v>290</v>
      </c>
      <c r="T89" s="39">
        <v>300</v>
      </c>
      <c r="U89" s="39"/>
      <c r="V89" s="142" t="s">
        <v>32</v>
      </c>
      <c r="W89" s="144">
        <v>240</v>
      </c>
      <c r="X89" s="39">
        <v>250</v>
      </c>
      <c r="Y89" s="144">
        <v>260</v>
      </c>
      <c r="Z89" s="39">
        <v>270</v>
      </c>
      <c r="AA89" s="144">
        <v>280</v>
      </c>
      <c r="AB89" s="39">
        <v>290</v>
      </c>
      <c r="AC89" s="144">
        <v>300</v>
      </c>
      <c r="AD89" s="39"/>
      <c r="AE89" s="39"/>
      <c r="AF89" s="142" t="s">
        <v>32</v>
      </c>
      <c r="AG89" s="141"/>
      <c r="AH89" s="39"/>
      <c r="AI89" s="39"/>
      <c r="AJ89" s="39"/>
      <c r="AK89" s="39"/>
      <c r="AL89" s="39"/>
      <c r="AM89" s="39"/>
      <c r="AN89" s="39"/>
      <c r="AO89" s="39"/>
      <c r="AP89" s="142" t="s">
        <v>32</v>
      </c>
      <c r="AQ89" s="143"/>
      <c r="AR89" s="39"/>
      <c r="AS89" s="39"/>
      <c r="AT89" s="39"/>
      <c r="AU89" s="39"/>
      <c r="AV89" s="39"/>
      <c r="AW89" s="39"/>
      <c r="AX89" s="39"/>
      <c r="AY89" s="39"/>
      <c r="AZ89" s="142" t="s">
        <v>32</v>
      </c>
    </row>
    <row r="90" spans="1:52" ht="9.75" customHeight="1" x14ac:dyDescent="0.25">
      <c r="A90" s="142" t="s">
        <v>33</v>
      </c>
      <c r="B90" s="142" t="s">
        <v>130</v>
      </c>
      <c r="C90" s="148">
        <v>230</v>
      </c>
      <c r="D90" s="20">
        <v>240</v>
      </c>
      <c r="E90" s="148">
        <v>250</v>
      </c>
      <c r="F90" s="20">
        <v>260</v>
      </c>
      <c r="G90" s="148">
        <v>270</v>
      </c>
      <c r="H90" s="20">
        <v>280</v>
      </c>
      <c r="I90" s="148">
        <v>290</v>
      </c>
      <c r="J90" s="20">
        <v>300</v>
      </c>
      <c r="K90" s="20"/>
      <c r="L90" s="142" t="s">
        <v>33</v>
      </c>
      <c r="M90" s="148">
        <v>240</v>
      </c>
      <c r="N90" s="20">
        <v>250</v>
      </c>
      <c r="O90" s="148">
        <v>260</v>
      </c>
      <c r="P90" s="20">
        <v>270</v>
      </c>
      <c r="Q90" s="148">
        <v>280</v>
      </c>
      <c r="R90" s="20">
        <v>290</v>
      </c>
      <c r="S90" s="148">
        <v>300</v>
      </c>
      <c r="T90" s="20"/>
      <c r="U90" s="20"/>
      <c r="V90" s="142" t="s">
        <v>33</v>
      </c>
      <c r="W90" s="26"/>
      <c r="X90" s="20"/>
      <c r="Y90" s="20"/>
      <c r="Z90" s="20"/>
      <c r="AA90" s="20"/>
      <c r="AB90" s="20"/>
      <c r="AC90" s="20"/>
      <c r="AD90" s="20"/>
      <c r="AE90" s="20"/>
      <c r="AF90" s="142" t="s">
        <v>33</v>
      </c>
      <c r="AG90" s="147"/>
      <c r="AH90" s="20"/>
      <c r="AI90" s="20"/>
      <c r="AJ90" s="20"/>
      <c r="AK90" s="20"/>
      <c r="AL90" s="20"/>
      <c r="AM90" s="20"/>
      <c r="AN90" s="20"/>
      <c r="AO90" s="20"/>
      <c r="AP90" s="142" t="s">
        <v>33</v>
      </c>
      <c r="AQ90" s="26"/>
      <c r="AR90" s="20"/>
      <c r="AS90" s="20"/>
      <c r="AT90" s="20"/>
      <c r="AU90" s="20"/>
      <c r="AV90" s="20"/>
      <c r="AW90" s="20"/>
      <c r="AX90" s="20"/>
      <c r="AY90" s="20"/>
      <c r="AZ90" s="142" t="s">
        <v>33</v>
      </c>
    </row>
    <row r="91" spans="1:52" ht="9.75" customHeight="1" x14ac:dyDescent="0.25">
      <c r="A91" s="142" t="s">
        <v>34</v>
      </c>
      <c r="B91" s="142" t="s">
        <v>131</v>
      </c>
      <c r="C91" s="144">
        <v>240</v>
      </c>
      <c r="D91" s="39">
        <v>250</v>
      </c>
      <c r="E91" s="144">
        <v>260</v>
      </c>
      <c r="F91" s="39">
        <v>270</v>
      </c>
      <c r="G91" s="144">
        <v>280</v>
      </c>
      <c r="H91" s="39">
        <v>290</v>
      </c>
      <c r="I91" s="144">
        <v>300</v>
      </c>
      <c r="J91" s="39"/>
      <c r="K91" s="39"/>
      <c r="L91" s="142" t="s">
        <v>34</v>
      </c>
      <c r="M91" s="143"/>
      <c r="N91" s="39"/>
      <c r="O91" s="39"/>
      <c r="P91" s="39"/>
      <c r="Q91" s="39"/>
      <c r="R91" s="39"/>
      <c r="S91" s="39"/>
      <c r="T91" s="39"/>
      <c r="U91" s="39"/>
      <c r="V91" s="142" t="s">
        <v>34</v>
      </c>
      <c r="W91" s="143"/>
      <c r="X91" s="39"/>
      <c r="Y91" s="39"/>
      <c r="Z91" s="39"/>
      <c r="AA91" s="39"/>
      <c r="AB91" s="39"/>
      <c r="AC91" s="39"/>
      <c r="AD91" s="39"/>
      <c r="AE91" s="39"/>
      <c r="AF91" s="142" t="s">
        <v>34</v>
      </c>
      <c r="AG91" s="141"/>
      <c r="AH91" s="39"/>
      <c r="AI91" s="39"/>
      <c r="AJ91" s="39"/>
      <c r="AK91" s="39"/>
      <c r="AL91" s="39"/>
      <c r="AM91" s="39"/>
      <c r="AN91" s="39"/>
      <c r="AO91" s="39"/>
      <c r="AP91" s="142" t="s">
        <v>34</v>
      </c>
      <c r="AQ91" s="143"/>
      <c r="AR91" s="39"/>
      <c r="AS91" s="39"/>
      <c r="AT91" s="39"/>
      <c r="AU91" s="39"/>
      <c r="AV91" s="39"/>
      <c r="AW91" s="39"/>
      <c r="AX91" s="39"/>
      <c r="AY91" s="39"/>
      <c r="AZ91" s="142" t="s">
        <v>34</v>
      </c>
    </row>
    <row r="92" spans="1:52" ht="9.75" customHeight="1" x14ac:dyDescent="0.25">
      <c r="A92" s="142" t="s">
        <v>35</v>
      </c>
      <c r="B92" s="142" t="s">
        <v>22</v>
      </c>
      <c r="C92" s="26"/>
      <c r="D92" s="26"/>
      <c r="E92" s="20"/>
      <c r="F92" s="20"/>
      <c r="G92" s="20"/>
      <c r="H92" s="20"/>
      <c r="I92" s="20"/>
      <c r="J92" s="20"/>
      <c r="K92" s="20"/>
      <c r="L92" s="142" t="s">
        <v>35</v>
      </c>
      <c r="M92" s="26"/>
      <c r="N92" s="26"/>
      <c r="O92" s="20"/>
      <c r="P92" s="20"/>
      <c r="Q92" s="20"/>
      <c r="R92" s="20"/>
      <c r="S92" s="20"/>
      <c r="T92" s="20"/>
      <c r="U92" s="20"/>
      <c r="V92" s="142" t="s">
        <v>35</v>
      </c>
      <c r="W92" s="26"/>
      <c r="X92" s="26"/>
      <c r="Y92" s="20"/>
      <c r="Z92" s="20"/>
      <c r="AA92" s="20"/>
      <c r="AB92" s="20"/>
      <c r="AC92" s="20"/>
      <c r="AD92" s="20"/>
      <c r="AE92" s="20"/>
      <c r="AF92" s="142" t="s">
        <v>35</v>
      </c>
      <c r="AG92" s="147"/>
      <c r="AH92" s="20"/>
      <c r="AI92" s="20"/>
      <c r="AJ92" s="20"/>
      <c r="AK92" s="20"/>
      <c r="AL92" s="20"/>
      <c r="AM92" s="20"/>
      <c r="AN92" s="20"/>
      <c r="AO92" s="20"/>
      <c r="AP92" s="142" t="s">
        <v>35</v>
      </c>
      <c r="AQ92" s="26"/>
      <c r="AR92" s="20"/>
      <c r="AS92" s="20"/>
      <c r="AT92" s="20"/>
      <c r="AU92" s="20"/>
      <c r="AV92" s="20"/>
      <c r="AW92" s="20"/>
      <c r="AX92" s="20"/>
      <c r="AY92" s="20"/>
      <c r="AZ92" s="142" t="s">
        <v>35</v>
      </c>
    </row>
    <row r="93" spans="1:52" ht="9.75" customHeight="1" x14ac:dyDescent="0.25">
      <c r="A93" s="142" t="s">
        <v>36</v>
      </c>
      <c r="B93" s="142" t="s">
        <v>25</v>
      </c>
      <c r="C93" s="143"/>
      <c r="D93" s="143"/>
      <c r="E93" s="39"/>
      <c r="F93" s="39"/>
      <c r="G93" s="39"/>
      <c r="H93" s="39"/>
      <c r="I93" s="39"/>
      <c r="J93" s="39"/>
      <c r="K93" s="39"/>
      <c r="L93" s="142" t="s">
        <v>36</v>
      </c>
      <c r="M93" s="143"/>
      <c r="N93" s="143"/>
      <c r="O93" s="39"/>
      <c r="P93" s="39"/>
      <c r="Q93" s="39"/>
      <c r="R93" s="39"/>
      <c r="S93" s="39"/>
      <c r="T93" s="39"/>
      <c r="U93" s="39"/>
      <c r="V93" s="142" t="s">
        <v>36</v>
      </c>
      <c r="W93" s="143"/>
      <c r="X93" s="143"/>
      <c r="Y93" s="39"/>
      <c r="Z93" s="39"/>
      <c r="AA93" s="39"/>
      <c r="AB93" s="39"/>
      <c r="AC93" s="39"/>
      <c r="AD93" s="39"/>
      <c r="AE93" s="39"/>
      <c r="AF93" s="142" t="s">
        <v>36</v>
      </c>
      <c r="AG93" s="141"/>
      <c r="AH93" s="39"/>
      <c r="AI93" s="39"/>
      <c r="AJ93" s="39"/>
      <c r="AK93" s="39"/>
      <c r="AL93" s="39"/>
      <c r="AM93" s="39"/>
      <c r="AN93" s="39"/>
      <c r="AO93" s="39"/>
      <c r="AP93" s="142" t="s">
        <v>36</v>
      </c>
      <c r="AQ93" s="143"/>
      <c r="AR93" s="39"/>
      <c r="AS93" s="39"/>
      <c r="AT93" s="39"/>
      <c r="AU93" s="39"/>
      <c r="AV93" s="39"/>
      <c r="AW93" s="39"/>
      <c r="AX93" s="39"/>
      <c r="AY93" s="39"/>
      <c r="AZ93" s="142" t="s">
        <v>36</v>
      </c>
    </row>
    <row r="94" spans="1:52" ht="9.75" customHeight="1" x14ac:dyDescent="0.25">
      <c r="A94" s="140" t="s">
        <v>38</v>
      </c>
      <c r="B94" s="142" t="s">
        <v>27</v>
      </c>
      <c r="C94" s="26"/>
      <c r="D94" s="26"/>
      <c r="E94" s="20"/>
      <c r="F94" s="20"/>
      <c r="G94" s="20"/>
      <c r="H94" s="20"/>
      <c r="I94" s="20"/>
      <c r="J94" s="20"/>
      <c r="K94" s="20"/>
      <c r="L94" s="140" t="s">
        <v>38</v>
      </c>
      <c r="M94" s="26"/>
      <c r="N94" s="26"/>
      <c r="O94" s="20"/>
      <c r="P94" s="20"/>
      <c r="Q94" s="20"/>
      <c r="R94" s="20"/>
      <c r="S94" s="20"/>
      <c r="T94" s="20"/>
      <c r="U94" s="20"/>
      <c r="V94" s="140" t="s">
        <v>38</v>
      </c>
      <c r="W94" s="26"/>
      <c r="X94" s="26"/>
      <c r="Y94" s="20"/>
      <c r="Z94" s="20"/>
      <c r="AA94" s="20"/>
      <c r="AB94" s="20"/>
      <c r="AC94" s="20"/>
      <c r="AD94" s="20"/>
      <c r="AE94" s="20"/>
      <c r="AF94" s="140" t="s">
        <v>38</v>
      </c>
      <c r="AG94" s="147"/>
      <c r="AH94" s="20"/>
      <c r="AI94" s="20"/>
      <c r="AJ94" s="20"/>
      <c r="AK94" s="20"/>
      <c r="AL94" s="20"/>
      <c r="AM94" s="20"/>
      <c r="AN94" s="20"/>
      <c r="AO94" s="20"/>
      <c r="AP94" s="140" t="s">
        <v>38</v>
      </c>
      <c r="AQ94" s="26"/>
      <c r="AR94" s="20"/>
      <c r="AS94" s="20"/>
      <c r="AT94" s="20"/>
      <c r="AU94" s="20"/>
      <c r="AV94" s="20"/>
      <c r="AW94" s="20"/>
      <c r="AX94" s="20"/>
      <c r="AY94" s="20"/>
      <c r="AZ94" s="140" t="s">
        <v>38</v>
      </c>
    </row>
    <row r="95" spans="1:52" ht="9.75" customHeight="1" x14ac:dyDescent="0.25">
      <c r="A95" s="140" t="s">
        <v>40</v>
      </c>
      <c r="B95" s="142" t="s">
        <v>29</v>
      </c>
      <c r="C95" s="143"/>
      <c r="D95" s="143"/>
      <c r="E95" s="39"/>
      <c r="F95" s="39"/>
      <c r="G95" s="39"/>
      <c r="H95" s="39"/>
      <c r="I95" s="39"/>
      <c r="J95" s="39"/>
      <c r="K95" s="39"/>
      <c r="L95" s="140" t="s">
        <v>40</v>
      </c>
      <c r="M95" s="143"/>
      <c r="N95" s="143"/>
      <c r="O95" s="39"/>
      <c r="P95" s="39"/>
      <c r="Q95" s="39"/>
      <c r="R95" s="39"/>
      <c r="S95" s="39"/>
      <c r="T95" s="39"/>
      <c r="U95" s="39"/>
      <c r="V95" s="140" t="s">
        <v>40</v>
      </c>
      <c r="W95" s="143"/>
      <c r="X95" s="143"/>
      <c r="Y95" s="39"/>
      <c r="Z95" s="39"/>
      <c r="AA95" s="39"/>
      <c r="AB95" s="39"/>
      <c r="AC95" s="39"/>
      <c r="AD95" s="39"/>
      <c r="AE95" s="39"/>
      <c r="AF95" s="140" t="s">
        <v>40</v>
      </c>
      <c r="AG95" s="162"/>
      <c r="AH95" s="39"/>
      <c r="AI95" s="39"/>
      <c r="AJ95" s="39"/>
      <c r="AK95" s="39"/>
      <c r="AL95" s="39"/>
      <c r="AM95" s="39"/>
      <c r="AN95" s="39"/>
      <c r="AO95" s="39"/>
      <c r="AP95" s="140" t="s">
        <v>40</v>
      </c>
      <c r="AQ95" s="143"/>
      <c r="AR95" s="39"/>
      <c r="AS95" s="39"/>
      <c r="AT95" s="39"/>
      <c r="AU95" s="39"/>
      <c r="AV95" s="39"/>
      <c r="AW95" s="39"/>
      <c r="AX95" s="39"/>
      <c r="AY95" s="39"/>
      <c r="AZ95" s="140" t="s">
        <v>40</v>
      </c>
    </row>
    <row r="96" spans="1:52" ht="9.75" customHeight="1" x14ac:dyDescent="0.25">
      <c r="A96" s="140" t="s">
        <v>42</v>
      </c>
      <c r="B96" s="142" t="s">
        <v>31</v>
      </c>
      <c r="C96" s="26"/>
      <c r="D96" s="26"/>
      <c r="E96" s="20"/>
      <c r="F96" s="20"/>
      <c r="G96" s="20"/>
      <c r="H96" s="20"/>
      <c r="I96" s="20"/>
      <c r="J96" s="20"/>
      <c r="K96" s="20"/>
      <c r="L96" s="140" t="s">
        <v>42</v>
      </c>
      <c r="M96" s="26"/>
      <c r="N96" s="26"/>
      <c r="O96" s="20"/>
      <c r="P96" s="20"/>
      <c r="Q96" s="20"/>
      <c r="R96" s="20"/>
      <c r="S96" s="20"/>
      <c r="T96" s="20"/>
      <c r="U96" s="20"/>
      <c r="V96" s="140" t="s">
        <v>42</v>
      </c>
      <c r="W96" s="26"/>
      <c r="X96" s="26"/>
      <c r="Y96" s="20"/>
      <c r="Z96" s="20"/>
      <c r="AA96" s="20"/>
      <c r="AB96" s="20"/>
      <c r="AC96" s="20"/>
      <c r="AD96" s="20"/>
      <c r="AE96" s="20"/>
      <c r="AF96" s="140" t="s">
        <v>42</v>
      </c>
      <c r="AG96" s="26"/>
      <c r="AH96" s="26"/>
      <c r="AI96" s="20"/>
      <c r="AJ96" s="20"/>
      <c r="AK96" s="20"/>
      <c r="AL96" s="20"/>
      <c r="AM96" s="20"/>
      <c r="AN96" s="20"/>
      <c r="AO96" s="20"/>
      <c r="AP96" s="140" t="s">
        <v>42</v>
      </c>
      <c r="AQ96" s="26"/>
      <c r="AR96" s="20"/>
      <c r="AS96" s="20"/>
      <c r="AT96" s="20"/>
      <c r="AU96" s="20"/>
      <c r="AV96" s="20"/>
      <c r="AW96" s="20"/>
      <c r="AX96" s="20"/>
      <c r="AY96" s="20"/>
      <c r="AZ96" s="140" t="s">
        <v>42</v>
      </c>
    </row>
    <row r="97" spans="1:52" ht="9.75" customHeight="1" x14ac:dyDescent="0.25">
      <c r="A97" s="140" t="s">
        <v>132</v>
      </c>
      <c r="B97" s="142" t="s">
        <v>37</v>
      </c>
      <c r="C97" s="143"/>
      <c r="D97" s="143"/>
      <c r="E97" s="39"/>
      <c r="F97" s="39"/>
      <c r="G97" s="39"/>
      <c r="H97" s="39"/>
      <c r="I97" s="39"/>
      <c r="J97" s="39"/>
      <c r="K97" s="39"/>
      <c r="L97" s="140" t="s">
        <v>132</v>
      </c>
      <c r="M97" s="143"/>
      <c r="N97" s="143"/>
      <c r="O97" s="39"/>
      <c r="P97" s="39"/>
      <c r="Q97" s="39"/>
      <c r="R97" s="39"/>
      <c r="S97" s="39"/>
      <c r="T97" s="39"/>
      <c r="U97" s="39"/>
      <c r="V97" s="140" t="s">
        <v>132</v>
      </c>
      <c r="W97" s="143"/>
      <c r="X97" s="143"/>
      <c r="Y97" s="39"/>
      <c r="Z97" s="39"/>
      <c r="AA97" s="39"/>
      <c r="AB97" s="39"/>
      <c r="AC97" s="39"/>
      <c r="AD97" s="39"/>
      <c r="AE97" s="39"/>
      <c r="AF97" s="140" t="s">
        <v>132</v>
      </c>
      <c r="AG97" s="143"/>
      <c r="AH97" s="143"/>
      <c r="AI97" s="39"/>
      <c r="AJ97" s="39"/>
      <c r="AK97" s="39"/>
      <c r="AL97" s="39"/>
      <c r="AM97" s="39"/>
      <c r="AN97" s="39"/>
      <c r="AO97" s="39"/>
      <c r="AP97" s="140" t="s">
        <v>132</v>
      </c>
      <c r="AQ97" s="143"/>
      <c r="AR97" s="39"/>
      <c r="AS97" s="39"/>
      <c r="AT97" s="39"/>
      <c r="AU97" s="39"/>
      <c r="AV97" s="39"/>
      <c r="AW97" s="39"/>
      <c r="AX97" s="39"/>
      <c r="AY97" s="39"/>
      <c r="AZ97" s="140" t="s">
        <v>132</v>
      </c>
    </row>
    <row r="98" spans="1:52" ht="15" customHeight="1" x14ac:dyDescent="0.25">
      <c r="A98" s="152"/>
      <c r="B98" s="152"/>
      <c r="C98" s="211" t="s">
        <v>133</v>
      </c>
      <c r="D98" s="211"/>
      <c r="E98" s="211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211"/>
      <c r="R98" s="211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211"/>
      <c r="AD98" s="211"/>
      <c r="AE98" s="211"/>
      <c r="AF98" s="211"/>
      <c r="AG98" s="211"/>
      <c r="AH98" s="211"/>
      <c r="AI98" s="211"/>
      <c r="AJ98" s="211"/>
      <c r="AK98" s="211"/>
      <c r="AL98" s="211"/>
      <c r="AM98" s="211"/>
      <c r="AN98" s="211"/>
      <c r="AO98" s="211"/>
      <c r="AP98" s="211"/>
      <c r="AQ98" s="211"/>
      <c r="AR98" s="211"/>
      <c r="AS98" s="211"/>
      <c r="AT98" s="211"/>
      <c r="AU98" s="211"/>
      <c r="AV98" s="211"/>
      <c r="AW98" s="211"/>
      <c r="AX98" s="211"/>
      <c r="AY98" s="211"/>
      <c r="AZ98" s="211"/>
    </row>
    <row r="99" spans="1:52" x14ac:dyDescent="0.25">
      <c r="C99" s="215" t="s">
        <v>142</v>
      </c>
      <c r="D99" s="215"/>
      <c r="E99" s="215"/>
      <c r="F99" s="215"/>
      <c r="G99" s="215"/>
      <c r="H99" s="215"/>
      <c r="I99" s="215"/>
      <c r="J99" s="215"/>
      <c r="K99" s="215"/>
      <c r="M99" s="214" t="s">
        <v>142</v>
      </c>
      <c r="N99" s="214"/>
      <c r="O99" s="214"/>
      <c r="P99" s="214"/>
      <c r="Q99" s="214"/>
      <c r="R99" s="214"/>
      <c r="S99" s="214"/>
      <c r="T99" s="214"/>
      <c r="U99" s="214"/>
      <c r="W99" s="214" t="s">
        <v>142</v>
      </c>
      <c r="X99" s="214"/>
      <c r="Y99" s="214"/>
      <c r="Z99" s="214"/>
      <c r="AA99" s="214"/>
      <c r="AB99" s="214"/>
      <c r="AC99" s="214"/>
      <c r="AD99" s="214"/>
      <c r="AE99" s="214"/>
      <c r="AG99" s="214" t="s">
        <v>142</v>
      </c>
      <c r="AH99" s="214"/>
      <c r="AI99" s="214"/>
      <c r="AJ99" s="214"/>
      <c r="AK99" s="214"/>
      <c r="AL99" s="214"/>
      <c r="AM99" s="214"/>
      <c r="AN99" s="214"/>
      <c r="AO99" s="214"/>
      <c r="AQ99" s="214" t="s">
        <v>142</v>
      </c>
      <c r="AR99" s="214"/>
      <c r="AS99" s="214"/>
      <c r="AT99" s="214"/>
      <c r="AU99" s="214"/>
      <c r="AV99" s="214"/>
      <c r="AW99" s="214"/>
      <c r="AX99" s="214"/>
      <c r="AY99" s="214"/>
    </row>
    <row r="100" spans="1:52" ht="16.5" customHeight="1" x14ac:dyDescent="0.25">
      <c r="A100" s="210" t="s">
        <v>4</v>
      </c>
      <c r="B100" s="210"/>
      <c r="C100" s="213" t="s">
        <v>137</v>
      </c>
      <c r="D100" s="213"/>
      <c r="E100" s="213"/>
      <c r="F100" s="213"/>
      <c r="G100" s="213"/>
      <c r="H100" s="213"/>
      <c r="I100" s="213"/>
      <c r="J100" s="213"/>
      <c r="K100" s="213"/>
      <c r="L100" s="33" t="s">
        <v>109</v>
      </c>
      <c r="M100" s="213" t="s">
        <v>138</v>
      </c>
      <c r="N100" s="213"/>
      <c r="O100" s="213"/>
      <c r="P100" s="213"/>
      <c r="Q100" s="213"/>
      <c r="R100" s="213"/>
      <c r="S100" s="213"/>
      <c r="T100" s="213"/>
      <c r="U100" s="213"/>
      <c r="V100" s="33" t="s">
        <v>109</v>
      </c>
      <c r="W100" s="213" t="s">
        <v>139</v>
      </c>
      <c r="X100" s="213"/>
      <c r="Y100" s="213"/>
      <c r="Z100" s="213"/>
      <c r="AA100" s="213"/>
      <c r="AB100" s="213"/>
      <c r="AC100" s="213"/>
      <c r="AD100" s="213"/>
      <c r="AE100" s="213"/>
      <c r="AF100" s="33" t="s">
        <v>109</v>
      </c>
      <c r="AG100" s="213" t="s">
        <v>140</v>
      </c>
      <c r="AH100" s="213"/>
      <c r="AI100" s="213"/>
      <c r="AJ100" s="213"/>
      <c r="AK100" s="213"/>
      <c r="AL100" s="213"/>
      <c r="AM100" s="213"/>
      <c r="AN100" s="213"/>
      <c r="AO100" s="213"/>
      <c r="AP100" s="33" t="s">
        <v>109</v>
      </c>
      <c r="AQ100" s="213" t="s">
        <v>141</v>
      </c>
      <c r="AR100" s="213"/>
      <c r="AS100" s="213"/>
      <c r="AT100" s="213"/>
      <c r="AU100" s="213"/>
      <c r="AV100" s="213"/>
      <c r="AW100" s="213"/>
      <c r="AX100" s="213"/>
      <c r="AY100" s="213"/>
      <c r="AZ100" s="33" t="s">
        <v>109</v>
      </c>
    </row>
    <row r="101" spans="1:52" ht="9.75" customHeight="1" x14ac:dyDescent="0.25">
      <c r="A101" s="210" t="s">
        <v>6</v>
      </c>
      <c r="B101" s="210"/>
      <c r="C101" s="126">
        <v>20</v>
      </c>
      <c r="D101" s="126">
        <v>20</v>
      </c>
      <c r="E101" s="127">
        <v>20</v>
      </c>
      <c r="F101" s="127">
        <v>20</v>
      </c>
      <c r="G101" s="127">
        <v>20</v>
      </c>
      <c r="H101" s="127">
        <v>20</v>
      </c>
      <c r="I101" s="127">
        <v>20</v>
      </c>
      <c r="J101" s="155">
        <v>20</v>
      </c>
      <c r="K101" s="156">
        <v>20</v>
      </c>
      <c r="L101" s="129" t="s">
        <v>113</v>
      </c>
      <c r="M101" s="126">
        <v>19</v>
      </c>
      <c r="N101" s="126">
        <v>19</v>
      </c>
      <c r="O101" s="127">
        <v>19</v>
      </c>
      <c r="P101" s="127">
        <v>19</v>
      </c>
      <c r="Q101" s="127">
        <v>19</v>
      </c>
      <c r="R101" s="127">
        <v>19</v>
      </c>
      <c r="S101" s="127">
        <v>19</v>
      </c>
      <c r="T101" s="127">
        <v>19</v>
      </c>
      <c r="U101" s="127">
        <v>19</v>
      </c>
      <c r="V101" s="129" t="s">
        <v>113</v>
      </c>
      <c r="W101" s="126">
        <v>18</v>
      </c>
      <c r="X101" s="126">
        <v>18</v>
      </c>
      <c r="Y101" s="126">
        <v>18</v>
      </c>
      <c r="Z101" s="126">
        <v>18</v>
      </c>
      <c r="AA101" s="126">
        <v>18</v>
      </c>
      <c r="AB101" s="126">
        <v>18</v>
      </c>
      <c r="AC101" s="126">
        <v>18</v>
      </c>
      <c r="AD101" s="126">
        <v>18</v>
      </c>
      <c r="AE101" s="126">
        <v>18</v>
      </c>
      <c r="AF101" s="129" t="s">
        <v>113</v>
      </c>
      <c r="AG101" s="126">
        <v>17</v>
      </c>
      <c r="AH101" s="126">
        <v>17</v>
      </c>
      <c r="AI101" s="126">
        <v>17</v>
      </c>
      <c r="AJ101" s="126">
        <v>17</v>
      </c>
      <c r="AK101" s="126">
        <v>17</v>
      </c>
      <c r="AL101" s="126">
        <v>17</v>
      </c>
      <c r="AM101" s="126">
        <v>17</v>
      </c>
      <c r="AN101" s="126">
        <v>17</v>
      </c>
      <c r="AO101" s="126">
        <v>17</v>
      </c>
      <c r="AP101" s="129" t="s">
        <v>113</v>
      </c>
      <c r="AQ101" s="127">
        <v>16</v>
      </c>
      <c r="AR101" s="126">
        <v>16</v>
      </c>
      <c r="AS101" s="126">
        <v>16</v>
      </c>
      <c r="AT101" s="126">
        <v>16</v>
      </c>
      <c r="AU101" s="126">
        <v>16</v>
      </c>
      <c r="AV101" s="126">
        <v>16</v>
      </c>
      <c r="AW101" s="126">
        <v>16</v>
      </c>
      <c r="AX101" s="126">
        <v>16</v>
      </c>
      <c r="AY101" s="126">
        <v>16</v>
      </c>
      <c r="AZ101" s="129" t="s">
        <v>113</v>
      </c>
    </row>
    <row r="102" spans="1:52" ht="9.75" customHeight="1" x14ac:dyDescent="0.25">
      <c r="A102" s="131" t="s">
        <v>11</v>
      </c>
      <c r="B102" s="131" t="s">
        <v>12</v>
      </c>
      <c r="C102" s="132">
        <v>22</v>
      </c>
      <c r="D102" s="137">
        <v>20</v>
      </c>
      <c r="E102" s="134">
        <v>18</v>
      </c>
      <c r="F102" s="134">
        <v>16</v>
      </c>
      <c r="G102" s="134">
        <v>14</v>
      </c>
      <c r="H102" s="134">
        <v>12</v>
      </c>
      <c r="I102" s="134">
        <v>10</v>
      </c>
      <c r="J102" s="158">
        <v>8</v>
      </c>
      <c r="K102" s="138">
        <v>6</v>
      </c>
      <c r="L102" s="136" t="s">
        <v>114</v>
      </c>
      <c r="M102" s="132">
        <v>22</v>
      </c>
      <c r="N102" s="137">
        <v>20</v>
      </c>
      <c r="O102" s="134">
        <v>18</v>
      </c>
      <c r="P102" s="134">
        <v>16</v>
      </c>
      <c r="Q102" s="134">
        <v>14</v>
      </c>
      <c r="R102" s="134">
        <v>12</v>
      </c>
      <c r="S102" s="134">
        <v>10</v>
      </c>
      <c r="T102" s="158">
        <v>8</v>
      </c>
      <c r="U102" s="158">
        <v>6</v>
      </c>
      <c r="V102" s="136" t="s">
        <v>114</v>
      </c>
      <c r="W102" s="132">
        <v>22</v>
      </c>
      <c r="X102" s="137">
        <v>20</v>
      </c>
      <c r="Y102" s="134">
        <v>18</v>
      </c>
      <c r="Z102" s="134">
        <v>16</v>
      </c>
      <c r="AA102" s="134">
        <v>14</v>
      </c>
      <c r="AB102" s="134">
        <v>12</v>
      </c>
      <c r="AC102" s="134">
        <v>10</v>
      </c>
      <c r="AD102" s="158">
        <v>8</v>
      </c>
      <c r="AE102" s="158">
        <v>6</v>
      </c>
      <c r="AF102" s="136" t="s">
        <v>114</v>
      </c>
      <c r="AG102" s="137">
        <v>22</v>
      </c>
      <c r="AH102" s="137">
        <v>20</v>
      </c>
      <c r="AI102" s="134">
        <v>18</v>
      </c>
      <c r="AJ102" s="134">
        <v>16</v>
      </c>
      <c r="AK102" s="134">
        <v>14</v>
      </c>
      <c r="AL102" s="134">
        <v>12</v>
      </c>
      <c r="AM102" s="134">
        <v>10</v>
      </c>
      <c r="AN102" s="158">
        <v>8</v>
      </c>
      <c r="AO102" s="158">
        <v>6</v>
      </c>
      <c r="AP102" s="136" t="s">
        <v>114</v>
      </c>
      <c r="AQ102" s="133">
        <v>22</v>
      </c>
      <c r="AR102" s="137">
        <v>20</v>
      </c>
      <c r="AS102" s="134">
        <v>18</v>
      </c>
      <c r="AT102" s="134">
        <v>16</v>
      </c>
      <c r="AU102" s="134">
        <v>14</v>
      </c>
      <c r="AV102" s="134">
        <v>12</v>
      </c>
      <c r="AW102" s="134">
        <v>10</v>
      </c>
      <c r="AX102" s="158">
        <v>8</v>
      </c>
      <c r="AY102" s="158">
        <v>6</v>
      </c>
      <c r="AZ102" s="136" t="s">
        <v>114</v>
      </c>
    </row>
    <row r="103" spans="1:52" ht="9.75" customHeight="1" x14ac:dyDescent="0.25">
      <c r="A103" s="140" t="s">
        <v>115</v>
      </c>
      <c r="B103" s="140" t="s">
        <v>116</v>
      </c>
      <c r="C103" s="143"/>
      <c r="D103" s="143"/>
      <c r="E103" s="39"/>
      <c r="F103" s="39"/>
      <c r="G103" s="39"/>
      <c r="H103" s="39"/>
      <c r="I103" s="144"/>
      <c r="J103" s="39"/>
      <c r="K103" s="144">
        <v>210</v>
      </c>
      <c r="L103" s="142" t="s">
        <v>115</v>
      </c>
      <c r="M103" s="143"/>
      <c r="N103" s="143"/>
      <c r="O103" s="39"/>
      <c r="P103" s="39"/>
      <c r="Q103" s="39"/>
      <c r="R103" s="39"/>
      <c r="S103" s="39"/>
      <c r="T103" s="39"/>
      <c r="U103" s="144">
        <v>220</v>
      </c>
      <c r="V103" s="142" t="s">
        <v>115</v>
      </c>
      <c r="W103" s="143"/>
      <c r="X103" s="143"/>
      <c r="Y103" s="39"/>
      <c r="Z103" s="39"/>
      <c r="AA103" s="39"/>
      <c r="AB103" s="39"/>
      <c r="AC103" s="39"/>
      <c r="AD103" s="39"/>
      <c r="AE103" s="144">
        <v>230</v>
      </c>
      <c r="AF103" s="142" t="s">
        <v>115</v>
      </c>
      <c r="AG103" s="143"/>
      <c r="AH103" s="143"/>
      <c r="AI103" s="39"/>
      <c r="AJ103" s="39"/>
      <c r="AK103" s="39"/>
      <c r="AL103" s="39"/>
      <c r="AM103" s="39"/>
      <c r="AN103" s="39"/>
      <c r="AO103" s="144">
        <v>240</v>
      </c>
      <c r="AP103" s="142" t="s">
        <v>115</v>
      </c>
      <c r="AQ103" s="163"/>
      <c r="AR103" s="39"/>
      <c r="AS103" s="39"/>
      <c r="AT103" s="39"/>
      <c r="AU103" s="39"/>
      <c r="AV103" s="39"/>
      <c r="AW103" s="39"/>
      <c r="AX103" s="39"/>
      <c r="AY103" s="144">
        <v>250</v>
      </c>
      <c r="AZ103" s="142" t="s">
        <v>115</v>
      </c>
    </row>
    <row r="104" spans="1:52" ht="9.75" customHeight="1" x14ac:dyDescent="0.25">
      <c r="A104" s="142" t="s">
        <v>117</v>
      </c>
      <c r="B104" s="142" t="s">
        <v>118</v>
      </c>
      <c r="C104" s="26"/>
      <c r="D104" s="26"/>
      <c r="E104" s="20"/>
      <c r="F104" s="20"/>
      <c r="G104" s="20"/>
      <c r="H104" s="20"/>
      <c r="I104" s="148"/>
      <c r="J104" s="20">
        <v>210</v>
      </c>
      <c r="K104" s="148">
        <v>220</v>
      </c>
      <c r="L104" s="142" t="s">
        <v>117</v>
      </c>
      <c r="M104" s="26"/>
      <c r="N104" s="26"/>
      <c r="O104" s="20"/>
      <c r="P104" s="20"/>
      <c r="Q104" s="20"/>
      <c r="R104" s="20"/>
      <c r="S104" s="20"/>
      <c r="T104" s="20">
        <v>220</v>
      </c>
      <c r="U104" s="148">
        <v>230</v>
      </c>
      <c r="V104" s="142" t="s">
        <v>117</v>
      </c>
      <c r="W104" s="26"/>
      <c r="X104" s="26"/>
      <c r="Y104" s="20"/>
      <c r="Z104" s="20"/>
      <c r="AA104" s="20"/>
      <c r="AB104" s="20"/>
      <c r="AC104" s="20"/>
      <c r="AD104" s="20">
        <v>230</v>
      </c>
      <c r="AE104" s="148">
        <v>240</v>
      </c>
      <c r="AF104" s="142" t="s">
        <v>117</v>
      </c>
      <c r="AG104" s="26"/>
      <c r="AH104" s="26"/>
      <c r="AI104" s="20"/>
      <c r="AJ104" s="20"/>
      <c r="AK104" s="20"/>
      <c r="AL104" s="20"/>
      <c r="AM104" s="20"/>
      <c r="AN104" s="20">
        <v>240</v>
      </c>
      <c r="AO104" s="148">
        <v>250</v>
      </c>
      <c r="AP104" s="142" t="s">
        <v>117</v>
      </c>
      <c r="AQ104" s="164"/>
      <c r="AR104" s="20"/>
      <c r="AS104" s="20"/>
      <c r="AT104" s="20"/>
      <c r="AU104" s="20"/>
      <c r="AV104" s="20"/>
      <c r="AW104" s="20"/>
      <c r="AX104" s="20">
        <v>250</v>
      </c>
      <c r="AY104" s="148">
        <v>260</v>
      </c>
      <c r="AZ104" s="142" t="s">
        <v>117</v>
      </c>
    </row>
    <row r="105" spans="1:52" ht="9.75" customHeight="1" x14ac:dyDescent="0.25">
      <c r="A105" s="142" t="s">
        <v>119</v>
      </c>
      <c r="B105" s="142" t="s">
        <v>120</v>
      </c>
      <c r="C105" s="143"/>
      <c r="D105" s="143"/>
      <c r="E105" s="39"/>
      <c r="F105" s="39"/>
      <c r="G105" s="39"/>
      <c r="H105" s="39"/>
      <c r="I105" s="144">
        <v>210</v>
      </c>
      <c r="J105" s="39">
        <v>220</v>
      </c>
      <c r="K105" s="144">
        <v>230</v>
      </c>
      <c r="L105" s="142" t="s">
        <v>119</v>
      </c>
      <c r="M105" s="143"/>
      <c r="N105" s="143"/>
      <c r="O105" s="39"/>
      <c r="P105" s="39"/>
      <c r="Q105" s="39"/>
      <c r="R105" s="39"/>
      <c r="S105" s="144">
        <v>220</v>
      </c>
      <c r="T105" s="39">
        <v>230</v>
      </c>
      <c r="U105" s="144">
        <v>240</v>
      </c>
      <c r="V105" s="142" t="s">
        <v>119</v>
      </c>
      <c r="W105" s="143"/>
      <c r="X105" s="143"/>
      <c r="Y105" s="39"/>
      <c r="Z105" s="39"/>
      <c r="AA105" s="39"/>
      <c r="AB105" s="39"/>
      <c r="AC105" s="144">
        <v>230</v>
      </c>
      <c r="AD105" s="39">
        <v>240</v>
      </c>
      <c r="AE105" s="144">
        <v>250</v>
      </c>
      <c r="AF105" s="142" t="s">
        <v>119</v>
      </c>
      <c r="AG105" s="143"/>
      <c r="AH105" s="143"/>
      <c r="AI105" s="39"/>
      <c r="AJ105" s="39"/>
      <c r="AK105" s="39"/>
      <c r="AL105" s="39"/>
      <c r="AM105" s="144">
        <v>240</v>
      </c>
      <c r="AN105" s="39">
        <v>250</v>
      </c>
      <c r="AO105" s="144">
        <v>260</v>
      </c>
      <c r="AP105" s="142" t="s">
        <v>119</v>
      </c>
      <c r="AQ105" s="163"/>
      <c r="AR105" s="39"/>
      <c r="AS105" s="39"/>
      <c r="AT105" s="39"/>
      <c r="AU105" s="39"/>
      <c r="AV105" s="39"/>
      <c r="AW105" s="144">
        <v>250</v>
      </c>
      <c r="AX105" s="39">
        <v>260</v>
      </c>
      <c r="AY105" s="144">
        <v>270</v>
      </c>
      <c r="AZ105" s="142" t="s">
        <v>119</v>
      </c>
    </row>
    <row r="106" spans="1:52" ht="9.75" customHeight="1" x14ac:dyDescent="0.25">
      <c r="A106" s="142" t="s">
        <v>121</v>
      </c>
      <c r="B106" s="142" t="s">
        <v>122</v>
      </c>
      <c r="C106" s="26"/>
      <c r="D106" s="26"/>
      <c r="E106" s="20"/>
      <c r="F106" s="20"/>
      <c r="G106" s="20"/>
      <c r="H106" s="20">
        <v>210</v>
      </c>
      <c r="I106" s="148">
        <v>220</v>
      </c>
      <c r="J106" s="20">
        <v>230</v>
      </c>
      <c r="K106" s="148">
        <v>240</v>
      </c>
      <c r="L106" s="142" t="s">
        <v>121</v>
      </c>
      <c r="M106" s="26"/>
      <c r="N106" s="26"/>
      <c r="O106" s="20"/>
      <c r="P106" s="20"/>
      <c r="Q106" s="20"/>
      <c r="R106" s="20">
        <v>220</v>
      </c>
      <c r="S106" s="148">
        <v>230</v>
      </c>
      <c r="T106" s="20">
        <v>240</v>
      </c>
      <c r="U106" s="148">
        <v>250</v>
      </c>
      <c r="V106" s="142" t="s">
        <v>121</v>
      </c>
      <c r="W106" s="26"/>
      <c r="X106" s="26"/>
      <c r="Y106" s="20"/>
      <c r="Z106" s="20"/>
      <c r="AA106" s="20"/>
      <c r="AB106" s="20">
        <v>230</v>
      </c>
      <c r="AC106" s="148">
        <v>240</v>
      </c>
      <c r="AD106" s="20">
        <v>250</v>
      </c>
      <c r="AE106" s="148">
        <v>260</v>
      </c>
      <c r="AF106" s="142" t="s">
        <v>121</v>
      </c>
      <c r="AG106" s="26"/>
      <c r="AH106" s="26"/>
      <c r="AI106" s="20"/>
      <c r="AJ106" s="20"/>
      <c r="AK106" s="20"/>
      <c r="AL106" s="20">
        <v>240</v>
      </c>
      <c r="AM106" s="148">
        <v>250</v>
      </c>
      <c r="AN106" s="20">
        <v>260</v>
      </c>
      <c r="AO106" s="148">
        <v>270</v>
      </c>
      <c r="AP106" s="142" t="s">
        <v>121</v>
      </c>
      <c r="AQ106" s="164"/>
      <c r="AR106" s="20"/>
      <c r="AS106" s="20"/>
      <c r="AT106" s="20"/>
      <c r="AU106" s="20"/>
      <c r="AV106" s="20">
        <v>250</v>
      </c>
      <c r="AW106" s="148">
        <v>260</v>
      </c>
      <c r="AX106" s="20">
        <v>270</v>
      </c>
      <c r="AY106" s="148">
        <v>280</v>
      </c>
      <c r="AZ106" s="142" t="s">
        <v>121</v>
      </c>
    </row>
    <row r="107" spans="1:52" ht="9.75" customHeight="1" x14ac:dyDescent="0.25">
      <c r="A107" s="142" t="s">
        <v>21</v>
      </c>
      <c r="B107" s="142" t="s">
        <v>123</v>
      </c>
      <c r="C107" s="143"/>
      <c r="D107" s="143"/>
      <c r="E107" s="39"/>
      <c r="F107" s="39"/>
      <c r="G107" s="144">
        <v>210</v>
      </c>
      <c r="H107" s="39">
        <v>220</v>
      </c>
      <c r="I107" s="144">
        <v>230</v>
      </c>
      <c r="J107" s="39">
        <v>240</v>
      </c>
      <c r="K107" s="144">
        <v>250</v>
      </c>
      <c r="L107" s="142" t="s">
        <v>21</v>
      </c>
      <c r="M107" s="143"/>
      <c r="N107" s="143"/>
      <c r="O107" s="39"/>
      <c r="P107" s="39"/>
      <c r="Q107" s="144">
        <v>220</v>
      </c>
      <c r="R107" s="39">
        <v>230</v>
      </c>
      <c r="S107" s="144">
        <v>240</v>
      </c>
      <c r="T107" s="39">
        <v>250</v>
      </c>
      <c r="U107" s="144">
        <v>260</v>
      </c>
      <c r="V107" s="142" t="s">
        <v>21</v>
      </c>
      <c r="W107" s="143"/>
      <c r="X107" s="143"/>
      <c r="Y107" s="39"/>
      <c r="Z107" s="39"/>
      <c r="AA107" s="144">
        <v>230</v>
      </c>
      <c r="AB107" s="39">
        <v>240</v>
      </c>
      <c r="AC107" s="144">
        <v>250</v>
      </c>
      <c r="AD107" s="39">
        <v>260</v>
      </c>
      <c r="AE107" s="144">
        <v>270</v>
      </c>
      <c r="AF107" s="142" t="s">
        <v>21</v>
      </c>
      <c r="AG107" s="143"/>
      <c r="AH107" s="143"/>
      <c r="AI107" s="39"/>
      <c r="AJ107" s="39"/>
      <c r="AK107" s="144">
        <v>240</v>
      </c>
      <c r="AL107" s="39">
        <v>250</v>
      </c>
      <c r="AM107" s="144">
        <v>260</v>
      </c>
      <c r="AN107" s="39">
        <v>270</v>
      </c>
      <c r="AO107" s="144">
        <v>280</v>
      </c>
      <c r="AP107" s="142" t="s">
        <v>21</v>
      </c>
      <c r="AQ107" s="163"/>
      <c r="AR107" s="39"/>
      <c r="AS107" s="39"/>
      <c r="AT107" s="39"/>
      <c r="AU107" s="144">
        <v>250</v>
      </c>
      <c r="AV107" s="39">
        <v>260</v>
      </c>
      <c r="AW107" s="144">
        <v>270</v>
      </c>
      <c r="AX107" s="39">
        <v>280</v>
      </c>
      <c r="AY107" s="144">
        <v>290</v>
      </c>
      <c r="AZ107" s="142" t="s">
        <v>21</v>
      </c>
    </row>
    <row r="108" spans="1:52" ht="9.75" customHeight="1" x14ac:dyDescent="0.25">
      <c r="A108" s="142" t="s">
        <v>23</v>
      </c>
      <c r="B108" s="142" t="s">
        <v>124</v>
      </c>
      <c r="C108" s="26"/>
      <c r="D108" s="26"/>
      <c r="E108" s="20"/>
      <c r="F108" s="20">
        <v>210</v>
      </c>
      <c r="G108" s="148">
        <v>220</v>
      </c>
      <c r="H108" s="20">
        <v>230</v>
      </c>
      <c r="I108" s="148">
        <v>240</v>
      </c>
      <c r="J108" s="20">
        <v>250</v>
      </c>
      <c r="K108" s="148">
        <v>260</v>
      </c>
      <c r="L108" s="142" t="s">
        <v>23</v>
      </c>
      <c r="M108" s="26"/>
      <c r="N108" s="26"/>
      <c r="O108" s="20"/>
      <c r="P108" s="20">
        <v>220</v>
      </c>
      <c r="Q108" s="148">
        <v>230</v>
      </c>
      <c r="R108" s="20">
        <v>240</v>
      </c>
      <c r="S108" s="148">
        <v>250</v>
      </c>
      <c r="T108" s="20">
        <v>260</v>
      </c>
      <c r="U108" s="148">
        <v>270</v>
      </c>
      <c r="V108" s="142" t="s">
        <v>23</v>
      </c>
      <c r="W108" s="26"/>
      <c r="X108" s="26"/>
      <c r="Y108" s="20"/>
      <c r="Z108" s="20">
        <v>230</v>
      </c>
      <c r="AA108" s="148">
        <v>240</v>
      </c>
      <c r="AB108" s="20">
        <v>250</v>
      </c>
      <c r="AC108" s="148">
        <v>260</v>
      </c>
      <c r="AD108" s="20">
        <v>270</v>
      </c>
      <c r="AE108" s="148">
        <v>280</v>
      </c>
      <c r="AF108" s="142" t="s">
        <v>23</v>
      </c>
      <c r="AG108" s="26"/>
      <c r="AH108" s="26"/>
      <c r="AI108" s="20"/>
      <c r="AJ108" s="20">
        <v>240</v>
      </c>
      <c r="AK108" s="148">
        <v>250</v>
      </c>
      <c r="AL108" s="20">
        <v>260</v>
      </c>
      <c r="AM108" s="148">
        <v>270</v>
      </c>
      <c r="AN108" s="20">
        <v>280</v>
      </c>
      <c r="AO108" s="148">
        <v>290</v>
      </c>
      <c r="AP108" s="142" t="s">
        <v>23</v>
      </c>
      <c r="AQ108" s="164"/>
      <c r="AR108" s="20"/>
      <c r="AS108" s="20"/>
      <c r="AT108" s="20">
        <v>250</v>
      </c>
      <c r="AU108" s="148">
        <v>260</v>
      </c>
      <c r="AV108" s="20">
        <v>270</v>
      </c>
      <c r="AW108" s="148">
        <v>280</v>
      </c>
      <c r="AX108" s="20">
        <v>290</v>
      </c>
      <c r="AY108" s="148">
        <v>300</v>
      </c>
      <c r="AZ108" s="142" t="s">
        <v>23</v>
      </c>
    </row>
    <row r="109" spans="1:52" ht="9.75" customHeight="1" x14ac:dyDescent="0.25">
      <c r="A109" s="142" t="s">
        <v>24</v>
      </c>
      <c r="B109" s="142" t="s">
        <v>125</v>
      </c>
      <c r="C109" s="143"/>
      <c r="D109" s="143"/>
      <c r="E109" s="144">
        <v>210</v>
      </c>
      <c r="F109" s="39">
        <v>220</v>
      </c>
      <c r="G109" s="144">
        <v>230</v>
      </c>
      <c r="H109" s="39">
        <v>240</v>
      </c>
      <c r="I109" s="144">
        <v>250</v>
      </c>
      <c r="J109" s="39">
        <v>260</v>
      </c>
      <c r="K109" s="144">
        <v>270</v>
      </c>
      <c r="L109" s="142" t="s">
        <v>24</v>
      </c>
      <c r="M109" s="143"/>
      <c r="N109" s="143"/>
      <c r="O109" s="144">
        <v>220</v>
      </c>
      <c r="P109" s="39">
        <v>230</v>
      </c>
      <c r="Q109" s="144">
        <v>240</v>
      </c>
      <c r="R109" s="39">
        <v>250</v>
      </c>
      <c r="S109" s="144">
        <v>260</v>
      </c>
      <c r="T109" s="39">
        <v>270</v>
      </c>
      <c r="U109" s="144">
        <v>280</v>
      </c>
      <c r="V109" s="142" t="s">
        <v>24</v>
      </c>
      <c r="W109" s="143"/>
      <c r="X109" s="143"/>
      <c r="Y109" s="144">
        <v>230</v>
      </c>
      <c r="Z109" s="39">
        <v>240</v>
      </c>
      <c r="AA109" s="144">
        <v>250</v>
      </c>
      <c r="AB109" s="39">
        <v>260</v>
      </c>
      <c r="AC109" s="144">
        <v>270</v>
      </c>
      <c r="AD109" s="39">
        <v>280</v>
      </c>
      <c r="AE109" s="144">
        <v>290</v>
      </c>
      <c r="AF109" s="142" t="s">
        <v>24</v>
      </c>
      <c r="AG109" s="143"/>
      <c r="AH109" s="143"/>
      <c r="AI109" s="144">
        <v>240</v>
      </c>
      <c r="AJ109" s="39">
        <v>250</v>
      </c>
      <c r="AK109" s="144">
        <v>260</v>
      </c>
      <c r="AL109" s="39">
        <v>270</v>
      </c>
      <c r="AM109" s="144">
        <v>280</v>
      </c>
      <c r="AN109" s="39">
        <v>290</v>
      </c>
      <c r="AO109" s="144">
        <v>300</v>
      </c>
      <c r="AP109" s="142" t="s">
        <v>24</v>
      </c>
      <c r="AQ109" s="163"/>
      <c r="AR109" s="39"/>
      <c r="AS109" s="144">
        <v>250</v>
      </c>
      <c r="AT109" s="39">
        <v>260</v>
      </c>
      <c r="AU109" s="144">
        <v>270</v>
      </c>
      <c r="AV109" s="39">
        <v>280</v>
      </c>
      <c r="AW109" s="144">
        <v>290</v>
      </c>
      <c r="AX109" s="39">
        <v>300</v>
      </c>
      <c r="AY109" s="144">
        <v>310</v>
      </c>
      <c r="AZ109" s="142" t="s">
        <v>24</v>
      </c>
    </row>
    <row r="110" spans="1:52" ht="9.75" customHeight="1" x14ac:dyDescent="0.25">
      <c r="A110" s="142" t="s">
        <v>26</v>
      </c>
      <c r="B110" s="142" t="s">
        <v>126</v>
      </c>
      <c r="C110" s="26"/>
      <c r="D110" s="20">
        <v>210</v>
      </c>
      <c r="E110" s="148">
        <v>220</v>
      </c>
      <c r="F110" s="20">
        <v>230</v>
      </c>
      <c r="G110" s="148">
        <v>240</v>
      </c>
      <c r="H110" s="20">
        <v>250</v>
      </c>
      <c r="I110" s="148">
        <v>260</v>
      </c>
      <c r="J110" s="20">
        <v>270</v>
      </c>
      <c r="K110" s="148">
        <v>280</v>
      </c>
      <c r="L110" s="142" t="s">
        <v>26</v>
      </c>
      <c r="M110" s="26"/>
      <c r="N110" s="20">
        <v>220</v>
      </c>
      <c r="O110" s="148">
        <v>230</v>
      </c>
      <c r="P110" s="20">
        <v>240</v>
      </c>
      <c r="Q110" s="148">
        <v>250</v>
      </c>
      <c r="R110" s="20">
        <v>260</v>
      </c>
      <c r="S110" s="148">
        <v>270</v>
      </c>
      <c r="T110" s="20">
        <v>280</v>
      </c>
      <c r="U110" s="148">
        <v>290</v>
      </c>
      <c r="V110" s="142" t="s">
        <v>26</v>
      </c>
      <c r="W110" s="26"/>
      <c r="X110" s="20">
        <v>230</v>
      </c>
      <c r="Y110" s="148">
        <v>240</v>
      </c>
      <c r="Z110" s="20">
        <v>250</v>
      </c>
      <c r="AA110" s="148">
        <v>260</v>
      </c>
      <c r="AB110" s="20">
        <v>270</v>
      </c>
      <c r="AC110" s="148">
        <v>280</v>
      </c>
      <c r="AD110" s="20">
        <v>290</v>
      </c>
      <c r="AE110" s="148">
        <v>300</v>
      </c>
      <c r="AF110" s="142" t="s">
        <v>26</v>
      </c>
      <c r="AG110" s="26"/>
      <c r="AH110" s="20">
        <v>240</v>
      </c>
      <c r="AI110" s="148">
        <v>250</v>
      </c>
      <c r="AJ110" s="20">
        <v>260</v>
      </c>
      <c r="AK110" s="148">
        <v>270</v>
      </c>
      <c r="AL110" s="20">
        <v>280</v>
      </c>
      <c r="AM110" s="148">
        <v>290</v>
      </c>
      <c r="AN110" s="20">
        <v>300</v>
      </c>
      <c r="AO110" s="148">
        <v>310</v>
      </c>
      <c r="AP110" s="142" t="s">
        <v>26</v>
      </c>
      <c r="AQ110" s="164"/>
      <c r="AR110" s="20">
        <v>250</v>
      </c>
      <c r="AS110" s="148">
        <v>260</v>
      </c>
      <c r="AT110" s="20">
        <v>270</v>
      </c>
      <c r="AU110" s="148">
        <v>280</v>
      </c>
      <c r="AV110" s="20">
        <v>290</v>
      </c>
      <c r="AW110" s="148">
        <v>300</v>
      </c>
      <c r="AX110" s="20">
        <v>310</v>
      </c>
      <c r="AY110" s="20"/>
      <c r="AZ110" s="142" t="s">
        <v>26</v>
      </c>
    </row>
    <row r="111" spans="1:52" ht="9.75" customHeight="1" x14ac:dyDescent="0.25">
      <c r="A111" s="142" t="s">
        <v>28</v>
      </c>
      <c r="B111" s="142" t="s">
        <v>127</v>
      </c>
      <c r="C111" s="144">
        <v>210</v>
      </c>
      <c r="D111" s="39">
        <v>220</v>
      </c>
      <c r="E111" s="144">
        <v>230</v>
      </c>
      <c r="F111" s="39">
        <v>240</v>
      </c>
      <c r="G111" s="144">
        <v>250</v>
      </c>
      <c r="H111" s="39">
        <v>260</v>
      </c>
      <c r="I111" s="144">
        <v>270</v>
      </c>
      <c r="J111" s="39">
        <v>280</v>
      </c>
      <c r="K111" s="144">
        <v>290</v>
      </c>
      <c r="L111" s="142" t="s">
        <v>28</v>
      </c>
      <c r="M111" s="144">
        <v>220</v>
      </c>
      <c r="N111" s="39">
        <v>230</v>
      </c>
      <c r="O111" s="144">
        <v>240</v>
      </c>
      <c r="P111" s="39">
        <v>250</v>
      </c>
      <c r="Q111" s="144">
        <v>260</v>
      </c>
      <c r="R111" s="39">
        <v>270</v>
      </c>
      <c r="S111" s="144">
        <v>280</v>
      </c>
      <c r="T111" s="39">
        <v>290</v>
      </c>
      <c r="U111" s="144">
        <v>300</v>
      </c>
      <c r="V111" s="142" t="s">
        <v>28</v>
      </c>
      <c r="W111" s="144">
        <v>230</v>
      </c>
      <c r="X111" s="39">
        <v>240</v>
      </c>
      <c r="Y111" s="144">
        <v>250</v>
      </c>
      <c r="Z111" s="39">
        <v>260</v>
      </c>
      <c r="AA111" s="144">
        <v>270</v>
      </c>
      <c r="AB111" s="39">
        <v>280</v>
      </c>
      <c r="AC111" s="144">
        <v>290</v>
      </c>
      <c r="AD111" s="39">
        <v>300</v>
      </c>
      <c r="AE111" s="144">
        <v>310</v>
      </c>
      <c r="AF111" s="142" t="s">
        <v>28</v>
      </c>
      <c r="AG111" s="144">
        <v>240</v>
      </c>
      <c r="AH111" s="39">
        <v>250</v>
      </c>
      <c r="AI111" s="144">
        <v>260</v>
      </c>
      <c r="AJ111" s="39">
        <v>270</v>
      </c>
      <c r="AK111" s="144">
        <v>280</v>
      </c>
      <c r="AL111" s="39">
        <v>290</v>
      </c>
      <c r="AM111" s="144">
        <v>300</v>
      </c>
      <c r="AN111" s="39">
        <v>310</v>
      </c>
      <c r="AO111" s="39"/>
      <c r="AP111" s="142" t="s">
        <v>28</v>
      </c>
      <c r="AQ111" s="165">
        <v>250</v>
      </c>
      <c r="AR111" s="39"/>
      <c r="AS111" s="39"/>
      <c r="AT111" s="39"/>
      <c r="AU111" s="39"/>
      <c r="AV111" s="39"/>
      <c r="AW111" s="39"/>
      <c r="AX111" s="39"/>
      <c r="AY111" s="39"/>
      <c r="AZ111" s="142" t="s">
        <v>28</v>
      </c>
    </row>
    <row r="112" spans="1:52" ht="9.75" customHeight="1" x14ac:dyDescent="0.25">
      <c r="A112" s="142" t="s">
        <v>30</v>
      </c>
      <c r="B112" s="142" t="s">
        <v>128</v>
      </c>
      <c r="C112" s="148">
        <v>220</v>
      </c>
      <c r="D112" s="20">
        <v>230</v>
      </c>
      <c r="E112" s="148">
        <v>240</v>
      </c>
      <c r="F112" s="20">
        <v>250</v>
      </c>
      <c r="G112" s="148">
        <v>260</v>
      </c>
      <c r="H112" s="20">
        <v>270</v>
      </c>
      <c r="I112" s="148">
        <v>280</v>
      </c>
      <c r="J112" s="20">
        <v>290</v>
      </c>
      <c r="K112" s="148">
        <v>300</v>
      </c>
      <c r="L112" s="142" t="s">
        <v>30</v>
      </c>
      <c r="M112" s="148">
        <v>230</v>
      </c>
      <c r="N112" s="20">
        <v>240</v>
      </c>
      <c r="O112" s="148">
        <v>250</v>
      </c>
      <c r="P112" s="20">
        <v>260</v>
      </c>
      <c r="Q112" s="148">
        <v>270</v>
      </c>
      <c r="R112" s="20">
        <v>280</v>
      </c>
      <c r="S112" s="148">
        <v>290</v>
      </c>
      <c r="T112" s="20">
        <v>300</v>
      </c>
      <c r="U112" s="148">
        <v>310</v>
      </c>
      <c r="V112" s="142" t="s">
        <v>30</v>
      </c>
      <c r="W112" s="148">
        <v>240</v>
      </c>
      <c r="X112" s="20">
        <v>250</v>
      </c>
      <c r="Y112" s="148">
        <v>260</v>
      </c>
      <c r="Z112" s="20">
        <v>270</v>
      </c>
      <c r="AA112" s="148">
        <v>280</v>
      </c>
      <c r="AB112" s="20">
        <v>290</v>
      </c>
      <c r="AC112" s="148">
        <v>300</v>
      </c>
      <c r="AD112" s="20">
        <v>310</v>
      </c>
      <c r="AE112" s="20"/>
      <c r="AF112" s="142" t="s">
        <v>30</v>
      </c>
      <c r="AG112" s="26"/>
      <c r="AH112" s="26"/>
      <c r="AI112" s="20"/>
      <c r="AJ112" s="20"/>
      <c r="AK112" s="20"/>
      <c r="AL112" s="20"/>
      <c r="AM112" s="20"/>
      <c r="AN112" s="20"/>
      <c r="AO112" s="20"/>
      <c r="AP112" s="142" t="s">
        <v>30</v>
      </c>
      <c r="AQ112" s="164"/>
      <c r="AR112" s="20"/>
      <c r="AS112" s="20"/>
      <c r="AT112" s="20"/>
      <c r="AU112" s="20"/>
      <c r="AV112" s="20"/>
      <c r="AW112" s="20"/>
      <c r="AX112" s="20"/>
      <c r="AY112" s="20"/>
      <c r="AZ112" s="142" t="s">
        <v>30</v>
      </c>
    </row>
    <row r="113" spans="1:52" ht="9.75" customHeight="1" x14ac:dyDescent="0.25">
      <c r="A113" s="142" t="s">
        <v>32</v>
      </c>
      <c r="B113" s="142" t="s">
        <v>129</v>
      </c>
      <c r="C113" s="144">
        <v>230</v>
      </c>
      <c r="D113" s="39">
        <v>240</v>
      </c>
      <c r="E113" s="144">
        <v>250</v>
      </c>
      <c r="F113" s="39">
        <v>260</v>
      </c>
      <c r="G113" s="144">
        <v>270</v>
      </c>
      <c r="H113" s="39">
        <v>280</v>
      </c>
      <c r="I113" s="144">
        <v>290</v>
      </c>
      <c r="J113" s="39">
        <v>300</v>
      </c>
      <c r="K113" s="144">
        <v>310</v>
      </c>
      <c r="L113" s="142" t="s">
        <v>32</v>
      </c>
      <c r="M113" s="144">
        <v>240</v>
      </c>
      <c r="N113" s="39">
        <v>250</v>
      </c>
      <c r="O113" s="144">
        <v>260</v>
      </c>
      <c r="P113" s="39">
        <v>270</v>
      </c>
      <c r="Q113" s="144">
        <v>280</v>
      </c>
      <c r="R113" s="39">
        <v>290</v>
      </c>
      <c r="S113" s="144">
        <v>300</v>
      </c>
      <c r="T113" s="39">
        <v>310</v>
      </c>
      <c r="U113" s="39"/>
      <c r="V113" s="142" t="s">
        <v>32</v>
      </c>
      <c r="W113" s="144">
        <v>250</v>
      </c>
      <c r="X113" s="39">
        <v>260</v>
      </c>
      <c r="Y113" s="144">
        <v>270</v>
      </c>
      <c r="Z113" s="39">
        <v>280</v>
      </c>
      <c r="AA113" s="144">
        <v>290</v>
      </c>
      <c r="AB113" s="39">
        <v>300</v>
      </c>
      <c r="AC113" s="144">
        <v>310</v>
      </c>
      <c r="AD113" s="39"/>
      <c r="AE113" s="39"/>
      <c r="AF113" s="142" t="s">
        <v>32</v>
      </c>
      <c r="AG113" s="141"/>
      <c r="AH113" s="39"/>
      <c r="AI113" s="39"/>
      <c r="AJ113" s="39"/>
      <c r="AK113" s="39"/>
      <c r="AL113" s="39"/>
      <c r="AM113" s="39"/>
      <c r="AN113" s="39"/>
      <c r="AO113" s="39"/>
      <c r="AP113" s="142" t="s">
        <v>32</v>
      </c>
      <c r="AQ113" s="163"/>
      <c r="AR113" s="39"/>
      <c r="AS113" s="39"/>
      <c r="AT113" s="39"/>
      <c r="AU113" s="39"/>
      <c r="AV113" s="39"/>
      <c r="AW113" s="39"/>
      <c r="AX113" s="39"/>
      <c r="AY113" s="39"/>
      <c r="AZ113" s="142" t="s">
        <v>32</v>
      </c>
    </row>
    <row r="114" spans="1:52" ht="9.75" customHeight="1" x14ac:dyDescent="0.25">
      <c r="A114" s="142" t="s">
        <v>33</v>
      </c>
      <c r="B114" s="142" t="s">
        <v>130</v>
      </c>
      <c r="C114" s="148">
        <v>240</v>
      </c>
      <c r="D114" s="20">
        <v>250</v>
      </c>
      <c r="E114" s="148">
        <v>260</v>
      </c>
      <c r="F114" s="20">
        <v>270</v>
      </c>
      <c r="G114" s="148">
        <v>280</v>
      </c>
      <c r="H114" s="20">
        <v>290</v>
      </c>
      <c r="I114" s="148">
        <v>300</v>
      </c>
      <c r="J114" s="20">
        <v>310</v>
      </c>
      <c r="K114" s="147"/>
      <c r="L114" s="142" t="s">
        <v>33</v>
      </c>
      <c r="M114" s="148">
        <v>250</v>
      </c>
      <c r="N114" s="20">
        <v>260</v>
      </c>
      <c r="O114" s="148">
        <v>270</v>
      </c>
      <c r="P114" s="20">
        <v>280</v>
      </c>
      <c r="Q114" s="148">
        <v>290</v>
      </c>
      <c r="R114" s="20">
        <v>300</v>
      </c>
      <c r="S114" s="148">
        <v>310</v>
      </c>
      <c r="T114" s="20"/>
      <c r="U114" s="20"/>
      <c r="V114" s="142" t="s">
        <v>33</v>
      </c>
      <c r="W114" s="147"/>
      <c r="X114" s="20"/>
      <c r="Y114" s="20"/>
      <c r="Z114" s="20"/>
      <c r="AA114" s="20"/>
      <c r="AB114" s="20"/>
      <c r="AC114" s="20"/>
      <c r="AD114" s="20"/>
      <c r="AE114" s="20"/>
      <c r="AF114" s="142" t="s">
        <v>33</v>
      </c>
      <c r="AG114" s="147"/>
      <c r="AH114" s="20"/>
      <c r="AI114" s="20"/>
      <c r="AJ114" s="20"/>
      <c r="AK114" s="20"/>
      <c r="AL114" s="20"/>
      <c r="AM114" s="20"/>
      <c r="AN114" s="20"/>
      <c r="AO114" s="20"/>
      <c r="AP114" s="142" t="s">
        <v>33</v>
      </c>
      <c r="AQ114" s="164"/>
      <c r="AR114" s="20"/>
      <c r="AS114" s="20"/>
      <c r="AT114" s="20"/>
      <c r="AU114" s="20"/>
      <c r="AV114" s="20"/>
      <c r="AW114" s="20"/>
      <c r="AX114" s="20"/>
      <c r="AY114" s="20"/>
      <c r="AZ114" s="142" t="s">
        <v>33</v>
      </c>
    </row>
    <row r="115" spans="1:52" ht="9.75" customHeight="1" x14ac:dyDescent="0.25">
      <c r="A115" s="142" t="s">
        <v>34</v>
      </c>
      <c r="B115" s="142" t="s">
        <v>131</v>
      </c>
      <c r="C115" s="144">
        <v>250</v>
      </c>
      <c r="D115" s="39">
        <v>260</v>
      </c>
      <c r="E115" s="144">
        <v>270</v>
      </c>
      <c r="F115" s="39">
        <v>280</v>
      </c>
      <c r="G115" s="144">
        <v>290</v>
      </c>
      <c r="H115" s="39">
        <v>300</v>
      </c>
      <c r="I115" s="144">
        <v>310</v>
      </c>
      <c r="J115" s="39"/>
      <c r="K115" s="141"/>
      <c r="L115" s="142" t="s">
        <v>34</v>
      </c>
      <c r="M115" s="141"/>
      <c r="N115" s="39"/>
      <c r="O115" s="39"/>
      <c r="P115" s="39"/>
      <c r="Q115" s="39"/>
      <c r="R115" s="39"/>
      <c r="S115" s="39"/>
      <c r="T115" s="39"/>
      <c r="U115" s="39"/>
      <c r="V115" s="142" t="s">
        <v>34</v>
      </c>
      <c r="W115" s="141"/>
      <c r="X115" s="39"/>
      <c r="Y115" s="39"/>
      <c r="Z115" s="39"/>
      <c r="AA115" s="39"/>
      <c r="AB115" s="39"/>
      <c r="AC115" s="39"/>
      <c r="AD115" s="39"/>
      <c r="AE115" s="39"/>
      <c r="AF115" s="142" t="s">
        <v>34</v>
      </c>
      <c r="AG115" s="141"/>
      <c r="AH115" s="39"/>
      <c r="AI115" s="39"/>
      <c r="AJ115" s="39"/>
      <c r="AK115" s="39"/>
      <c r="AL115" s="39"/>
      <c r="AM115" s="39"/>
      <c r="AN115" s="39"/>
      <c r="AO115" s="39"/>
      <c r="AP115" s="142" t="s">
        <v>34</v>
      </c>
      <c r="AQ115" s="163"/>
      <c r="AR115" s="39"/>
      <c r="AS115" s="39"/>
      <c r="AT115" s="39"/>
      <c r="AU115" s="39"/>
      <c r="AV115" s="39"/>
      <c r="AW115" s="39"/>
      <c r="AX115" s="39"/>
      <c r="AY115" s="39"/>
      <c r="AZ115" s="142" t="s">
        <v>34</v>
      </c>
    </row>
    <row r="116" spans="1:52" ht="9.75" customHeight="1" x14ac:dyDescent="0.25">
      <c r="A116" s="142" t="s">
        <v>35</v>
      </c>
      <c r="B116" s="142" t="s">
        <v>22</v>
      </c>
      <c r="C116" s="147"/>
      <c r="D116" s="20"/>
      <c r="E116" s="20"/>
      <c r="F116" s="20"/>
      <c r="G116" s="20"/>
      <c r="H116" s="20"/>
      <c r="I116" s="20"/>
      <c r="J116" s="20"/>
      <c r="K116" s="147"/>
      <c r="L116" s="142" t="s">
        <v>35</v>
      </c>
      <c r="M116" s="147"/>
      <c r="N116" s="20"/>
      <c r="O116" s="20"/>
      <c r="P116" s="20"/>
      <c r="Q116" s="20"/>
      <c r="R116" s="20"/>
      <c r="S116" s="20"/>
      <c r="T116" s="20"/>
      <c r="U116" s="20"/>
      <c r="V116" s="142" t="s">
        <v>35</v>
      </c>
      <c r="W116" s="147"/>
      <c r="X116" s="20"/>
      <c r="Y116" s="20"/>
      <c r="Z116" s="20"/>
      <c r="AA116" s="20"/>
      <c r="AB116" s="20"/>
      <c r="AC116" s="20"/>
      <c r="AD116" s="20"/>
      <c r="AE116" s="20"/>
      <c r="AF116" s="142" t="s">
        <v>35</v>
      </c>
      <c r="AG116" s="147"/>
      <c r="AH116" s="20"/>
      <c r="AI116" s="20"/>
      <c r="AJ116" s="20"/>
      <c r="AK116" s="20"/>
      <c r="AL116" s="20"/>
      <c r="AM116" s="20"/>
      <c r="AN116" s="20"/>
      <c r="AO116" s="20"/>
      <c r="AP116" s="142" t="s">
        <v>35</v>
      </c>
      <c r="AQ116" s="164"/>
      <c r="AR116" s="20"/>
      <c r="AS116" s="20"/>
      <c r="AT116" s="20"/>
      <c r="AU116" s="20"/>
      <c r="AV116" s="20"/>
      <c r="AW116" s="20"/>
      <c r="AX116" s="20"/>
      <c r="AY116" s="20"/>
      <c r="AZ116" s="142" t="s">
        <v>35</v>
      </c>
    </row>
    <row r="117" spans="1:52" ht="9.75" customHeight="1" x14ac:dyDescent="0.25">
      <c r="A117" s="142" t="s">
        <v>36</v>
      </c>
      <c r="B117" s="142" t="s">
        <v>25</v>
      </c>
      <c r="C117" s="141"/>
      <c r="D117" s="39"/>
      <c r="E117" s="39"/>
      <c r="F117" s="39"/>
      <c r="G117" s="39"/>
      <c r="H117" s="39"/>
      <c r="I117" s="39"/>
      <c r="J117" s="39"/>
      <c r="K117" s="141"/>
      <c r="L117" s="142" t="s">
        <v>36</v>
      </c>
      <c r="M117" s="141"/>
      <c r="N117" s="39"/>
      <c r="O117" s="39"/>
      <c r="P117" s="39"/>
      <c r="Q117" s="39"/>
      <c r="R117" s="39"/>
      <c r="S117" s="39"/>
      <c r="T117" s="39"/>
      <c r="U117" s="39"/>
      <c r="V117" s="142" t="s">
        <v>36</v>
      </c>
      <c r="W117" s="141"/>
      <c r="X117" s="39"/>
      <c r="Y117" s="39"/>
      <c r="Z117" s="39"/>
      <c r="AA117" s="39"/>
      <c r="AB117" s="39"/>
      <c r="AC117" s="39"/>
      <c r="AD117" s="39"/>
      <c r="AE117" s="39"/>
      <c r="AF117" s="142" t="s">
        <v>36</v>
      </c>
      <c r="AG117" s="141"/>
      <c r="AH117" s="39"/>
      <c r="AI117" s="39"/>
      <c r="AJ117" s="39"/>
      <c r="AK117" s="39"/>
      <c r="AL117" s="39"/>
      <c r="AM117" s="39"/>
      <c r="AN117" s="39"/>
      <c r="AO117" s="39"/>
      <c r="AP117" s="142" t="s">
        <v>36</v>
      </c>
      <c r="AQ117" s="163"/>
      <c r="AR117" s="39"/>
      <c r="AS117" s="39"/>
      <c r="AT117" s="39"/>
      <c r="AU117" s="39"/>
      <c r="AV117" s="39"/>
      <c r="AW117" s="39"/>
      <c r="AX117" s="39"/>
      <c r="AY117" s="39"/>
      <c r="AZ117" s="142" t="s">
        <v>36</v>
      </c>
    </row>
    <row r="118" spans="1:52" ht="9.75" customHeight="1" x14ac:dyDescent="0.25">
      <c r="A118" s="140" t="s">
        <v>38</v>
      </c>
      <c r="B118" s="142" t="s">
        <v>27</v>
      </c>
      <c r="C118" s="147"/>
      <c r="D118" s="20"/>
      <c r="E118" s="20"/>
      <c r="F118" s="20"/>
      <c r="G118" s="20"/>
      <c r="H118" s="20"/>
      <c r="I118" s="20"/>
      <c r="J118" s="20"/>
      <c r="K118" s="147"/>
      <c r="L118" s="140" t="s">
        <v>38</v>
      </c>
      <c r="M118" s="147"/>
      <c r="N118" s="20"/>
      <c r="O118" s="20"/>
      <c r="P118" s="20"/>
      <c r="Q118" s="20"/>
      <c r="R118" s="20"/>
      <c r="S118" s="20"/>
      <c r="T118" s="20"/>
      <c r="U118" s="20"/>
      <c r="V118" s="140" t="s">
        <v>38</v>
      </c>
      <c r="W118" s="147"/>
      <c r="X118" s="20"/>
      <c r="Y118" s="20"/>
      <c r="Z118" s="20"/>
      <c r="AA118" s="20"/>
      <c r="AB118" s="20"/>
      <c r="AC118" s="20"/>
      <c r="AD118" s="20"/>
      <c r="AE118" s="20"/>
      <c r="AF118" s="140" t="s">
        <v>38</v>
      </c>
      <c r="AG118" s="147"/>
      <c r="AH118" s="20"/>
      <c r="AI118" s="20"/>
      <c r="AJ118" s="20"/>
      <c r="AK118" s="20"/>
      <c r="AL118" s="20"/>
      <c r="AM118" s="20"/>
      <c r="AN118" s="20"/>
      <c r="AO118" s="20"/>
      <c r="AP118" s="140" t="s">
        <v>38</v>
      </c>
      <c r="AQ118" s="166"/>
      <c r="AR118" s="20"/>
      <c r="AS118" s="20"/>
      <c r="AT118" s="20"/>
      <c r="AU118" s="20"/>
      <c r="AV118" s="20"/>
      <c r="AW118" s="20"/>
      <c r="AX118" s="20"/>
      <c r="AY118" s="20"/>
      <c r="AZ118" s="140" t="s">
        <v>38</v>
      </c>
    </row>
    <row r="119" spans="1:52" ht="9.75" customHeight="1" x14ac:dyDescent="0.25">
      <c r="A119" s="140" t="s">
        <v>40</v>
      </c>
      <c r="B119" s="142" t="s">
        <v>29</v>
      </c>
      <c r="C119" s="141"/>
      <c r="D119" s="39"/>
      <c r="E119" s="39"/>
      <c r="F119" s="39"/>
      <c r="G119" s="39"/>
      <c r="H119" s="39"/>
      <c r="I119" s="39"/>
      <c r="J119" s="39"/>
      <c r="K119" s="141"/>
      <c r="L119" s="140" t="s">
        <v>40</v>
      </c>
      <c r="M119" s="141"/>
      <c r="N119" s="39"/>
      <c r="O119" s="39"/>
      <c r="P119" s="39"/>
      <c r="Q119" s="39"/>
      <c r="R119" s="39"/>
      <c r="S119" s="39"/>
      <c r="T119" s="39"/>
      <c r="U119" s="39"/>
      <c r="V119" s="140" t="s">
        <v>40</v>
      </c>
      <c r="W119" s="141"/>
      <c r="X119" s="39"/>
      <c r="Y119" s="39"/>
      <c r="Z119" s="39"/>
      <c r="AA119" s="39"/>
      <c r="AB119" s="39"/>
      <c r="AC119" s="39"/>
      <c r="AD119" s="39"/>
      <c r="AE119" s="39"/>
      <c r="AF119" s="140" t="s">
        <v>40</v>
      </c>
      <c r="AG119" s="143"/>
      <c r="AH119" s="143"/>
      <c r="AI119" s="39"/>
      <c r="AJ119" s="39"/>
      <c r="AK119" s="39"/>
      <c r="AL119" s="39"/>
      <c r="AM119" s="39"/>
      <c r="AN119" s="39"/>
      <c r="AO119" s="39"/>
      <c r="AP119" s="140" t="s">
        <v>40</v>
      </c>
      <c r="AQ119" s="162"/>
      <c r="AR119" s="39"/>
      <c r="AS119" s="39"/>
      <c r="AT119" s="39"/>
      <c r="AU119" s="39"/>
      <c r="AV119" s="39"/>
      <c r="AW119" s="39"/>
      <c r="AX119" s="39"/>
      <c r="AY119" s="39"/>
      <c r="AZ119" s="140" t="s">
        <v>40</v>
      </c>
    </row>
    <row r="120" spans="1:52" ht="9.75" customHeight="1" x14ac:dyDescent="0.25">
      <c r="A120" s="140" t="s">
        <v>42</v>
      </c>
      <c r="B120" s="142" t="s">
        <v>31</v>
      </c>
      <c r="C120" s="147"/>
      <c r="D120" s="20"/>
      <c r="E120" s="20"/>
      <c r="F120" s="20"/>
      <c r="G120" s="20"/>
      <c r="H120" s="20"/>
      <c r="I120" s="20"/>
      <c r="J120" s="20"/>
      <c r="K120" s="147"/>
      <c r="L120" s="140" t="s">
        <v>42</v>
      </c>
      <c r="M120" s="147"/>
      <c r="N120" s="20"/>
      <c r="O120" s="20"/>
      <c r="P120" s="20"/>
      <c r="Q120" s="20"/>
      <c r="R120" s="20"/>
      <c r="S120" s="20"/>
      <c r="T120" s="20"/>
      <c r="U120" s="20"/>
      <c r="V120" s="140" t="s">
        <v>42</v>
      </c>
      <c r="W120" s="26"/>
      <c r="X120" s="26"/>
      <c r="Y120" s="20"/>
      <c r="Z120" s="20"/>
      <c r="AA120" s="20"/>
      <c r="AB120" s="20"/>
      <c r="AC120" s="20"/>
      <c r="AD120" s="20"/>
      <c r="AE120" s="20"/>
      <c r="AF120" s="140" t="s">
        <v>42</v>
      </c>
      <c r="AG120" s="26"/>
      <c r="AH120" s="26"/>
      <c r="AI120" s="20"/>
      <c r="AJ120" s="20"/>
      <c r="AK120" s="20"/>
      <c r="AL120" s="20"/>
      <c r="AM120" s="20"/>
      <c r="AN120" s="20"/>
      <c r="AO120" s="20"/>
      <c r="AP120" s="140" t="s">
        <v>42</v>
      </c>
      <c r="AQ120" s="166"/>
      <c r="AR120" s="20"/>
      <c r="AS120" s="20"/>
      <c r="AT120" s="20"/>
      <c r="AU120" s="20"/>
      <c r="AV120" s="20"/>
      <c r="AW120" s="20"/>
      <c r="AX120" s="20"/>
      <c r="AY120" s="20"/>
      <c r="AZ120" s="140" t="s">
        <v>42</v>
      </c>
    </row>
    <row r="121" spans="1:52" ht="9.75" customHeight="1" x14ac:dyDescent="0.25">
      <c r="A121" s="140" t="s">
        <v>132</v>
      </c>
      <c r="B121" s="142" t="s">
        <v>37</v>
      </c>
      <c r="C121" s="141"/>
      <c r="D121" s="39"/>
      <c r="E121" s="39"/>
      <c r="F121" s="39"/>
      <c r="G121" s="39"/>
      <c r="H121" s="39"/>
      <c r="I121" s="39"/>
      <c r="J121" s="39"/>
      <c r="K121" s="141"/>
      <c r="L121" s="140" t="s">
        <v>132</v>
      </c>
      <c r="M121" s="143"/>
      <c r="N121" s="143"/>
      <c r="O121" s="39"/>
      <c r="P121" s="39"/>
      <c r="Q121" s="39"/>
      <c r="R121" s="39"/>
      <c r="S121" s="39"/>
      <c r="T121" s="39"/>
      <c r="U121" s="39"/>
      <c r="V121" s="140" t="s">
        <v>132</v>
      </c>
      <c r="W121" s="143"/>
      <c r="X121" s="143"/>
      <c r="Y121" s="39"/>
      <c r="Z121" s="39"/>
      <c r="AA121" s="39"/>
      <c r="AB121" s="39"/>
      <c r="AC121" s="39"/>
      <c r="AD121" s="39"/>
      <c r="AE121" s="39"/>
      <c r="AF121" s="140" t="s">
        <v>132</v>
      </c>
      <c r="AG121" s="143"/>
      <c r="AH121" s="143"/>
      <c r="AI121" s="39"/>
      <c r="AJ121" s="39"/>
      <c r="AK121" s="39"/>
      <c r="AL121" s="39"/>
      <c r="AM121" s="39"/>
      <c r="AN121" s="39"/>
      <c r="AO121" s="39"/>
      <c r="AP121" s="140" t="s">
        <v>132</v>
      </c>
      <c r="AQ121" s="162"/>
      <c r="AR121" s="39"/>
      <c r="AS121" s="39"/>
      <c r="AT121" s="39"/>
      <c r="AU121" s="39"/>
      <c r="AV121" s="39"/>
      <c r="AW121" s="39"/>
      <c r="AX121" s="39"/>
      <c r="AY121" s="39"/>
      <c r="AZ121" s="140" t="s">
        <v>132</v>
      </c>
    </row>
    <row r="122" spans="1:52" ht="15" customHeight="1" x14ac:dyDescent="0.25">
      <c r="A122" s="152"/>
      <c r="B122" s="152"/>
      <c r="C122" s="211" t="s">
        <v>133</v>
      </c>
      <c r="D122" s="211"/>
      <c r="E122" s="211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11"/>
      <c r="AT122" s="211"/>
      <c r="AU122" s="211"/>
      <c r="AV122" s="211"/>
      <c r="AW122" s="211"/>
      <c r="AX122" s="211"/>
      <c r="AY122" s="211"/>
      <c r="AZ122" s="211"/>
    </row>
    <row r="123" spans="1:52" x14ac:dyDescent="0.25">
      <c r="C123" s="214" t="s">
        <v>135</v>
      </c>
      <c r="D123" s="214"/>
      <c r="E123" s="214"/>
      <c r="F123" s="214"/>
      <c r="G123" s="214"/>
      <c r="H123" s="214"/>
      <c r="I123" s="214"/>
      <c r="J123" s="214"/>
      <c r="K123" s="214"/>
      <c r="M123" s="214" t="s">
        <v>135</v>
      </c>
      <c r="N123" s="214"/>
      <c r="O123" s="214"/>
      <c r="P123" s="214"/>
      <c r="Q123" s="214"/>
      <c r="R123" s="214"/>
      <c r="S123" s="214"/>
      <c r="T123" s="214"/>
      <c r="U123" s="214"/>
      <c r="W123" s="214" t="s">
        <v>135</v>
      </c>
      <c r="X123" s="214"/>
      <c r="Y123" s="214"/>
      <c r="Z123" s="214"/>
      <c r="AA123" s="214"/>
      <c r="AB123" s="214"/>
      <c r="AC123" s="214"/>
      <c r="AD123" s="214"/>
      <c r="AE123" s="214"/>
      <c r="AG123" s="214" t="s">
        <v>135</v>
      </c>
      <c r="AH123" s="214"/>
      <c r="AI123" s="214"/>
      <c r="AJ123" s="214"/>
      <c r="AK123" s="214"/>
      <c r="AL123" s="214"/>
      <c r="AM123" s="214"/>
      <c r="AN123" s="214"/>
      <c r="AO123" s="214"/>
      <c r="AQ123" s="214" t="s">
        <v>135</v>
      </c>
      <c r="AR123" s="214"/>
      <c r="AS123" s="214"/>
      <c r="AT123" s="214"/>
      <c r="AU123" s="214"/>
      <c r="AV123" s="214"/>
      <c r="AW123" s="214"/>
      <c r="AX123" s="214"/>
      <c r="AY123" s="214"/>
    </row>
    <row r="124" spans="1:52" ht="16.5" customHeight="1" x14ac:dyDescent="0.25">
      <c r="A124" s="210" t="s">
        <v>4</v>
      </c>
      <c r="B124" s="210"/>
      <c r="C124" s="212" t="s">
        <v>137</v>
      </c>
      <c r="D124" s="212"/>
      <c r="E124" s="212"/>
      <c r="F124" s="212"/>
      <c r="G124" s="212"/>
      <c r="H124" s="212"/>
      <c r="I124" s="212"/>
      <c r="J124" s="212"/>
      <c r="K124" s="212"/>
      <c r="L124" s="33" t="s">
        <v>109</v>
      </c>
      <c r="M124" s="213" t="s">
        <v>138</v>
      </c>
      <c r="N124" s="213"/>
      <c r="O124" s="213"/>
      <c r="P124" s="213"/>
      <c r="Q124" s="213"/>
      <c r="R124" s="213"/>
      <c r="S124" s="213"/>
      <c r="T124" s="213"/>
      <c r="U124" s="213"/>
      <c r="V124" s="33" t="s">
        <v>109</v>
      </c>
      <c r="W124" s="213" t="s">
        <v>139</v>
      </c>
      <c r="X124" s="213"/>
      <c r="Y124" s="213"/>
      <c r="Z124" s="213"/>
      <c r="AA124" s="213"/>
      <c r="AB124" s="213"/>
      <c r="AC124" s="213"/>
      <c r="AD124" s="213"/>
      <c r="AE124" s="213"/>
      <c r="AF124" s="33" t="s">
        <v>109</v>
      </c>
      <c r="AG124" s="213" t="s">
        <v>140</v>
      </c>
      <c r="AH124" s="213"/>
      <c r="AI124" s="213"/>
      <c r="AJ124" s="213"/>
      <c r="AK124" s="213"/>
      <c r="AL124" s="213"/>
      <c r="AM124" s="213"/>
      <c r="AN124" s="213"/>
      <c r="AO124" s="213"/>
      <c r="AP124" s="33" t="s">
        <v>109</v>
      </c>
      <c r="AQ124" s="213" t="s">
        <v>141</v>
      </c>
      <c r="AR124" s="213"/>
      <c r="AS124" s="213"/>
      <c r="AT124" s="213"/>
      <c r="AU124" s="213"/>
      <c r="AV124" s="213"/>
      <c r="AW124" s="213"/>
      <c r="AX124" s="213"/>
      <c r="AY124" s="213"/>
      <c r="AZ124" s="33" t="s">
        <v>109</v>
      </c>
    </row>
    <row r="125" spans="1:52" ht="9.75" customHeight="1" x14ac:dyDescent="0.25">
      <c r="A125" s="210" t="s">
        <v>6</v>
      </c>
      <c r="B125" s="210"/>
      <c r="C125" s="154">
        <v>20</v>
      </c>
      <c r="D125" s="154">
        <v>20</v>
      </c>
      <c r="E125" s="155">
        <v>20</v>
      </c>
      <c r="F125" s="155">
        <v>20</v>
      </c>
      <c r="G125" s="155">
        <v>20</v>
      </c>
      <c r="H125" s="155">
        <v>20</v>
      </c>
      <c r="I125" s="155">
        <v>20</v>
      </c>
      <c r="J125" s="155">
        <v>20</v>
      </c>
      <c r="K125" s="155">
        <v>20</v>
      </c>
      <c r="L125" s="129" t="s">
        <v>113</v>
      </c>
      <c r="M125" s="126">
        <v>19</v>
      </c>
      <c r="N125" s="126">
        <v>19</v>
      </c>
      <c r="O125" s="127">
        <v>19</v>
      </c>
      <c r="P125" s="127">
        <v>19</v>
      </c>
      <c r="Q125" s="127">
        <v>19</v>
      </c>
      <c r="R125" s="127">
        <v>19</v>
      </c>
      <c r="S125" s="127">
        <v>19</v>
      </c>
      <c r="T125" s="127">
        <v>19</v>
      </c>
      <c r="U125" s="127">
        <v>19</v>
      </c>
      <c r="V125" s="129" t="s">
        <v>113</v>
      </c>
      <c r="W125" s="126">
        <v>18</v>
      </c>
      <c r="X125" s="126">
        <v>18</v>
      </c>
      <c r="Y125" s="126">
        <v>18</v>
      </c>
      <c r="Z125" s="126">
        <v>18</v>
      </c>
      <c r="AA125" s="126">
        <v>18</v>
      </c>
      <c r="AB125" s="126">
        <v>18</v>
      </c>
      <c r="AC125" s="126">
        <v>18</v>
      </c>
      <c r="AD125" s="126">
        <v>18</v>
      </c>
      <c r="AE125" s="126">
        <v>18</v>
      </c>
      <c r="AF125" s="129" t="s">
        <v>113</v>
      </c>
      <c r="AG125" s="126">
        <v>18</v>
      </c>
      <c r="AH125" s="126">
        <v>18</v>
      </c>
      <c r="AI125" s="126">
        <v>18</v>
      </c>
      <c r="AJ125" s="126">
        <v>18</v>
      </c>
      <c r="AK125" s="126">
        <v>18</v>
      </c>
      <c r="AL125" s="126">
        <v>18</v>
      </c>
      <c r="AM125" s="126">
        <v>18</v>
      </c>
      <c r="AN125" s="126">
        <v>18</v>
      </c>
      <c r="AO125" s="126">
        <v>18</v>
      </c>
      <c r="AP125" s="129" t="s">
        <v>113</v>
      </c>
      <c r="AQ125" s="127">
        <v>16</v>
      </c>
      <c r="AR125" s="126">
        <v>18</v>
      </c>
      <c r="AS125" s="126">
        <v>18</v>
      </c>
      <c r="AT125" s="126">
        <v>18</v>
      </c>
      <c r="AU125" s="126">
        <v>18</v>
      </c>
      <c r="AV125" s="126">
        <v>18</v>
      </c>
      <c r="AW125" s="126">
        <v>18</v>
      </c>
      <c r="AX125" s="126">
        <v>18</v>
      </c>
      <c r="AY125" s="126">
        <v>18</v>
      </c>
      <c r="AZ125" s="129" t="s">
        <v>113</v>
      </c>
    </row>
    <row r="126" spans="1:52" ht="9.75" customHeight="1" x14ac:dyDescent="0.25">
      <c r="A126" s="131" t="s">
        <v>11</v>
      </c>
      <c r="B126" s="131" t="s">
        <v>12</v>
      </c>
      <c r="C126" s="157">
        <v>22</v>
      </c>
      <c r="D126" s="157">
        <v>20</v>
      </c>
      <c r="E126" s="158">
        <v>18</v>
      </c>
      <c r="F126" s="158">
        <v>16</v>
      </c>
      <c r="G126" s="158">
        <v>14</v>
      </c>
      <c r="H126" s="158">
        <v>12</v>
      </c>
      <c r="I126" s="158">
        <v>10</v>
      </c>
      <c r="J126" s="158">
        <v>8</v>
      </c>
      <c r="K126" s="158">
        <v>6</v>
      </c>
      <c r="L126" s="136" t="s">
        <v>114</v>
      </c>
      <c r="M126" s="132">
        <v>22</v>
      </c>
      <c r="N126" s="157">
        <v>20</v>
      </c>
      <c r="O126" s="158">
        <v>18</v>
      </c>
      <c r="P126" s="158">
        <v>16</v>
      </c>
      <c r="Q126" s="158">
        <v>14</v>
      </c>
      <c r="R126" s="158">
        <v>12</v>
      </c>
      <c r="S126" s="158">
        <v>10</v>
      </c>
      <c r="T126" s="158">
        <v>8</v>
      </c>
      <c r="U126" s="158">
        <v>6</v>
      </c>
      <c r="V126" s="136" t="s">
        <v>114</v>
      </c>
      <c r="W126" s="132">
        <v>22</v>
      </c>
      <c r="X126" s="157">
        <v>20</v>
      </c>
      <c r="Y126" s="158">
        <v>18</v>
      </c>
      <c r="Z126" s="158">
        <v>16</v>
      </c>
      <c r="AA126" s="158">
        <v>14</v>
      </c>
      <c r="AB126" s="158">
        <v>12</v>
      </c>
      <c r="AC126" s="158">
        <v>10</v>
      </c>
      <c r="AD126" s="158">
        <v>8</v>
      </c>
      <c r="AE126" s="158">
        <v>6</v>
      </c>
      <c r="AF126" s="136" t="s">
        <v>114</v>
      </c>
      <c r="AG126" s="137">
        <v>22</v>
      </c>
      <c r="AH126" s="157">
        <v>20</v>
      </c>
      <c r="AI126" s="158">
        <v>18</v>
      </c>
      <c r="AJ126" s="158">
        <v>16</v>
      </c>
      <c r="AK126" s="158">
        <v>14</v>
      </c>
      <c r="AL126" s="158">
        <v>12</v>
      </c>
      <c r="AM126" s="158">
        <v>10</v>
      </c>
      <c r="AN126" s="158">
        <v>8</v>
      </c>
      <c r="AO126" s="158">
        <v>6</v>
      </c>
      <c r="AP126" s="136" t="s">
        <v>114</v>
      </c>
      <c r="AQ126" s="133">
        <v>22</v>
      </c>
      <c r="AR126" s="157">
        <v>20</v>
      </c>
      <c r="AS126" s="158">
        <v>18</v>
      </c>
      <c r="AT126" s="158">
        <v>16</v>
      </c>
      <c r="AU126" s="158">
        <v>14</v>
      </c>
      <c r="AV126" s="158">
        <v>12</v>
      </c>
      <c r="AW126" s="158">
        <v>10</v>
      </c>
      <c r="AX126" s="158">
        <v>8</v>
      </c>
      <c r="AY126" s="158">
        <v>6</v>
      </c>
      <c r="AZ126" s="136" t="s">
        <v>114</v>
      </c>
    </row>
    <row r="127" spans="1:52" ht="9.75" customHeight="1" x14ac:dyDescent="0.25">
      <c r="A127" s="142" t="s">
        <v>115</v>
      </c>
      <c r="B127" s="142" t="s">
        <v>116</v>
      </c>
      <c r="C127" s="143"/>
      <c r="D127" s="143"/>
      <c r="E127" s="39"/>
      <c r="F127" s="39"/>
      <c r="G127" s="39"/>
      <c r="H127" s="39"/>
      <c r="I127" s="144"/>
      <c r="J127" s="39"/>
      <c r="K127" s="144">
        <v>220</v>
      </c>
      <c r="L127" s="142" t="s">
        <v>115</v>
      </c>
      <c r="M127" s="143"/>
      <c r="N127" s="143"/>
      <c r="O127" s="39"/>
      <c r="P127" s="39"/>
      <c r="Q127" s="39"/>
      <c r="R127" s="39"/>
      <c r="S127" s="39"/>
      <c r="T127" s="39"/>
      <c r="U127" s="144">
        <v>230</v>
      </c>
      <c r="V127" s="142" t="s">
        <v>115</v>
      </c>
      <c r="W127" s="143"/>
      <c r="X127" s="143"/>
      <c r="Y127" s="39"/>
      <c r="Z127" s="39"/>
      <c r="AA127" s="39"/>
      <c r="AB127" s="39"/>
      <c r="AC127" s="39"/>
      <c r="AD127" s="39"/>
      <c r="AE127" s="144">
        <v>240</v>
      </c>
      <c r="AF127" s="142" t="s">
        <v>115</v>
      </c>
      <c r="AG127" s="143"/>
      <c r="AH127" s="143"/>
      <c r="AI127" s="39"/>
      <c r="AJ127" s="39"/>
      <c r="AK127" s="39"/>
      <c r="AL127" s="39"/>
      <c r="AM127" s="39"/>
      <c r="AN127" s="39"/>
      <c r="AO127" s="144">
        <v>250</v>
      </c>
      <c r="AP127" s="142" t="s">
        <v>115</v>
      </c>
      <c r="AQ127" s="163"/>
      <c r="AR127" s="39"/>
      <c r="AS127" s="39"/>
      <c r="AT127" s="39"/>
      <c r="AU127" s="39"/>
      <c r="AV127" s="39"/>
      <c r="AW127" s="39"/>
      <c r="AX127" s="39"/>
      <c r="AY127" s="144">
        <v>260</v>
      </c>
      <c r="AZ127" s="142" t="s">
        <v>115</v>
      </c>
    </row>
    <row r="128" spans="1:52" ht="9.75" customHeight="1" x14ac:dyDescent="0.25">
      <c r="A128" s="142" t="s">
        <v>117</v>
      </c>
      <c r="B128" s="142" t="s">
        <v>118</v>
      </c>
      <c r="C128" s="26"/>
      <c r="D128" s="26"/>
      <c r="E128" s="20"/>
      <c r="F128" s="20"/>
      <c r="G128" s="20"/>
      <c r="H128" s="20"/>
      <c r="I128" s="148"/>
      <c r="J128" s="20">
        <v>220</v>
      </c>
      <c r="K128" s="148">
        <v>230</v>
      </c>
      <c r="L128" s="142" t="s">
        <v>117</v>
      </c>
      <c r="M128" s="26"/>
      <c r="N128" s="26"/>
      <c r="O128" s="20"/>
      <c r="P128" s="20"/>
      <c r="Q128" s="20"/>
      <c r="R128" s="20"/>
      <c r="S128" s="20"/>
      <c r="T128" s="20">
        <v>230</v>
      </c>
      <c r="U128" s="148">
        <v>240</v>
      </c>
      <c r="V128" s="142" t="s">
        <v>117</v>
      </c>
      <c r="W128" s="26"/>
      <c r="X128" s="26"/>
      <c r="Y128" s="20"/>
      <c r="Z128" s="20"/>
      <c r="AA128" s="20"/>
      <c r="AB128" s="20"/>
      <c r="AC128" s="20"/>
      <c r="AD128" s="20">
        <v>240</v>
      </c>
      <c r="AE128" s="148">
        <v>250</v>
      </c>
      <c r="AF128" s="142" t="s">
        <v>117</v>
      </c>
      <c r="AG128" s="26"/>
      <c r="AH128" s="26"/>
      <c r="AI128" s="20"/>
      <c r="AJ128" s="20"/>
      <c r="AK128" s="20"/>
      <c r="AL128" s="20"/>
      <c r="AM128" s="20"/>
      <c r="AN128" s="20">
        <v>250</v>
      </c>
      <c r="AO128" s="148">
        <v>260</v>
      </c>
      <c r="AP128" s="142" t="s">
        <v>117</v>
      </c>
      <c r="AQ128" s="164"/>
      <c r="AR128" s="20"/>
      <c r="AS128" s="20"/>
      <c r="AT128" s="20"/>
      <c r="AU128" s="20"/>
      <c r="AV128" s="20"/>
      <c r="AW128" s="20"/>
      <c r="AX128" s="20">
        <v>260</v>
      </c>
      <c r="AY128" s="148">
        <v>270</v>
      </c>
      <c r="AZ128" s="142" t="s">
        <v>117</v>
      </c>
    </row>
    <row r="129" spans="1:52" ht="9.75" customHeight="1" x14ac:dyDescent="0.25">
      <c r="A129" s="142" t="s">
        <v>119</v>
      </c>
      <c r="B129" s="142" t="s">
        <v>120</v>
      </c>
      <c r="C129" s="143"/>
      <c r="D129" s="143"/>
      <c r="E129" s="39"/>
      <c r="F129" s="39"/>
      <c r="G129" s="39"/>
      <c r="H129" s="39"/>
      <c r="I129" s="144">
        <v>220</v>
      </c>
      <c r="J129" s="39">
        <v>230</v>
      </c>
      <c r="K129" s="144">
        <v>240</v>
      </c>
      <c r="L129" s="142" t="s">
        <v>119</v>
      </c>
      <c r="M129" s="143"/>
      <c r="N129" s="143"/>
      <c r="O129" s="39"/>
      <c r="P129" s="39"/>
      <c r="Q129" s="39"/>
      <c r="R129" s="39"/>
      <c r="S129" s="144">
        <v>230</v>
      </c>
      <c r="T129" s="39">
        <v>240</v>
      </c>
      <c r="U129" s="144">
        <v>250</v>
      </c>
      <c r="V129" s="142" t="s">
        <v>119</v>
      </c>
      <c r="W129" s="143"/>
      <c r="X129" s="143"/>
      <c r="Y129" s="39"/>
      <c r="Z129" s="39"/>
      <c r="AA129" s="39"/>
      <c r="AB129" s="39"/>
      <c r="AC129" s="144">
        <v>240</v>
      </c>
      <c r="AD129" s="39">
        <v>250</v>
      </c>
      <c r="AE129" s="144">
        <v>260</v>
      </c>
      <c r="AF129" s="142" t="s">
        <v>119</v>
      </c>
      <c r="AG129" s="143"/>
      <c r="AH129" s="143"/>
      <c r="AI129" s="39"/>
      <c r="AJ129" s="39"/>
      <c r="AK129" s="39"/>
      <c r="AL129" s="39"/>
      <c r="AM129" s="144">
        <v>250</v>
      </c>
      <c r="AN129" s="39">
        <v>260</v>
      </c>
      <c r="AO129" s="144">
        <v>270</v>
      </c>
      <c r="AP129" s="142" t="s">
        <v>119</v>
      </c>
      <c r="AQ129" s="163"/>
      <c r="AR129" s="39"/>
      <c r="AS129" s="39"/>
      <c r="AT129" s="39"/>
      <c r="AU129" s="39"/>
      <c r="AV129" s="39"/>
      <c r="AW129" s="144">
        <v>260</v>
      </c>
      <c r="AX129" s="39">
        <v>270</v>
      </c>
      <c r="AY129" s="144">
        <v>280</v>
      </c>
      <c r="AZ129" s="142" t="s">
        <v>119</v>
      </c>
    </row>
    <row r="130" spans="1:52" ht="9.75" customHeight="1" x14ac:dyDescent="0.25">
      <c r="A130" s="142" t="s">
        <v>121</v>
      </c>
      <c r="B130" s="142" t="s">
        <v>122</v>
      </c>
      <c r="C130" s="26"/>
      <c r="D130" s="26"/>
      <c r="E130" s="20"/>
      <c r="F130" s="20"/>
      <c r="G130" s="20"/>
      <c r="H130" s="20">
        <v>220</v>
      </c>
      <c r="I130" s="148">
        <v>230</v>
      </c>
      <c r="J130" s="20">
        <v>240</v>
      </c>
      <c r="K130" s="148">
        <v>250</v>
      </c>
      <c r="L130" s="142" t="s">
        <v>121</v>
      </c>
      <c r="M130" s="26"/>
      <c r="N130" s="26"/>
      <c r="O130" s="20"/>
      <c r="P130" s="20"/>
      <c r="Q130" s="20"/>
      <c r="R130" s="20">
        <v>230</v>
      </c>
      <c r="S130" s="148">
        <v>240</v>
      </c>
      <c r="T130" s="20">
        <v>250</v>
      </c>
      <c r="U130" s="148">
        <v>260</v>
      </c>
      <c r="V130" s="142" t="s">
        <v>121</v>
      </c>
      <c r="W130" s="26"/>
      <c r="X130" s="26"/>
      <c r="Y130" s="20"/>
      <c r="Z130" s="20"/>
      <c r="AA130" s="20"/>
      <c r="AB130" s="20">
        <v>240</v>
      </c>
      <c r="AC130" s="148">
        <v>250</v>
      </c>
      <c r="AD130" s="20">
        <v>260</v>
      </c>
      <c r="AE130" s="148">
        <v>270</v>
      </c>
      <c r="AF130" s="142" t="s">
        <v>121</v>
      </c>
      <c r="AG130" s="26"/>
      <c r="AH130" s="26"/>
      <c r="AI130" s="20"/>
      <c r="AJ130" s="20"/>
      <c r="AK130" s="20"/>
      <c r="AL130" s="20">
        <v>250</v>
      </c>
      <c r="AM130" s="148">
        <v>260</v>
      </c>
      <c r="AN130" s="20">
        <v>270</v>
      </c>
      <c r="AO130" s="148">
        <v>280</v>
      </c>
      <c r="AP130" s="142" t="s">
        <v>121</v>
      </c>
      <c r="AQ130" s="164"/>
      <c r="AR130" s="20"/>
      <c r="AS130" s="20"/>
      <c r="AT130" s="20"/>
      <c r="AU130" s="20"/>
      <c r="AV130" s="20">
        <v>260</v>
      </c>
      <c r="AW130" s="148">
        <v>270</v>
      </c>
      <c r="AX130" s="20">
        <v>280</v>
      </c>
      <c r="AY130" s="148">
        <v>290</v>
      </c>
      <c r="AZ130" s="142" t="s">
        <v>121</v>
      </c>
    </row>
    <row r="131" spans="1:52" ht="9.75" customHeight="1" x14ac:dyDescent="0.25">
      <c r="A131" s="142" t="s">
        <v>21</v>
      </c>
      <c r="B131" s="142" t="s">
        <v>123</v>
      </c>
      <c r="C131" s="143"/>
      <c r="D131" s="143"/>
      <c r="E131" s="39"/>
      <c r="F131" s="39"/>
      <c r="G131" s="144">
        <v>220</v>
      </c>
      <c r="H131" s="39">
        <v>230</v>
      </c>
      <c r="I131" s="144">
        <v>240</v>
      </c>
      <c r="J131" s="39">
        <v>250</v>
      </c>
      <c r="K131" s="144">
        <v>260</v>
      </c>
      <c r="L131" s="142" t="s">
        <v>21</v>
      </c>
      <c r="M131" s="143"/>
      <c r="N131" s="143"/>
      <c r="O131" s="39"/>
      <c r="P131" s="39"/>
      <c r="Q131" s="144">
        <v>230</v>
      </c>
      <c r="R131" s="39">
        <v>240</v>
      </c>
      <c r="S131" s="144">
        <v>250</v>
      </c>
      <c r="T131" s="39">
        <v>260</v>
      </c>
      <c r="U131" s="144">
        <v>270</v>
      </c>
      <c r="V131" s="142" t="s">
        <v>21</v>
      </c>
      <c r="W131" s="143"/>
      <c r="X131" s="143"/>
      <c r="Y131" s="39"/>
      <c r="Z131" s="39"/>
      <c r="AA131" s="144">
        <v>240</v>
      </c>
      <c r="AB131" s="39">
        <v>250</v>
      </c>
      <c r="AC131" s="144">
        <v>260</v>
      </c>
      <c r="AD131" s="39">
        <v>270</v>
      </c>
      <c r="AE131" s="144">
        <v>280</v>
      </c>
      <c r="AF131" s="142" t="s">
        <v>21</v>
      </c>
      <c r="AG131" s="143"/>
      <c r="AH131" s="143"/>
      <c r="AI131" s="39"/>
      <c r="AJ131" s="39"/>
      <c r="AK131" s="144">
        <v>250</v>
      </c>
      <c r="AL131" s="39">
        <v>260</v>
      </c>
      <c r="AM131" s="144">
        <v>270</v>
      </c>
      <c r="AN131" s="39">
        <v>280</v>
      </c>
      <c r="AO131" s="144">
        <v>290</v>
      </c>
      <c r="AP131" s="142" t="s">
        <v>21</v>
      </c>
      <c r="AQ131" s="163"/>
      <c r="AR131" s="39"/>
      <c r="AS131" s="39"/>
      <c r="AT131" s="39"/>
      <c r="AU131" s="144">
        <v>260</v>
      </c>
      <c r="AV131" s="39">
        <v>270</v>
      </c>
      <c r="AW131" s="144">
        <v>280</v>
      </c>
      <c r="AX131" s="39">
        <v>290</v>
      </c>
      <c r="AY131" s="144">
        <v>300</v>
      </c>
      <c r="AZ131" s="142" t="s">
        <v>21</v>
      </c>
    </row>
    <row r="132" spans="1:52" ht="9.75" customHeight="1" x14ac:dyDescent="0.25">
      <c r="A132" s="142" t="s">
        <v>23</v>
      </c>
      <c r="B132" s="142" t="s">
        <v>124</v>
      </c>
      <c r="C132" s="26"/>
      <c r="D132" s="26"/>
      <c r="E132" s="20"/>
      <c r="F132" s="20">
        <v>220</v>
      </c>
      <c r="G132" s="148">
        <v>230</v>
      </c>
      <c r="H132" s="20">
        <v>240</v>
      </c>
      <c r="I132" s="148">
        <v>250</v>
      </c>
      <c r="J132" s="20">
        <v>260</v>
      </c>
      <c r="K132" s="148">
        <v>270</v>
      </c>
      <c r="L132" s="142" t="s">
        <v>23</v>
      </c>
      <c r="M132" s="26"/>
      <c r="N132" s="26"/>
      <c r="O132" s="20"/>
      <c r="P132" s="20">
        <v>230</v>
      </c>
      <c r="Q132" s="148">
        <v>240</v>
      </c>
      <c r="R132" s="20">
        <v>250</v>
      </c>
      <c r="S132" s="148">
        <v>260</v>
      </c>
      <c r="T132" s="20">
        <v>270</v>
      </c>
      <c r="U132" s="148">
        <v>280</v>
      </c>
      <c r="V132" s="142" t="s">
        <v>23</v>
      </c>
      <c r="W132" s="26"/>
      <c r="X132" s="26"/>
      <c r="Y132" s="20"/>
      <c r="Z132" s="20">
        <v>240</v>
      </c>
      <c r="AA132" s="148">
        <v>250</v>
      </c>
      <c r="AB132" s="20">
        <v>260</v>
      </c>
      <c r="AC132" s="148">
        <v>270</v>
      </c>
      <c r="AD132" s="20">
        <v>280</v>
      </c>
      <c r="AE132" s="148">
        <v>290</v>
      </c>
      <c r="AF132" s="142" t="s">
        <v>23</v>
      </c>
      <c r="AG132" s="26"/>
      <c r="AH132" s="26"/>
      <c r="AI132" s="20"/>
      <c r="AJ132" s="20">
        <v>250</v>
      </c>
      <c r="AK132" s="148">
        <v>260</v>
      </c>
      <c r="AL132" s="20">
        <v>270</v>
      </c>
      <c r="AM132" s="148">
        <v>280</v>
      </c>
      <c r="AN132" s="20">
        <v>290</v>
      </c>
      <c r="AO132" s="148">
        <v>300</v>
      </c>
      <c r="AP132" s="142" t="s">
        <v>23</v>
      </c>
      <c r="AQ132" s="164"/>
      <c r="AR132" s="20"/>
      <c r="AS132" s="20"/>
      <c r="AT132" s="20">
        <v>260</v>
      </c>
      <c r="AU132" s="148">
        <v>270</v>
      </c>
      <c r="AV132" s="20">
        <v>280</v>
      </c>
      <c r="AW132" s="148">
        <v>290</v>
      </c>
      <c r="AX132" s="20">
        <v>300</v>
      </c>
      <c r="AY132" s="148">
        <v>310</v>
      </c>
      <c r="AZ132" s="142" t="s">
        <v>23</v>
      </c>
    </row>
    <row r="133" spans="1:52" ht="9.75" customHeight="1" x14ac:dyDescent="0.25">
      <c r="A133" s="142" t="s">
        <v>24</v>
      </c>
      <c r="B133" s="142" t="s">
        <v>125</v>
      </c>
      <c r="C133" s="143"/>
      <c r="D133" s="143"/>
      <c r="E133" s="144">
        <v>220</v>
      </c>
      <c r="F133" s="39">
        <v>230</v>
      </c>
      <c r="G133" s="144">
        <v>240</v>
      </c>
      <c r="H133" s="39">
        <v>250</v>
      </c>
      <c r="I133" s="144">
        <v>260</v>
      </c>
      <c r="J133" s="39">
        <v>270</v>
      </c>
      <c r="K133" s="144">
        <v>280</v>
      </c>
      <c r="L133" s="142" t="s">
        <v>24</v>
      </c>
      <c r="M133" s="143"/>
      <c r="N133" s="143"/>
      <c r="O133" s="144">
        <v>230</v>
      </c>
      <c r="P133" s="39">
        <v>240</v>
      </c>
      <c r="Q133" s="144">
        <v>250</v>
      </c>
      <c r="R133" s="39">
        <v>260</v>
      </c>
      <c r="S133" s="144">
        <v>270</v>
      </c>
      <c r="T133" s="39">
        <v>280</v>
      </c>
      <c r="U133" s="144">
        <v>290</v>
      </c>
      <c r="V133" s="142" t="s">
        <v>24</v>
      </c>
      <c r="W133" s="143"/>
      <c r="X133" s="143"/>
      <c r="Y133" s="144">
        <v>240</v>
      </c>
      <c r="Z133" s="39">
        <v>250</v>
      </c>
      <c r="AA133" s="144">
        <v>260</v>
      </c>
      <c r="AB133" s="39">
        <v>270</v>
      </c>
      <c r="AC133" s="144">
        <v>280</v>
      </c>
      <c r="AD133" s="39">
        <v>290</v>
      </c>
      <c r="AE133" s="144">
        <v>300</v>
      </c>
      <c r="AF133" s="142" t="s">
        <v>24</v>
      </c>
      <c r="AG133" s="143"/>
      <c r="AH133" s="143"/>
      <c r="AI133" s="144">
        <v>250</v>
      </c>
      <c r="AJ133" s="39">
        <v>260</v>
      </c>
      <c r="AK133" s="144">
        <v>270</v>
      </c>
      <c r="AL133" s="39">
        <v>280</v>
      </c>
      <c r="AM133" s="144">
        <v>290</v>
      </c>
      <c r="AN133" s="39">
        <v>300</v>
      </c>
      <c r="AO133" s="144">
        <v>310</v>
      </c>
      <c r="AP133" s="142" t="s">
        <v>24</v>
      </c>
      <c r="AQ133" s="163"/>
      <c r="AR133" s="39"/>
      <c r="AS133" s="144">
        <v>260</v>
      </c>
      <c r="AT133" s="39">
        <v>270</v>
      </c>
      <c r="AU133" s="144">
        <v>280</v>
      </c>
      <c r="AV133" s="39">
        <v>290</v>
      </c>
      <c r="AW133" s="144">
        <v>300</v>
      </c>
      <c r="AX133" s="39">
        <v>310</v>
      </c>
      <c r="AY133" s="144">
        <v>320</v>
      </c>
      <c r="AZ133" s="142" t="s">
        <v>24</v>
      </c>
    </row>
    <row r="134" spans="1:52" ht="9.75" customHeight="1" x14ac:dyDescent="0.25">
      <c r="A134" s="142" t="s">
        <v>26</v>
      </c>
      <c r="B134" s="142" t="s">
        <v>126</v>
      </c>
      <c r="C134" s="26"/>
      <c r="D134" s="20">
        <v>220</v>
      </c>
      <c r="E134" s="148">
        <v>230</v>
      </c>
      <c r="F134" s="20">
        <v>240</v>
      </c>
      <c r="G134" s="148">
        <v>250</v>
      </c>
      <c r="H134" s="20">
        <v>260</v>
      </c>
      <c r="I134" s="148">
        <v>270</v>
      </c>
      <c r="J134" s="20">
        <v>280</v>
      </c>
      <c r="K134" s="148">
        <v>290</v>
      </c>
      <c r="L134" s="142" t="s">
        <v>26</v>
      </c>
      <c r="M134" s="26"/>
      <c r="N134" s="20">
        <v>230</v>
      </c>
      <c r="O134" s="148">
        <v>240</v>
      </c>
      <c r="P134" s="20">
        <v>250</v>
      </c>
      <c r="Q134" s="148">
        <v>260</v>
      </c>
      <c r="R134" s="20">
        <v>270</v>
      </c>
      <c r="S134" s="148">
        <v>280</v>
      </c>
      <c r="T134" s="20">
        <v>290</v>
      </c>
      <c r="U134" s="148">
        <v>300</v>
      </c>
      <c r="V134" s="142" t="s">
        <v>26</v>
      </c>
      <c r="W134" s="26"/>
      <c r="X134" s="20">
        <v>240</v>
      </c>
      <c r="Y134" s="148">
        <v>250</v>
      </c>
      <c r="Z134" s="20">
        <v>260</v>
      </c>
      <c r="AA134" s="148">
        <v>270</v>
      </c>
      <c r="AB134" s="20">
        <v>280</v>
      </c>
      <c r="AC134" s="148">
        <v>290</v>
      </c>
      <c r="AD134" s="20">
        <v>300</v>
      </c>
      <c r="AE134" s="148">
        <v>310</v>
      </c>
      <c r="AF134" s="142" t="s">
        <v>26</v>
      </c>
      <c r="AG134" s="26"/>
      <c r="AH134" s="20">
        <v>250</v>
      </c>
      <c r="AI134" s="148">
        <v>260</v>
      </c>
      <c r="AJ134" s="20">
        <v>270</v>
      </c>
      <c r="AK134" s="148">
        <v>280</v>
      </c>
      <c r="AL134" s="20">
        <v>290</v>
      </c>
      <c r="AM134" s="148">
        <v>300</v>
      </c>
      <c r="AN134" s="20">
        <v>310</v>
      </c>
      <c r="AO134" s="148">
        <v>320</v>
      </c>
      <c r="AP134" s="142" t="s">
        <v>26</v>
      </c>
      <c r="AQ134" s="164"/>
      <c r="AR134" s="20">
        <v>260</v>
      </c>
      <c r="AS134" s="148">
        <v>270</v>
      </c>
      <c r="AT134" s="20">
        <v>280</v>
      </c>
      <c r="AU134" s="148">
        <v>290</v>
      </c>
      <c r="AV134" s="20">
        <v>300</v>
      </c>
      <c r="AW134" s="148">
        <v>310</v>
      </c>
      <c r="AX134" s="20">
        <v>320</v>
      </c>
      <c r="AY134" s="20"/>
      <c r="AZ134" s="142" t="s">
        <v>26</v>
      </c>
    </row>
    <row r="135" spans="1:52" ht="9.75" customHeight="1" x14ac:dyDescent="0.25">
      <c r="A135" s="142" t="s">
        <v>28</v>
      </c>
      <c r="B135" s="142" t="s">
        <v>127</v>
      </c>
      <c r="C135" s="144">
        <v>220</v>
      </c>
      <c r="D135" s="39">
        <v>230</v>
      </c>
      <c r="E135" s="144">
        <v>240</v>
      </c>
      <c r="F135" s="39">
        <v>250</v>
      </c>
      <c r="G135" s="144">
        <v>260</v>
      </c>
      <c r="H135" s="39">
        <v>270</v>
      </c>
      <c r="I135" s="144">
        <v>280</v>
      </c>
      <c r="J135" s="39">
        <v>290</v>
      </c>
      <c r="K135" s="144">
        <v>300</v>
      </c>
      <c r="L135" s="142" t="s">
        <v>28</v>
      </c>
      <c r="M135" s="144">
        <v>230</v>
      </c>
      <c r="N135" s="39">
        <v>240</v>
      </c>
      <c r="O135" s="144">
        <v>250</v>
      </c>
      <c r="P135" s="39">
        <v>260</v>
      </c>
      <c r="Q135" s="144">
        <v>270</v>
      </c>
      <c r="R135" s="39">
        <v>280</v>
      </c>
      <c r="S135" s="144">
        <v>290</v>
      </c>
      <c r="T135" s="39">
        <v>300</v>
      </c>
      <c r="U135" s="144">
        <v>310</v>
      </c>
      <c r="V135" s="142" t="s">
        <v>28</v>
      </c>
      <c r="W135" s="144">
        <v>240</v>
      </c>
      <c r="X135" s="39">
        <v>250</v>
      </c>
      <c r="Y135" s="144">
        <v>260</v>
      </c>
      <c r="Z135" s="39">
        <v>270</v>
      </c>
      <c r="AA135" s="144">
        <v>280</v>
      </c>
      <c r="AB135" s="39">
        <v>290</v>
      </c>
      <c r="AC135" s="144">
        <v>300</v>
      </c>
      <c r="AD135" s="39">
        <v>310</v>
      </c>
      <c r="AE135" s="144">
        <v>320</v>
      </c>
      <c r="AF135" s="142" t="s">
        <v>28</v>
      </c>
      <c r="AG135" s="144">
        <v>250</v>
      </c>
      <c r="AH135" s="39">
        <v>260</v>
      </c>
      <c r="AI135" s="144">
        <v>270</v>
      </c>
      <c r="AJ135" s="39">
        <v>280</v>
      </c>
      <c r="AK135" s="144">
        <v>290</v>
      </c>
      <c r="AL135" s="39">
        <v>300</v>
      </c>
      <c r="AM135" s="144">
        <v>310</v>
      </c>
      <c r="AN135" s="39">
        <v>320</v>
      </c>
      <c r="AO135" s="39"/>
      <c r="AP135" s="142" t="s">
        <v>28</v>
      </c>
      <c r="AQ135" s="163"/>
      <c r="AR135" s="39"/>
      <c r="AS135" s="39"/>
      <c r="AT135" s="39"/>
      <c r="AU135" s="39"/>
      <c r="AV135" s="39"/>
      <c r="AW135" s="39"/>
      <c r="AX135" s="39"/>
      <c r="AY135" s="39"/>
      <c r="AZ135" s="142" t="s">
        <v>28</v>
      </c>
    </row>
    <row r="136" spans="1:52" ht="9.75" customHeight="1" x14ac:dyDescent="0.25">
      <c r="A136" s="142" t="s">
        <v>30</v>
      </c>
      <c r="B136" s="142" t="s">
        <v>128</v>
      </c>
      <c r="C136" s="148">
        <v>230</v>
      </c>
      <c r="D136" s="20">
        <v>240</v>
      </c>
      <c r="E136" s="148">
        <v>250</v>
      </c>
      <c r="F136" s="20">
        <v>260</v>
      </c>
      <c r="G136" s="148">
        <v>270</v>
      </c>
      <c r="H136" s="20">
        <v>280</v>
      </c>
      <c r="I136" s="148">
        <v>290</v>
      </c>
      <c r="J136" s="20">
        <v>300</v>
      </c>
      <c r="K136" s="148">
        <v>310</v>
      </c>
      <c r="L136" s="142" t="s">
        <v>30</v>
      </c>
      <c r="M136" s="148">
        <v>240</v>
      </c>
      <c r="N136" s="20">
        <v>250</v>
      </c>
      <c r="O136" s="148">
        <v>260</v>
      </c>
      <c r="P136" s="20">
        <v>270</v>
      </c>
      <c r="Q136" s="148">
        <v>280</v>
      </c>
      <c r="R136" s="20">
        <v>290</v>
      </c>
      <c r="S136" s="148">
        <v>300</v>
      </c>
      <c r="T136" s="20">
        <v>310</v>
      </c>
      <c r="U136" s="148">
        <v>320</v>
      </c>
      <c r="V136" s="142" t="s">
        <v>30</v>
      </c>
      <c r="W136" s="148">
        <v>250</v>
      </c>
      <c r="X136" s="20">
        <v>260</v>
      </c>
      <c r="Y136" s="148">
        <v>270</v>
      </c>
      <c r="Z136" s="20">
        <v>280</v>
      </c>
      <c r="AA136" s="148">
        <v>290</v>
      </c>
      <c r="AB136" s="20">
        <v>300</v>
      </c>
      <c r="AC136" s="148">
        <v>310</v>
      </c>
      <c r="AD136" s="20">
        <v>320</v>
      </c>
      <c r="AE136" s="20"/>
      <c r="AF136" s="142" t="s">
        <v>30</v>
      </c>
      <c r="AG136" s="148">
        <v>260</v>
      </c>
      <c r="AH136" s="20">
        <v>270</v>
      </c>
      <c r="AI136" s="148">
        <v>280</v>
      </c>
      <c r="AJ136" s="20">
        <v>290</v>
      </c>
      <c r="AK136" s="148">
        <v>300</v>
      </c>
      <c r="AL136" s="20">
        <v>310</v>
      </c>
      <c r="AM136" s="148">
        <v>320</v>
      </c>
      <c r="AN136" s="20"/>
      <c r="AO136" s="20"/>
      <c r="AP136" s="142" t="s">
        <v>30</v>
      </c>
      <c r="AQ136" s="164"/>
      <c r="AR136" s="20"/>
      <c r="AS136" s="20"/>
      <c r="AT136" s="20"/>
      <c r="AU136" s="20"/>
      <c r="AV136" s="20"/>
      <c r="AW136" s="20"/>
      <c r="AX136" s="20"/>
      <c r="AY136" s="20"/>
      <c r="AZ136" s="142" t="s">
        <v>30</v>
      </c>
    </row>
    <row r="137" spans="1:52" ht="9.75" customHeight="1" x14ac:dyDescent="0.25">
      <c r="A137" s="142" t="s">
        <v>32</v>
      </c>
      <c r="B137" s="142" t="s">
        <v>129</v>
      </c>
      <c r="C137" s="144">
        <v>240</v>
      </c>
      <c r="D137" s="39">
        <v>250</v>
      </c>
      <c r="E137" s="144">
        <v>260</v>
      </c>
      <c r="F137" s="39">
        <v>270</v>
      </c>
      <c r="G137" s="144">
        <v>280</v>
      </c>
      <c r="H137" s="39">
        <v>290</v>
      </c>
      <c r="I137" s="144">
        <v>300</v>
      </c>
      <c r="J137" s="39">
        <v>310</v>
      </c>
      <c r="K137" s="144">
        <v>320</v>
      </c>
      <c r="L137" s="142" t="s">
        <v>32</v>
      </c>
      <c r="M137" s="144">
        <v>250</v>
      </c>
      <c r="N137" s="39">
        <v>260</v>
      </c>
      <c r="O137" s="144">
        <v>270</v>
      </c>
      <c r="P137" s="39">
        <v>280</v>
      </c>
      <c r="Q137" s="144">
        <v>290</v>
      </c>
      <c r="R137" s="39">
        <v>300</v>
      </c>
      <c r="S137" s="144">
        <v>310</v>
      </c>
      <c r="T137" s="39">
        <v>320</v>
      </c>
      <c r="U137" s="39"/>
      <c r="V137" s="142" t="s">
        <v>32</v>
      </c>
      <c r="W137" s="144">
        <v>260</v>
      </c>
      <c r="X137" s="39">
        <v>270</v>
      </c>
      <c r="Y137" s="144">
        <v>280</v>
      </c>
      <c r="Z137" s="39">
        <v>290</v>
      </c>
      <c r="AA137" s="144">
        <v>300</v>
      </c>
      <c r="AB137" s="39">
        <v>310</v>
      </c>
      <c r="AC137" s="144">
        <v>320</v>
      </c>
      <c r="AD137" s="39"/>
      <c r="AE137" s="39"/>
      <c r="AF137" s="142" t="s">
        <v>32</v>
      </c>
      <c r="AG137" s="141"/>
      <c r="AH137" s="39"/>
      <c r="AI137" s="39"/>
      <c r="AJ137" s="39"/>
      <c r="AK137" s="39"/>
      <c r="AL137" s="39"/>
      <c r="AM137" s="39"/>
      <c r="AN137" s="39"/>
      <c r="AO137" s="39"/>
      <c r="AP137" s="142" t="s">
        <v>32</v>
      </c>
      <c r="AQ137" s="163"/>
      <c r="AR137" s="39"/>
      <c r="AS137" s="39"/>
      <c r="AT137" s="39"/>
      <c r="AU137" s="39"/>
      <c r="AV137" s="39"/>
      <c r="AW137" s="39"/>
      <c r="AX137" s="39"/>
      <c r="AY137" s="39"/>
      <c r="AZ137" s="142" t="s">
        <v>32</v>
      </c>
    </row>
    <row r="138" spans="1:52" ht="9.75" customHeight="1" x14ac:dyDescent="0.25">
      <c r="A138" s="142" t="s">
        <v>33</v>
      </c>
      <c r="B138" s="142" t="s">
        <v>130</v>
      </c>
      <c r="C138" s="148">
        <v>250</v>
      </c>
      <c r="D138" s="20">
        <v>260</v>
      </c>
      <c r="E138" s="148">
        <v>270</v>
      </c>
      <c r="F138" s="20">
        <v>280</v>
      </c>
      <c r="G138" s="148">
        <v>290</v>
      </c>
      <c r="H138" s="20">
        <v>300</v>
      </c>
      <c r="I138" s="148">
        <v>310</v>
      </c>
      <c r="J138" s="20">
        <v>320</v>
      </c>
      <c r="K138" s="20"/>
      <c r="L138" s="142" t="s">
        <v>33</v>
      </c>
      <c r="M138" s="148">
        <v>260</v>
      </c>
      <c r="N138" s="20">
        <v>270</v>
      </c>
      <c r="O138" s="148">
        <v>280</v>
      </c>
      <c r="P138" s="20">
        <v>290</v>
      </c>
      <c r="Q138" s="148">
        <v>300</v>
      </c>
      <c r="R138" s="20">
        <v>310</v>
      </c>
      <c r="S138" s="148">
        <v>320</v>
      </c>
      <c r="T138" s="20"/>
      <c r="U138" s="20"/>
      <c r="V138" s="142" t="s">
        <v>33</v>
      </c>
      <c r="W138" s="147"/>
      <c r="X138" s="20"/>
      <c r="Y138" s="20"/>
      <c r="Z138" s="20"/>
      <c r="AA138" s="20"/>
      <c r="AB138" s="20"/>
      <c r="AC138" s="20"/>
      <c r="AD138" s="20"/>
      <c r="AE138" s="20"/>
      <c r="AF138" s="142" t="s">
        <v>33</v>
      </c>
      <c r="AG138" s="147"/>
      <c r="AH138" s="20"/>
      <c r="AI138" s="20"/>
      <c r="AJ138" s="20"/>
      <c r="AK138" s="20"/>
      <c r="AL138" s="20"/>
      <c r="AM138" s="20"/>
      <c r="AN138" s="20"/>
      <c r="AO138" s="20"/>
      <c r="AP138" s="142" t="s">
        <v>33</v>
      </c>
      <c r="AQ138" s="164"/>
      <c r="AR138" s="20"/>
      <c r="AS138" s="20"/>
      <c r="AT138" s="20"/>
      <c r="AU138" s="20"/>
      <c r="AV138" s="20"/>
      <c r="AW138" s="20"/>
      <c r="AX138" s="20"/>
      <c r="AY138" s="20"/>
      <c r="AZ138" s="142" t="s">
        <v>33</v>
      </c>
    </row>
    <row r="139" spans="1:52" ht="9.75" customHeight="1" x14ac:dyDescent="0.25">
      <c r="A139" s="142" t="s">
        <v>34</v>
      </c>
      <c r="B139" s="142" t="s">
        <v>131</v>
      </c>
      <c r="C139" s="144">
        <v>260</v>
      </c>
      <c r="D139" s="39">
        <v>270</v>
      </c>
      <c r="E139" s="144">
        <v>280</v>
      </c>
      <c r="F139" s="39">
        <v>290</v>
      </c>
      <c r="G139" s="144">
        <v>300</v>
      </c>
      <c r="H139" s="39">
        <v>310</v>
      </c>
      <c r="I139" s="144">
        <v>320</v>
      </c>
      <c r="J139" s="39"/>
      <c r="K139" s="39"/>
      <c r="L139" s="142" t="s">
        <v>34</v>
      </c>
      <c r="M139" s="141"/>
      <c r="N139" s="39"/>
      <c r="O139" s="39"/>
      <c r="P139" s="39"/>
      <c r="Q139" s="39"/>
      <c r="R139" s="39"/>
      <c r="S139" s="39"/>
      <c r="T139" s="39"/>
      <c r="U139" s="39"/>
      <c r="V139" s="142" t="s">
        <v>34</v>
      </c>
      <c r="W139" s="141"/>
      <c r="X139" s="39"/>
      <c r="Y139" s="39"/>
      <c r="Z139" s="39"/>
      <c r="AA139" s="39"/>
      <c r="AB139" s="39"/>
      <c r="AC139" s="39"/>
      <c r="AD139" s="39"/>
      <c r="AE139" s="39"/>
      <c r="AF139" s="142" t="s">
        <v>34</v>
      </c>
      <c r="AG139" s="141"/>
      <c r="AH139" s="39"/>
      <c r="AI139" s="39"/>
      <c r="AJ139" s="39"/>
      <c r="AK139" s="39"/>
      <c r="AL139" s="39"/>
      <c r="AM139" s="39"/>
      <c r="AN139" s="39"/>
      <c r="AO139" s="39"/>
      <c r="AP139" s="142" t="s">
        <v>34</v>
      </c>
      <c r="AQ139" s="163"/>
      <c r="AR139" s="39"/>
      <c r="AS139" s="39"/>
      <c r="AT139" s="39"/>
      <c r="AU139" s="39"/>
      <c r="AV139" s="39"/>
      <c r="AW139" s="39"/>
      <c r="AX139" s="39"/>
      <c r="AY139" s="39"/>
      <c r="AZ139" s="142" t="s">
        <v>34</v>
      </c>
    </row>
    <row r="140" spans="1:52" ht="9.75" customHeight="1" x14ac:dyDescent="0.25">
      <c r="A140" s="142" t="s">
        <v>35</v>
      </c>
      <c r="B140" s="142" t="s">
        <v>22</v>
      </c>
      <c r="C140" s="147"/>
      <c r="D140" s="20"/>
      <c r="E140" s="20"/>
      <c r="F140" s="20"/>
      <c r="G140" s="20"/>
      <c r="H140" s="20"/>
      <c r="I140" s="20"/>
      <c r="J140" s="20"/>
      <c r="K140" s="20"/>
      <c r="L140" s="142" t="s">
        <v>35</v>
      </c>
      <c r="M140" s="147"/>
      <c r="N140" s="20"/>
      <c r="O140" s="20"/>
      <c r="P140" s="20"/>
      <c r="Q140" s="20"/>
      <c r="R140" s="20"/>
      <c r="S140" s="20"/>
      <c r="T140" s="20"/>
      <c r="U140" s="20"/>
      <c r="V140" s="142" t="s">
        <v>35</v>
      </c>
      <c r="W140" s="147"/>
      <c r="X140" s="20"/>
      <c r="Y140" s="20"/>
      <c r="Z140" s="20"/>
      <c r="AA140" s="20"/>
      <c r="AB140" s="20"/>
      <c r="AC140" s="20"/>
      <c r="AD140" s="20"/>
      <c r="AE140" s="20"/>
      <c r="AF140" s="142" t="s">
        <v>35</v>
      </c>
      <c r="AG140" s="147"/>
      <c r="AH140" s="20"/>
      <c r="AI140" s="20"/>
      <c r="AJ140" s="20"/>
      <c r="AK140" s="20"/>
      <c r="AL140" s="20"/>
      <c r="AM140" s="20"/>
      <c r="AN140" s="20"/>
      <c r="AO140" s="20"/>
      <c r="AP140" s="142" t="s">
        <v>35</v>
      </c>
      <c r="AQ140" s="164"/>
      <c r="AR140" s="20"/>
      <c r="AS140" s="20"/>
      <c r="AT140" s="20"/>
      <c r="AU140" s="20"/>
      <c r="AV140" s="20"/>
      <c r="AW140" s="20"/>
      <c r="AX140" s="20"/>
      <c r="AY140" s="20"/>
      <c r="AZ140" s="142" t="s">
        <v>35</v>
      </c>
    </row>
    <row r="141" spans="1:52" ht="9.75" customHeight="1" x14ac:dyDescent="0.25">
      <c r="A141" s="142" t="s">
        <v>36</v>
      </c>
      <c r="B141" s="142" t="s">
        <v>25</v>
      </c>
      <c r="C141" s="141"/>
      <c r="D141" s="39"/>
      <c r="E141" s="39"/>
      <c r="F141" s="39"/>
      <c r="G141" s="39"/>
      <c r="H141" s="39"/>
      <c r="I141" s="39"/>
      <c r="J141" s="39"/>
      <c r="K141" s="39"/>
      <c r="L141" s="142" t="s">
        <v>36</v>
      </c>
      <c r="M141" s="141"/>
      <c r="N141" s="39"/>
      <c r="O141" s="39"/>
      <c r="P141" s="39"/>
      <c r="Q141" s="39"/>
      <c r="R141" s="39"/>
      <c r="S141" s="39"/>
      <c r="T141" s="39"/>
      <c r="U141" s="39"/>
      <c r="V141" s="142" t="s">
        <v>36</v>
      </c>
      <c r="W141" s="141"/>
      <c r="X141" s="39"/>
      <c r="Y141" s="39"/>
      <c r="Z141" s="39"/>
      <c r="AA141" s="39"/>
      <c r="AB141" s="39"/>
      <c r="AC141" s="39"/>
      <c r="AD141" s="39"/>
      <c r="AE141" s="39"/>
      <c r="AF141" s="142" t="s">
        <v>36</v>
      </c>
      <c r="AG141" s="141"/>
      <c r="AH141" s="39"/>
      <c r="AI141" s="39"/>
      <c r="AJ141" s="39"/>
      <c r="AK141" s="39"/>
      <c r="AL141" s="39"/>
      <c r="AM141" s="39"/>
      <c r="AN141" s="39"/>
      <c r="AO141" s="39"/>
      <c r="AP141" s="142" t="s">
        <v>36</v>
      </c>
      <c r="AQ141" s="163"/>
      <c r="AR141" s="39"/>
      <c r="AS141" s="39"/>
      <c r="AT141" s="39"/>
      <c r="AU141" s="39"/>
      <c r="AV141" s="39"/>
      <c r="AW141" s="39"/>
      <c r="AX141" s="39"/>
      <c r="AY141" s="39"/>
      <c r="AZ141" s="142" t="s">
        <v>36</v>
      </c>
    </row>
    <row r="142" spans="1:52" ht="9.75" customHeight="1" x14ac:dyDescent="0.25">
      <c r="A142" s="140" t="s">
        <v>38</v>
      </c>
      <c r="B142" s="142" t="s">
        <v>27</v>
      </c>
      <c r="C142" s="147"/>
      <c r="D142" s="20"/>
      <c r="E142" s="20"/>
      <c r="F142" s="20"/>
      <c r="G142" s="20"/>
      <c r="H142" s="20"/>
      <c r="I142" s="20"/>
      <c r="J142" s="20"/>
      <c r="K142" s="20"/>
      <c r="L142" s="140" t="s">
        <v>38</v>
      </c>
      <c r="M142" s="147"/>
      <c r="N142" s="20"/>
      <c r="O142" s="20"/>
      <c r="P142" s="20"/>
      <c r="Q142" s="20"/>
      <c r="R142" s="20"/>
      <c r="S142" s="20"/>
      <c r="T142" s="20"/>
      <c r="U142" s="20"/>
      <c r="V142" s="140" t="s">
        <v>38</v>
      </c>
      <c r="W142" s="147"/>
      <c r="X142" s="20"/>
      <c r="Y142" s="20"/>
      <c r="Z142" s="20"/>
      <c r="AA142" s="20"/>
      <c r="AB142" s="20"/>
      <c r="AC142" s="20"/>
      <c r="AD142" s="20"/>
      <c r="AE142" s="20"/>
      <c r="AF142" s="140" t="s">
        <v>38</v>
      </c>
      <c r="AG142" s="147"/>
      <c r="AH142" s="20"/>
      <c r="AI142" s="20"/>
      <c r="AJ142" s="20"/>
      <c r="AK142" s="20"/>
      <c r="AL142" s="20"/>
      <c r="AM142" s="20"/>
      <c r="AN142" s="20"/>
      <c r="AO142" s="20"/>
      <c r="AP142" s="140" t="s">
        <v>38</v>
      </c>
      <c r="AQ142" s="166"/>
      <c r="AR142" s="20"/>
      <c r="AS142" s="20"/>
      <c r="AT142" s="20"/>
      <c r="AU142" s="20"/>
      <c r="AV142" s="20"/>
      <c r="AW142" s="20"/>
      <c r="AX142" s="20"/>
      <c r="AY142" s="20"/>
      <c r="AZ142" s="140" t="s">
        <v>38</v>
      </c>
    </row>
    <row r="143" spans="1:52" ht="9.75" customHeight="1" x14ac:dyDescent="0.25">
      <c r="A143" s="140" t="s">
        <v>40</v>
      </c>
      <c r="B143" s="142" t="s">
        <v>29</v>
      </c>
      <c r="C143" s="141"/>
      <c r="D143" s="39"/>
      <c r="E143" s="39"/>
      <c r="F143" s="39"/>
      <c r="G143" s="39"/>
      <c r="H143" s="39"/>
      <c r="I143" s="39"/>
      <c r="J143" s="39"/>
      <c r="K143" s="39"/>
      <c r="L143" s="140" t="s">
        <v>40</v>
      </c>
      <c r="M143" s="141"/>
      <c r="N143" s="39"/>
      <c r="O143" s="39"/>
      <c r="P143" s="39"/>
      <c r="Q143" s="39"/>
      <c r="R143" s="39"/>
      <c r="S143" s="39"/>
      <c r="T143" s="39"/>
      <c r="U143" s="39"/>
      <c r="V143" s="140" t="s">
        <v>40</v>
      </c>
      <c r="W143" s="141"/>
      <c r="X143" s="39"/>
      <c r="Y143" s="39"/>
      <c r="Z143" s="39"/>
      <c r="AA143" s="39"/>
      <c r="AB143" s="39"/>
      <c r="AC143" s="39"/>
      <c r="AD143" s="39"/>
      <c r="AE143" s="39"/>
      <c r="AF143" s="140" t="s">
        <v>40</v>
      </c>
      <c r="AG143" s="162"/>
      <c r="AH143" s="39"/>
      <c r="AI143" s="39"/>
      <c r="AJ143" s="39"/>
      <c r="AK143" s="39"/>
      <c r="AL143" s="39"/>
      <c r="AM143" s="39"/>
      <c r="AN143" s="39"/>
      <c r="AO143" s="39"/>
      <c r="AP143" s="140" t="s">
        <v>40</v>
      </c>
      <c r="AQ143" s="162"/>
      <c r="AR143" s="39"/>
      <c r="AS143" s="39"/>
      <c r="AT143" s="39"/>
      <c r="AU143" s="39"/>
      <c r="AV143" s="39"/>
      <c r="AW143" s="39"/>
      <c r="AX143" s="39"/>
      <c r="AY143" s="39"/>
      <c r="AZ143" s="140" t="s">
        <v>40</v>
      </c>
    </row>
    <row r="144" spans="1:52" ht="9.75" customHeight="1" x14ac:dyDescent="0.25">
      <c r="A144" s="140" t="s">
        <v>42</v>
      </c>
      <c r="B144" s="142" t="s">
        <v>31</v>
      </c>
      <c r="C144" s="147"/>
      <c r="D144" s="20"/>
      <c r="E144" s="20"/>
      <c r="F144" s="20"/>
      <c r="G144" s="20"/>
      <c r="H144" s="20"/>
      <c r="I144" s="20"/>
      <c r="J144" s="20"/>
      <c r="K144" s="20"/>
      <c r="L144" s="140" t="s">
        <v>42</v>
      </c>
      <c r="M144" s="147"/>
      <c r="N144" s="20"/>
      <c r="O144" s="20"/>
      <c r="P144" s="20"/>
      <c r="Q144" s="20"/>
      <c r="R144" s="20"/>
      <c r="S144" s="20"/>
      <c r="T144" s="20"/>
      <c r="U144" s="20"/>
      <c r="V144" s="140" t="s">
        <v>42</v>
      </c>
      <c r="W144" s="26"/>
      <c r="X144" s="26"/>
      <c r="Y144" s="20"/>
      <c r="Z144" s="20"/>
      <c r="AA144" s="20"/>
      <c r="AB144" s="20"/>
      <c r="AC144" s="20"/>
      <c r="AD144" s="20"/>
      <c r="AE144" s="20"/>
      <c r="AF144" s="140" t="s">
        <v>42</v>
      </c>
      <c r="AG144" s="166"/>
      <c r="AH144" s="20"/>
      <c r="AI144" s="20"/>
      <c r="AJ144" s="20"/>
      <c r="AK144" s="20"/>
      <c r="AL144" s="20"/>
      <c r="AM144" s="20"/>
      <c r="AN144" s="20"/>
      <c r="AO144" s="20"/>
      <c r="AP144" s="140" t="s">
        <v>42</v>
      </c>
      <c r="AQ144" s="166"/>
      <c r="AR144" s="20"/>
      <c r="AS144" s="20"/>
      <c r="AT144" s="20"/>
      <c r="AU144" s="20"/>
      <c r="AV144" s="20"/>
      <c r="AW144" s="20"/>
      <c r="AX144" s="20"/>
      <c r="AY144" s="20"/>
      <c r="AZ144" s="140" t="s">
        <v>42</v>
      </c>
    </row>
    <row r="145" spans="1:52" ht="9.75" customHeight="1" x14ac:dyDescent="0.25">
      <c r="A145" s="140" t="s">
        <v>132</v>
      </c>
      <c r="B145" s="142" t="s">
        <v>37</v>
      </c>
      <c r="C145" s="141"/>
      <c r="D145" s="39"/>
      <c r="E145" s="39"/>
      <c r="F145" s="39"/>
      <c r="G145" s="39"/>
      <c r="H145" s="39"/>
      <c r="I145" s="39"/>
      <c r="J145" s="39"/>
      <c r="K145" s="39"/>
      <c r="L145" s="140" t="s">
        <v>132</v>
      </c>
      <c r="M145" s="162"/>
      <c r="N145" s="39"/>
      <c r="O145" s="39"/>
      <c r="P145" s="39"/>
      <c r="Q145" s="39"/>
      <c r="R145" s="39"/>
      <c r="S145" s="39"/>
      <c r="T145" s="39"/>
      <c r="U145" s="39"/>
      <c r="V145" s="140" t="s">
        <v>132</v>
      </c>
      <c r="W145" s="143"/>
      <c r="X145" s="143"/>
      <c r="Y145" s="39"/>
      <c r="Z145" s="39"/>
      <c r="AA145" s="39"/>
      <c r="AB145" s="39"/>
      <c r="AC145" s="39"/>
      <c r="AD145" s="39"/>
      <c r="AE145" s="39"/>
      <c r="AF145" s="142" t="s">
        <v>132</v>
      </c>
      <c r="AG145" s="162"/>
      <c r="AH145" s="39"/>
      <c r="AI145" s="39"/>
      <c r="AJ145" s="39"/>
      <c r="AK145" s="39"/>
      <c r="AL145" s="39"/>
      <c r="AM145" s="39"/>
      <c r="AN145" s="39"/>
      <c r="AO145" s="39"/>
      <c r="AP145" s="140" t="s">
        <v>132</v>
      </c>
      <c r="AQ145" s="162"/>
      <c r="AR145" s="39"/>
      <c r="AS145" s="39"/>
      <c r="AT145" s="39"/>
      <c r="AU145" s="39"/>
      <c r="AV145" s="39"/>
      <c r="AW145" s="39"/>
      <c r="AX145" s="39"/>
      <c r="AY145" s="39"/>
      <c r="AZ145" s="140" t="s">
        <v>132</v>
      </c>
    </row>
    <row r="146" spans="1:52" ht="15" customHeight="1" x14ac:dyDescent="0.25">
      <c r="A146" s="152"/>
      <c r="B146" s="152"/>
      <c r="C146" s="211" t="s">
        <v>133</v>
      </c>
      <c r="D146" s="211"/>
      <c r="E146" s="211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211"/>
      <c r="R146" s="211"/>
      <c r="S146" s="211"/>
      <c r="T146" s="211"/>
      <c r="U146" s="211"/>
      <c r="V146" s="211"/>
      <c r="W146" s="211"/>
      <c r="X146" s="211"/>
      <c r="Y146" s="211"/>
      <c r="Z146" s="211"/>
      <c r="AA146" s="211"/>
      <c r="AB146" s="211"/>
      <c r="AC146" s="211"/>
      <c r="AD146" s="211"/>
      <c r="AE146" s="211"/>
      <c r="AF146" s="211"/>
      <c r="AG146" s="211"/>
      <c r="AH146" s="211"/>
      <c r="AI146" s="211"/>
      <c r="AJ146" s="211"/>
      <c r="AK146" s="211"/>
      <c r="AL146" s="211"/>
      <c r="AM146" s="211"/>
      <c r="AN146" s="211"/>
      <c r="AO146" s="211"/>
      <c r="AP146" s="211"/>
      <c r="AQ146" s="211"/>
      <c r="AR146" s="211"/>
      <c r="AS146" s="211"/>
      <c r="AT146" s="211"/>
      <c r="AU146" s="211"/>
      <c r="AV146" s="211"/>
      <c r="AW146" s="211"/>
      <c r="AX146" s="211"/>
      <c r="AY146" s="211"/>
      <c r="AZ146" s="211"/>
    </row>
  </sheetData>
  <mergeCells count="80">
    <mergeCell ref="AQ3:AY3"/>
    <mergeCell ref="C1:AY1"/>
    <mergeCell ref="C2:K2"/>
    <mergeCell ref="M2:U2"/>
    <mergeCell ref="W2:AE2"/>
    <mergeCell ref="AG2:AO2"/>
    <mergeCell ref="AQ2:AY2"/>
    <mergeCell ref="A3:B3"/>
    <mergeCell ref="C3:K3"/>
    <mergeCell ref="M3:U3"/>
    <mergeCell ref="W3:AE3"/>
    <mergeCell ref="AG3:AO3"/>
    <mergeCell ref="AQ27:AY27"/>
    <mergeCell ref="A4:B4"/>
    <mergeCell ref="C25:AZ25"/>
    <mergeCell ref="C26:K26"/>
    <mergeCell ref="M26:U26"/>
    <mergeCell ref="W26:AE26"/>
    <mergeCell ref="AG26:AO26"/>
    <mergeCell ref="AQ26:AY26"/>
    <mergeCell ref="A27:B27"/>
    <mergeCell ref="C27:K27"/>
    <mergeCell ref="M27:U27"/>
    <mergeCell ref="W27:AE27"/>
    <mergeCell ref="AG27:AO27"/>
    <mergeCell ref="AQ51:AY51"/>
    <mergeCell ref="A28:B28"/>
    <mergeCell ref="C49:AZ49"/>
    <mergeCell ref="C50:K50"/>
    <mergeCell ref="M50:U50"/>
    <mergeCell ref="W50:AE50"/>
    <mergeCell ref="AG50:AO50"/>
    <mergeCell ref="AQ50:AY50"/>
    <mergeCell ref="A51:B51"/>
    <mergeCell ref="C51:K51"/>
    <mergeCell ref="M51:U51"/>
    <mergeCell ref="W51:AE51"/>
    <mergeCell ref="AG51:AO51"/>
    <mergeCell ref="AQ76:AY76"/>
    <mergeCell ref="A52:B52"/>
    <mergeCell ref="C73:AZ73"/>
    <mergeCell ref="C74:AY74"/>
    <mergeCell ref="C75:K75"/>
    <mergeCell ref="M75:U75"/>
    <mergeCell ref="W75:AE75"/>
    <mergeCell ref="AG75:AO75"/>
    <mergeCell ref="AQ75:AY75"/>
    <mergeCell ref="A76:B76"/>
    <mergeCell ref="C76:K76"/>
    <mergeCell ref="M76:U76"/>
    <mergeCell ref="W76:AE76"/>
    <mergeCell ref="AG76:AO76"/>
    <mergeCell ref="AQ100:AY100"/>
    <mergeCell ref="A77:B77"/>
    <mergeCell ref="C98:AZ98"/>
    <mergeCell ref="C99:K99"/>
    <mergeCell ref="M99:U99"/>
    <mergeCell ref="W99:AE99"/>
    <mergeCell ref="AG99:AO99"/>
    <mergeCell ref="AQ99:AY99"/>
    <mergeCell ref="A100:B100"/>
    <mergeCell ref="C100:K100"/>
    <mergeCell ref="M100:U100"/>
    <mergeCell ref="W100:AE100"/>
    <mergeCell ref="AG100:AO100"/>
    <mergeCell ref="A101:B101"/>
    <mergeCell ref="C122:AZ122"/>
    <mergeCell ref="C123:K123"/>
    <mergeCell ref="M123:U123"/>
    <mergeCell ref="W123:AE123"/>
    <mergeCell ref="AG123:AO123"/>
    <mergeCell ref="AQ123:AY123"/>
    <mergeCell ref="A125:B125"/>
    <mergeCell ref="C146:AZ146"/>
    <mergeCell ref="A124:B124"/>
    <mergeCell ref="C124:K124"/>
    <mergeCell ref="M124:U124"/>
    <mergeCell ref="W124:AE124"/>
    <mergeCell ref="AG124:AO124"/>
    <mergeCell ref="AQ124:AY1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3"/>
  <sheetViews>
    <sheetView workbookViewId="0">
      <selection activeCell="M31" sqref="A1:XFD1048576"/>
    </sheetView>
  </sheetViews>
  <sheetFormatPr defaultRowHeight="15" x14ac:dyDescent="0.25"/>
  <cols>
    <col min="1" max="1" width="34.140625" customWidth="1"/>
    <col min="2" max="2" width="5" customWidth="1"/>
    <col min="3" max="3" width="6" hidden="1" customWidth="1"/>
    <col min="4" max="4" width="6.7109375" customWidth="1"/>
    <col min="5" max="5" width="0.42578125" customWidth="1"/>
    <col min="6" max="6" width="5" customWidth="1"/>
    <col min="7" max="7" width="5.7109375" style="1" hidden="1" customWidth="1"/>
    <col min="8" max="8" width="6.7109375" customWidth="1"/>
    <col min="9" max="9" width="0.42578125" customWidth="1"/>
    <col min="10" max="10" width="5" customWidth="1"/>
    <col min="11" max="11" width="6" style="1" hidden="1" customWidth="1"/>
    <col min="12" max="12" width="6.7109375" customWidth="1"/>
    <col min="13" max="13" width="0.42578125" customWidth="1"/>
    <col min="14" max="14" width="5" customWidth="1"/>
    <col min="15" max="15" width="6" style="1" hidden="1" customWidth="1"/>
    <col min="16" max="16" width="6.7109375" customWidth="1"/>
    <col min="17" max="17" width="0.42578125" customWidth="1"/>
    <col min="18" max="18" width="5" customWidth="1"/>
    <col min="19" max="19" width="6" hidden="1" customWidth="1"/>
    <col min="20" max="20" width="6.7109375" customWidth="1"/>
    <col min="21" max="21" width="0.42578125" customWidth="1"/>
    <col min="22" max="22" width="5" customWidth="1"/>
    <col min="23" max="23" width="6" hidden="1" customWidth="1"/>
    <col min="24" max="24" width="6.7109375" customWidth="1"/>
    <col min="25" max="25" width="0.42578125" customWidth="1"/>
    <col min="26" max="26" width="5" customWidth="1"/>
    <col min="27" max="27" width="6" hidden="1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0" ht="18.75" customHeight="1" x14ac:dyDescent="0.25">
      <c r="A1" s="208" t="s">
        <v>143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</row>
    <row r="2" spans="1:30" ht="12" customHeight="1" x14ac:dyDescent="0.25">
      <c r="A2" s="225" t="s">
        <v>74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D2" s="45"/>
    </row>
    <row r="3" spans="1:30" x14ac:dyDescent="0.25">
      <c r="A3" s="46"/>
      <c r="B3" s="47" t="s">
        <v>75</v>
      </c>
      <c r="C3" s="168" t="s">
        <v>88</v>
      </c>
      <c r="D3" s="207" t="s">
        <v>81</v>
      </c>
      <c r="E3" s="46"/>
      <c r="F3" s="47" t="s">
        <v>75</v>
      </c>
      <c r="G3" s="169" t="s">
        <v>88</v>
      </c>
      <c r="H3" s="207" t="s">
        <v>82</v>
      </c>
      <c r="I3" s="46"/>
      <c r="J3" s="47" t="s">
        <v>75</v>
      </c>
      <c r="K3" s="169" t="s">
        <v>88</v>
      </c>
      <c r="L3" s="207" t="s">
        <v>83</v>
      </c>
      <c r="M3" s="51"/>
      <c r="N3" s="47" t="s">
        <v>75</v>
      </c>
      <c r="O3" s="169" t="s">
        <v>88</v>
      </c>
      <c r="P3" s="207" t="s">
        <v>84</v>
      </c>
      <c r="Q3" s="51"/>
      <c r="R3" s="47" t="s">
        <v>75</v>
      </c>
      <c r="S3" s="169" t="s">
        <v>88</v>
      </c>
      <c r="T3" s="207" t="s">
        <v>85</v>
      </c>
      <c r="U3" s="51"/>
      <c r="V3" s="47" t="s">
        <v>75</v>
      </c>
      <c r="W3" s="168" t="s">
        <v>88</v>
      </c>
      <c r="X3" s="207" t="s">
        <v>144</v>
      </c>
      <c r="Y3" s="51"/>
      <c r="Z3" s="47" t="s">
        <v>75</v>
      </c>
      <c r="AA3" s="168" t="s">
        <v>88</v>
      </c>
      <c r="AB3" s="207" t="s">
        <v>145</v>
      </c>
      <c r="AD3" s="45"/>
    </row>
    <row r="4" spans="1:30" ht="11.25" customHeight="1" x14ac:dyDescent="0.25">
      <c r="A4" s="52" t="s">
        <v>86</v>
      </c>
      <c r="B4" s="53" t="s">
        <v>87</v>
      </c>
      <c r="C4" s="170"/>
      <c r="D4" s="207"/>
      <c r="E4" s="52"/>
      <c r="F4" s="53" t="s">
        <v>87</v>
      </c>
      <c r="G4" s="171"/>
      <c r="H4" s="207"/>
      <c r="I4" s="52"/>
      <c r="J4" s="53" t="s">
        <v>87</v>
      </c>
      <c r="K4" s="171"/>
      <c r="L4" s="207"/>
      <c r="M4" s="58"/>
      <c r="N4" s="53" t="s">
        <v>87</v>
      </c>
      <c r="O4" s="171"/>
      <c r="P4" s="207"/>
      <c r="Q4" s="58"/>
      <c r="R4" s="53" t="s">
        <v>87</v>
      </c>
      <c r="S4" s="171"/>
      <c r="T4" s="207"/>
      <c r="U4" s="58"/>
      <c r="V4" s="53" t="s">
        <v>87</v>
      </c>
      <c r="W4" s="170"/>
      <c r="X4" s="207"/>
      <c r="Y4" s="58"/>
      <c r="Z4" s="53" t="s">
        <v>87</v>
      </c>
      <c r="AA4" s="170"/>
      <c r="AB4" s="207"/>
      <c r="AD4" s="45"/>
    </row>
    <row r="5" spans="1:30" ht="11.25" customHeight="1" x14ac:dyDescent="0.25">
      <c r="A5" s="59"/>
      <c r="B5" s="60" t="s">
        <v>89</v>
      </c>
      <c r="C5" s="172" t="s">
        <v>90</v>
      </c>
      <c r="D5" s="207"/>
      <c r="E5" s="52"/>
      <c r="F5" s="173" t="s">
        <v>89</v>
      </c>
      <c r="G5" s="174" t="s">
        <v>90</v>
      </c>
      <c r="H5" s="207"/>
      <c r="I5" s="52"/>
      <c r="J5" s="60" t="s">
        <v>89</v>
      </c>
      <c r="K5" s="174" t="s">
        <v>90</v>
      </c>
      <c r="L5" s="207"/>
      <c r="M5" s="58"/>
      <c r="N5" s="60" t="s">
        <v>89</v>
      </c>
      <c r="O5" s="174" t="s">
        <v>90</v>
      </c>
      <c r="P5" s="207"/>
      <c r="Q5" s="58"/>
      <c r="R5" s="60" t="s">
        <v>89</v>
      </c>
      <c r="S5" s="174" t="s">
        <v>90</v>
      </c>
      <c r="T5" s="207"/>
      <c r="U5" s="58"/>
      <c r="V5" s="60" t="s">
        <v>89</v>
      </c>
      <c r="W5" s="172" t="s">
        <v>90</v>
      </c>
      <c r="X5" s="207"/>
      <c r="Y5" s="58"/>
      <c r="Z5" s="60" t="s">
        <v>89</v>
      </c>
      <c r="AA5" s="172" t="s">
        <v>90</v>
      </c>
      <c r="AB5" s="207"/>
      <c r="AD5" s="45"/>
    </row>
    <row r="6" spans="1:30" s="1" customFormat="1" ht="12" customHeight="1" x14ac:dyDescent="0.25">
      <c r="A6" s="65" t="s">
        <v>146</v>
      </c>
      <c r="B6" s="75">
        <v>3384</v>
      </c>
      <c r="C6" s="175">
        <v>3.8399999999999997E-2</v>
      </c>
      <c r="D6" s="176">
        <f t="shared" ref="D6:D16" si="0">(B6*C6)/2</f>
        <v>64.972799999999992</v>
      </c>
      <c r="E6" s="177"/>
      <c r="F6" s="75">
        <v>3168</v>
      </c>
      <c r="G6" s="76">
        <v>3.5799999999999998E-2</v>
      </c>
      <c r="H6" s="176">
        <f t="shared" ref="H6:H16" si="1">(F6*G6)/2</f>
        <v>56.7072</v>
      </c>
      <c r="I6" s="78"/>
      <c r="J6" s="75">
        <v>3052</v>
      </c>
      <c r="K6" s="76"/>
      <c r="L6" s="176">
        <f t="shared" ref="L6:L16" si="2">(J6*K6)/2</f>
        <v>0</v>
      </c>
      <c r="M6" s="78"/>
      <c r="N6" s="75">
        <v>2928</v>
      </c>
      <c r="O6" s="76"/>
      <c r="P6" s="176">
        <f t="shared" ref="P6:P16" si="3">(N6*O6)/2</f>
        <v>0</v>
      </c>
      <c r="Q6" s="79"/>
      <c r="R6" s="75">
        <v>2712</v>
      </c>
      <c r="S6" s="178"/>
      <c r="T6" s="176">
        <f t="shared" ref="T6:T16" si="4">(R6*S6)/2</f>
        <v>0</v>
      </c>
      <c r="U6" s="79"/>
      <c r="V6" s="75">
        <v>2472</v>
      </c>
      <c r="W6" s="76"/>
      <c r="X6" s="176">
        <f t="shared" ref="X6:X16" si="5">(V6*W6)/2</f>
        <v>0</v>
      </c>
      <c r="Y6" s="79"/>
      <c r="Z6" s="75">
        <v>2256</v>
      </c>
      <c r="AA6" s="76"/>
      <c r="AB6" s="176">
        <f t="shared" ref="AB6:AB16" si="6">(Z6*AA6)/2</f>
        <v>0</v>
      </c>
      <c r="AD6" s="84"/>
    </row>
    <row r="7" spans="1:30" s="1" customFormat="1" ht="12" customHeight="1" x14ac:dyDescent="0.25">
      <c r="A7" s="74" t="s">
        <v>147</v>
      </c>
      <c r="B7" s="75">
        <v>3384</v>
      </c>
      <c r="C7" s="179">
        <v>5.7599999999999998E-2</v>
      </c>
      <c r="D7" s="180">
        <f t="shared" si="0"/>
        <v>97.459199999999996</v>
      </c>
      <c r="E7" s="181"/>
      <c r="F7" s="75">
        <v>3168</v>
      </c>
      <c r="G7" s="76">
        <v>5.3699999999999998E-2</v>
      </c>
      <c r="H7" s="180">
        <f t="shared" si="1"/>
        <v>85.0608</v>
      </c>
      <c r="I7" s="78"/>
      <c r="J7" s="75">
        <v>3052</v>
      </c>
      <c r="K7" s="76">
        <v>5.1700000000000003E-2</v>
      </c>
      <c r="L7" s="180">
        <f t="shared" si="2"/>
        <v>78.894199999999998</v>
      </c>
      <c r="M7" s="78"/>
      <c r="N7" s="75">
        <v>2928</v>
      </c>
      <c r="O7" s="76"/>
      <c r="P7" s="180">
        <f t="shared" si="3"/>
        <v>0</v>
      </c>
      <c r="Q7" s="79"/>
      <c r="R7" s="75">
        <v>2712</v>
      </c>
      <c r="S7" s="76"/>
      <c r="T7" s="180">
        <f t="shared" si="4"/>
        <v>0</v>
      </c>
      <c r="U7" s="79"/>
      <c r="V7" s="75">
        <v>2472</v>
      </c>
      <c r="W7" s="76"/>
      <c r="X7" s="180">
        <f t="shared" si="5"/>
        <v>0</v>
      </c>
      <c r="Y7" s="79"/>
      <c r="Z7" s="75">
        <v>2256</v>
      </c>
      <c r="AA7" s="76"/>
      <c r="AB7" s="180">
        <f t="shared" si="6"/>
        <v>0</v>
      </c>
      <c r="AD7" s="84"/>
    </row>
    <row r="8" spans="1:30" s="1" customFormat="1" ht="12" customHeight="1" x14ac:dyDescent="0.25">
      <c r="A8" s="65" t="s">
        <v>148</v>
      </c>
      <c r="B8" s="75">
        <v>3384</v>
      </c>
      <c r="C8" s="179">
        <v>6.4000000000000001E-2</v>
      </c>
      <c r="D8" s="176">
        <f t="shared" si="0"/>
        <v>108.288</v>
      </c>
      <c r="E8" s="181"/>
      <c r="F8" s="75">
        <v>3168</v>
      </c>
      <c r="G8" s="76">
        <v>5.9700000000000003E-2</v>
      </c>
      <c r="H8" s="176">
        <f t="shared" si="1"/>
        <v>94.564800000000005</v>
      </c>
      <c r="I8" s="78"/>
      <c r="J8" s="75">
        <v>3052</v>
      </c>
      <c r="K8" s="76">
        <v>5.7500000000000002E-2</v>
      </c>
      <c r="L8" s="176">
        <f t="shared" si="2"/>
        <v>87.745000000000005</v>
      </c>
      <c r="M8" s="78"/>
      <c r="N8" s="75">
        <v>2928</v>
      </c>
      <c r="O8" s="76">
        <v>5.5300000000000002E-2</v>
      </c>
      <c r="P8" s="176">
        <f t="shared" si="3"/>
        <v>80.95920000000001</v>
      </c>
      <c r="Q8" s="79"/>
      <c r="R8" s="75">
        <v>2712</v>
      </c>
      <c r="S8" s="76"/>
      <c r="T8" s="176">
        <f t="shared" si="4"/>
        <v>0</v>
      </c>
      <c r="U8" s="79"/>
      <c r="V8" s="75">
        <v>2472</v>
      </c>
      <c r="W8" s="76"/>
      <c r="X8" s="176">
        <f t="shared" si="5"/>
        <v>0</v>
      </c>
      <c r="Y8" s="79"/>
      <c r="Z8" s="75">
        <v>2256</v>
      </c>
      <c r="AA8" s="76"/>
      <c r="AB8" s="176">
        <f t="shared" si="6"/>
        <v>0</v>
      </c>
      <c r="AD8" s="84"/>
    </row>
    <row r="9" spans="1:30" s="1" customFormat="1" ht="12" customHeight="1" x14ac:dyDescent="0.25">
      <c r="A9" s="74" t="s">
        <v>149</v>
      </c>
      <c r="B9" s="75">
        <v>3384</v>
      </c>
      <c r="C9" s="179">
        <v>6.7799999999999999E-2</v>
      </c>
      <c r="D9" s="180">
        <f t="shared" si="0"/>
        <v>114.7176</v>
      </c>
      <c r="E9" s="181"/>
      <c r="F9" s="75">
        <v>3168</v>
      </c>
      <c r="G9" s="76">
        <v>6.3200000000000006E-2</v>
      </c>
      <c r="H9" s="180">
        <f t="shared" si="1"/>
        <v>100.10880000000002</v>
      </c>
      <c r="I9" s="78"/>
      <c r="J9" s="75">
        <v>3052</v>
      </c>
      <c r="K9" s="76">
        <v>6.0900000000000003E-2</v>
      </c>
      <c r="L9" s="180">
        <f t="shared" si="2"/>
        <v>92.933400000000006</v>
      </c>
      <c r="M9" s="78"/>
      <c r="N9" s="75">
        <v>2928</v>
      </c>
      <c r="O9" s="76">
        <v>5.8599999999999999E-2</v>
      </c>
      <c r="P9" s="180">
        <f t="shared" si="3"/>
        <v>85.790400000000005</v>
      </c>
      <c r="Q9" s="79"/>
      <c r="R9" s="75">
        <v>2712</v>
      </c>
      <c r="S9" s="76">
        <v>5.4100000000000002E-2</v>
      </c>
      <c r="T9" s="180">
        <f t="shared" si="4"/>
        <v>73.3596</v>
      </c>
      <c r="U9" s="79"/>
      <c r="V9" s="75">
        <v>2472</v>
      </c>
      <c r="W9" s="76"/>
      <c r="X9" s="180">
        <f t="shared" si="5"/>
        <v>0</v>
      </c>
      <c r="Y9" s="79"/>
      <c r="Z9" s="75">
        <v>2256</v>
      </c>
      <c r="AA9" s="76"/>
      <c r="AB9" s="180">
        <f t="shared" si="6"/>
        <v>0</v>
      </c>
      <c r="AD9" s="84"/>
    </row>
    <row r="10" spans="1:30" ht="12" customHeight="1" x14ac:dyDescent="0.25">
      <c r="A10" s="65" t="s">
        <v>150</v>
      </c>
      <c r="B10" s="75">
        <v>3384</v>
      </c>
      <c r="C10" s="179">
        <v>7.1999999999999995E-2</v>
      </c>
      <c r="D10" s="176">
        <f t="shared" si="0"/>
        <v>121.82399999999998</v>
      </c>
      <c r="E10" s="182"/>
      <c r="F10" s="75">
        <v>3168</v>
      </c>
      <c r="G10" s="76">
        <v>6.7100000000000007E-2</v>
      </c>
      <c r="H10" s="176">
        <f t="shared" si="1"/>
        <v>106.28640000000001</v>
      </c>
      <c r="I10" s="68"/>
      <c r="J10" s="75">
        <v>3052</v>
      </c>
      <c r="K10" s="76">
        <v>6.4699999999999994E-2</v>
      </c>
      <c r="L10" s="176">
        <f t="shared" si="2"/>
        <v>98.732199999999992</v>
      </c>
      <c r="M10" s="68"/>
      <c r="N10" s="75">
        <v>2928</v>
      </c>
      <c r="O10" s="76">
        <v>6.2300000000000001E-2</v>
      </c>
      <c r="P10" s="176">
        <f t="shared" si="3"/>
        <v>91.2072</v>
      </c>
      <c r="Q10" s="58"/>
      <c r="R10" s="75">
        <v>2712</v>
      </c>
      <c r="S10" s="76">
        <v>5.8000000000000003E-2</v>
      </c>
      <c r="T10" s="176">
        <f t="shared" si="4"/>
        <v>78.64800000000001</v>
      </c>
      <c r="U10" s="58"/>
      <c r="V10" s="75">
        <v>2472</v>
      </c>
      <c r="W10" s="76"/>
      <c r="X10" s="176">
        <f t="shared" si="5"/>
        <v>0</v>
      </c>
      <c r="Y10" s="58"/>
      <c r="Z10" s="75">
        <v>2256</v>
      </c>
      <c r="AA10" s="76"/>
      <c r="AB10" s="176">
        <f t="shared" si="6"/>
        <v>0</v>
      </c>
      <c r="AD10" s="45"/>
    </row>
    <row r="11" spans="1:30" ht="12" customHeight="1" x14ac:dyDescent="0.25">
      <c r="A11" s="74" t="s">
        <v>151</v>
      </c>
      <c r="B11" s="75">
        <v>3384</v>
      </c>
      <c r="C11" s="179"/>
      <c r="D11" s="180">
        <f t="shared" si="0"/>
        <v>0</v>
      </c>
      <c r="E11" s="181"/>
      <c r="F11" s="75">
        <v>3168</v>
      </c>
      <c r="G11" s="76">
        <v>7.1599999999999997E-2</v>
      </c>
      <c r="H11" s="180">
        <f t="shared" si="1"/>
        <v>113.4144</v>
      </c>
      <c r="I11" s="78"/>
      <c r="J11" s="75">
        <v>3052</v>
      </c>
      <c r="K11" s="76">
        <v>6.9000000000000006E-2</v>
      </c>
      <c r="L11" s="180">
        <f t="shared" si="2"/>
        <v>105.29400000000001</v>
      </c>
      <c r="M11" s="78"/>
      <c r="N11" s="75">
        <v>2928</v>
      </c>
      <c r="O11" s="76">
        <v>6.6400000000000001E-2</v>
      </c>
      <c r="P11" s="180">
        <f t="shared" si="3"/>
        <v>97.209599999999995</v>
      </c>
      <c r="Q11" s="79"/>
      <c r="R11" s="75">
        <v>2712</v>
      </c>
      <c r="S11" s="76">
        <v>6.1899999999999997E-2</v>
      </c>
      <c r="T11" s="180">
        <f t="shared" si="4"/>
        <v>83.936399999999992</v>
      </c>
      <c r="U11" s="79"/>
      <c r="V11" s="75">
        <v>2472</v>
      </c>
      <c r="W11" s="76">
        <v>5.62E-2</v>
      </c>
      <c r="X11" s="180">
        <f t="shared" si="5"/>
        <v>69.463200000000001</v>
      </c>
      <c r="Y11" s="79"/>
      <c r="Z11" s="75">
        <v>2256</v>
      </c>
      <c r="AA11" s="76"/>
      <c r="AB11" s="180">
        <f t="shared" si="6"/>
        <v>0</v>
      </c>
      <c r="AD11" s="45"/>
    </row>
    <row r="12" spans="1:30" ht="12" customHeight="1" x14ac:dyDescent="0.25">
      <c r="A12" s="65" t="s">
        <v>152</v>
      </c>
      <c r="B12" s="75">
        <v>3384</v>
      </c>
      <c r="C12" s="179"/>
      <c r="D12" s="176">
        <f t="shared" si="0"/>
        <v>0</v>
      </c>
      <c r="E12" s="181"/>
      <c r="F12" s="75">
        <v>3168</v>
      </c>
      <c r="G12" s="183">
        <v>7.6700000000000004E-2</v>
      </c>
      <c r="H12" s="176">
        <f t="shared" si="1"/>
        <v>121.4928</v>
      </c>
      <c r="I12" s="88"/>
      <c r="J12" s="75">
        <v>3052</v>
      </c>
      <c r="K12" s="183">
        <v>7.3899999999999993E-2</v>
      </c>
      <c r="L12" s="176">
        <f t="shared" si="2"/>
        <v>112.77139999999999</v>
      </c>
      <c r="M12" s="88"/>
      <c r="N12" s="75">
        <v>2928</v>
      </c>
      <c r="O12" s="183">
        <v>7.1199999999999999E-2</v>
      </c>
      <c r="P12" s="176">
        <f t="shared" si="3"/>
        <v>104.2368</v>
      </c>
      <c r="Q12" s="58"/>
      <c r="R12" s="75">
        <v>2712</v>
      </c>
      <c r="S12" s="183">
        <v>6.6299999999999998E-2</v>
      </c>
      <c r="T12" s="176">
        <f t="shared" si="4"/>
        <v>89.902799999999999</v>
      </c>
      <c r="U12" s="58"/>
      <c r="V12" s="75">
        <v>2472</v>
      </c>
      <c r="W12" s="183">
        <v>6.0199999999999997E-2</v>
      </c>
      <c r="X12" s="176">
        <f t="shared" si="5"/>
        <v>74.407199999999989</v>
      </c>
      <c r="Y12" s="58"/>
      <c r="Z12" s="75">
        <v>2256</v>
      </c>
      <c r="AA12" s="183">
        <v>5.5300000000000002E-2</v>
      </c>
      <c r="AB12" s="176">
        <f t="shared" si="6"/>
        <v>62.378399999999999</v>
      </c>
      <c r="AD12" s="45"/>
    </row>
    <row r="13" spans="1:30" ht="12" customHeight="1" x14ac:dyDescent="0.25">
      <c r="A13" s="74" t="s">
        <v>153</v>
      </c>
      <c r="B13" s="75">
        <v>3384</v>
      </c>
      <c r="C13" s="179"/>
      <c r="D13" s="180">
        <f t="shared" si="0"/>
        <v>0</v>
      </c>
      <c r="E13" s="181"/>
      <c r="F13" s="75">
        <v>3168</v>
      </c>
      <c r="G13" s="184">
        <v>8.2600000000000007E-2</v>
      </c>
      <c r="H13" s="180">
        <f t="shared" si="1"/>
        <v>130.83840000000001</v>
      </c>
      <c r="I13" s="78"/>
      <c r="J13" s="75">
        <v>3052</v>
      </c>
      <c r="K13" s="184">
        <v>7.9600000000000004E-2</v>
      </c>
      <c r="L13" s="180">
        <f t="shared" si="2"/>
        <v>121.4696</v>
      </c>
      <c r="M13" s="78"/>
      <c r="N13" s="75">
        <v>2928</v>
      </c>
      <c r="O13" s="184">
        <v>7.7100000000000002E-2</v>
      </c>
      <c r="P13" s="180">
        <f t="shared" si="3"/>
        <v>112.87440000000001</v>
      </c>
      <c r="Q13" s="79"/>
      <c r="R13" s="75">
        <v>2712</v>
      </c>
      <c r="S13" s="184">
        <v>7.1400000000000005E-2</v>
      </c>
      <c r="T13" s="180">
        <f t="shared" si="4"/>
        <v>96.818400000000011</v>
      </c>
      <c r="U13" s="79"/>
      <c r="V13" s="75">
        <v>2472</v>
      </c>
      <c r="W13" s="184">
        <v>6.4799999999999996E-2</v>
      </c>
      <c r="X13" s="180">
        <f t="shared" si="5"/>
        <v>80.092799999999997</v>
      </c>
      <c r="Y13" s="79"/>
      <c r="Z13" s="75">
        <v>2256</v>
      </c>
      <c r="AA13" s="184">
        <v>5.8999999999999997E-2</v>
      </c>
      <c r="AB13" s="180">
        <f t="shared" si="6"/>
        <v>66.551999999999992</v>
      </c>
      <c r="AC13" s="1"/>
      <c r="AD13" s="45"/>
    </row>
    <row r="14" spans="1:30" ht="12" customHeight="1" x14ac:dyDescent="0.25">
      <c r="A14" s="68" t="s">
        <v>154</v>
      </c>
      <c r="B14" s="75">
        <v>3384</v>
      </c>
      <c r="C14" s="179"/>
      <c r="D14" s="176">
        <f t="shared" si="0"/>
        <v>0</v>
      </c>
      <c r="E14" s="182"/>
      <c r="F14" s="75">
        <v>3168</v>
      </c>
      <c r="G14" s="183"/>
      <c r="H14" s="176">
        <f t="shared" si="1"/>
        <v>0</v>
      </c>
      <c r="I14" s="68"/>
      <c r="J14" s="75">
        <v>3052</v>
      </c>
      <c r="K14" s="183">
        <v>8.6199999999999999E-2</v>
      </c>
      <c r="L14" s="176">
        <f t="shared" si="2"/>
        <v>131.5412</v>
      </c>
      <c r="M14" s="68"/>
      <c r="N14" s="75">
        <v>2928</v>
      </c>
      <c r="O14" s="184">
        <v>8.3000000000000004E-2</v>
      </c>
      <c r="P14" s="176">
        <f t="shared" si="3"/>
        <v>121.512</v>
      </c>
      <c r="Q14" s="58"/>
      <c r="R14" s="75">
        <v>2712</v>
      </c>
      <c r="S14" s="183">
        <v>7.6600000000000001E-2</v>
      </c>
      <c r="T14" s="176">
        <f t="shared" si="4"/>
        <v>103.86960000000001</v>
      </c>
      <c r="U14" s="58"/>
      <c r="V14" s="75">
        <v>2472</v>
      </c>
      <c r="W14" s="183">
        <v>8.4400000000000003E-2</v>
      </c>
      <c r="X14" s="176">
        <f t="shared" si="5"/>
        <v>104.3184</v>
      </c>
      <c r="Y14" s="58"/>
      <c r="Z14" s="75">
        <v>2256</v>
      </c>
      <c r="AA14" s="183">
        <v>7.6600000000000001E-2</v>
      </c>
      <c r="AB14" s="176">
        <f t="shared" si="6"/>
        <v>86.404799999999994</v>
      </c>
      <c r="AD14" s="45"/>
    </row>
    <row r="15" spans="1:30" ht="12" customHeight="1" x14ac:dyDescent="0.25">
      <c r="A15" s="78" t="s">
        <v>155</v>
      </c>
      <c r="B15" s="75">
        <v>3384</v>
      </c>
      <c r="C15" s="179"/>
      <c r="D15" s="180">
        <f t="shared" si="0"/>
        <v>0</v>
      </c>
      <c r="E15" s="185"/>
      <c r="F15" s="75">
        <v>3168</v>
      </c>
      <c r="G15" s="76"/>
      <c r="H15" s="180">
        <f t="shared" si="1"/>
        <v>0</v>
      </c>
      <c r="I15" s="92"/>
      <c r="J15" s="75">
        <v>3052</v>
      </c>
      <c r="K15" s="76"/>
      <c r="L15" s="180">
        <f t="shared" si="2"/>
        <v>0</v>
      </c>
      <c r="M15" s="92"/>
      <c r="N15" s="75">
        <v>2928</v>
      </c>
      <c r="O15" s="84"/>
      <c r="P15" s="180">
        <f t="shared" si="3"/>
        <v>0</v>
      </c>
      <c r="Q15" s="93"/>
      <c r="R15" s="75">
        <v>2712</v>
      </c>
      <c r="S15" s="84">
        <v>9.2399999999999996E-2</v>
      </c>
      <c r="T15" s="180">
        <f t="shared" si="4"/>
        <v>125.2944</v>
      </c>
      <c r="U15" s="93"/>
      <c r="V15" s="75">
        <v>2472</v>
      </c>
      <c r="W15" s="146">
        <v>8.4699999999999998E-2</v>
      </c>
      <c r="X15" s="180">
        <f t="shared" si="5"/>
        <v>104.6892</v>
      </c>
      <c r="Y15" s="93"/>
      <c r="Z15" s="75">
        <v>2256</v>
      </c>
      <c r="AA15" s="84">
        <v>7.6999999999999999E-2</v>
      </c>
      <c r="AB15" s="180">
        <f t="shared" si="6"/>
        <v>86.855999999999995</v>
      </c>
      <c r="AD15" s="45"/>
    </row>
    <row r="16" spans="1:30" ht="12" customHeight="1" x14ac:dyDescent="0.25">
      <c r="A16" s="186" t="s">
        <v>156</v>
      </c>
      <c r="B16" s="75">
        <v>3384</v>
      </c>
      <c r="C16" s="187"/>
      <c r="D16" s="188">
        <f t="shared" si="0"/>
        <v>0</v>
      </c>
      <c r="E16" s="185"/>
      <c r="F16" s="75">
        <v>3168</v>
      </c>
      <c r="G16" s="189"/>
      <c r="H16" s="188">
        <f t="shared" si="1"/>
        <v>0</v>
      </c>
      <c r="I16" s="92"/>
      <c r="J16" s="75">
        <v>3052</v>
      </c>
      <c r="K16" s="189"/>
      <c r="L16" s="188">
        <f t="shared" si="2"/>
        <v>0</v>
      </c>
      <c r="M16" s="92"/>
      <c r="N16" s="75">
        <v>2928</v>
      </c>
      <c r="O16" s="84"/>
      <c r="P16" s="188">
        <f t="shared" si="3"/>
        <v>0</v>
      </c>
      <c r="Q16" s="93"/>
      <c r="R16" s="75">
        <v>2712</v>
      </c>
      <c r="S16" s="112">
        <v>9.5600000000000004E-2</v>
      </c>
      <c r="T16" s="188">
        <f t="shared" si="4"/>
        <v>129.6336</v>
      </c>
      <c r="U16" s="93"/>
      <c r="V16" s="75">
        <v>2472</v>
      </c>
      <c r="W16" s="146">
        <v>8.77E-2</v>
      </c>
      <c r="X16" s="188">
        <f t="shared" si="5"/>
        <v>108.3972</v>
      </c>
      <c r="Y16" s="93"/>
      <c r="Z16" s="75">
        <v>2256</v>
      </c>
      <c r="AA16" s="84">
        <v>7.9699999999999993E-2</v>
      </c>
      <c r="AB16" s="188">
        <f t="shared" si="6"/>
        <v>89.901599999999988</v>
      </c>
      <c r="AD16" s="45"/>
    </row>
    <row r="17" spans="1:30" ht="12" customHeight="1" x14ac:dyDescent="0.25">
      <c r="A17" s="224" t="s">
        <v>102</v>
      </c>
      <c r="B17" s="224"/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D17" s="45"/>
    </row>
    <row r="18" spans="1:30" x14ac:dyDescent="0.25">
      <c r="A18" s="94"/>
      <c r="B18" s="47" t="s">
        <v>75</v>
      </c>
      <c r="C18" s="168" t="s">
        <v>88</v>
      </c>
      <c r="D18" s="207" t="s">
        <v>81</v>
      </c>
      <c r="E18" s="46"/>
      <c r="F18" s="47" t="s">
        <v>75</v>
      </c>
      <c r="G18" s="169" t="s">
        <v>88</v>
      </c>
      <c r="H18" s="207" t="s">
        <v>82</v>
      </c>
      <c r="I18" s="46"/>
      <c r="J18" s="47" t="s">
        <v>75</v>
      </c>
      <c r="K18" s="169" t="s">
        <v>88</v>
      </c>
      <c r="L18" s="207" t="s">
        <v>83</v>
      </c>
      <c r="M18" s="51"/>
      <c r="N18" s="47" t="s">
        <v>75</v>
      </c>
      <c r="O18" s="169" t="s">
        <v>88</v>
      </c>
      <c r="P18" s="207" t="s">
        <v>84</v>
      </c>
      <c r="Q18" s="51"/>
      <c r="R18" s="47" t="s">
        <v>75</v>
      </c>
      <c r="S18" s="169" t="s">
        <v>88</v>
      </c>
      <c r="T18" s="207" t="s">
        <v>85</v>
      </c>
      <c r="U18" s="51"/>
      <c r="V18" s="47" t="s">
        <v>75</v>
      </c>
      <c r="W18" s="168" t="s">
        <v>88</v>
      </c>
      <c r="X18" s="207" t="s">
        <v>144</v>
      </c>
      <c r="Y18" s="51"/>
      <c r="Z18" s="47" t="s">
        <v>75</v>
      </c>
      <c r="AA18" s="168" t="s">
        <v>88</v>
      </c>
      <c r="AB18" s="207" t="s">
        <v>145</v>
      </c>
      <c r="AD18" s="45"/>
    </row>
    <row r="19" spans="1:30" ht="11.25" customHeight="1" x14ac:dyDescent="0.25">
      <c r="A19" s="52" t="s">
        <v>86</v>
      </c>
      <c r="B19" s="53" t="s">
        <v>87</v>
      </c>
      <c r="C19" s="170"/>
      <c r="D19" s="207"/>
      <c r="E19" s="52"/>
      <c r="F19" s="53" t="s">
        <v>87</v>
      </c>
      <c r="G19" s="171"/>
      <c r="H19" s="207"/>
      <c r="I19" s="52"/>
      <c r="J19" s="53" t="s">
        <v>87</v>
      </c>
      <c r="K19" s="171"/>
      <c r="L19" s="207"/>
      <c r="M19" s="58"/>
      <c r="N19" s="53" t="s">
        <v>87</v>
      </c>
      <c r="O19" s="171"/>
      <c r="P19" s="207"/>
      <c r="Q19" s="58"/>
      <c r="R19" s="53" t="s">
        <v>87</v>
      </c>
      <c r="S19" s="171"/>
      <c r="T19" s="207"/>
      <c r="U19" s="58"/>
      <c r="V19" s="53" t="s">
        <v>87</v>
      </c>
      <c r="W19" s="170"/>
      <c r="X19" s="207"/>
      <c r="Y19" s="58"/>
      <c r="Z19" s="53" t="s">
        <v>87</v>
      </c>
      <c r="AA19" s="170"/>
      <c r="AB19" s="207"/>
      <c r="AD19" s="45"/>
    </row>
    <row r="20" spans="1:30" ht="11.25" customHeight="1" x14ac:dyDescent="0.25">
      <c r="A20" s="98"/>
      <c r="B20" s="60" t="s">
        <v>89</v>
      </c>
      <c r="C20" s="172" t="s">
        <v>90</v>
      </c>
      <c r="D20" s="207"/>
      <c r="E20" s="52"/>
      <c r="F20" s="60" t="s">
        <v>89</v>
      </c>
      <c r="G20" s="174" t="s">
        <v>90</v>
      </c>
      <c r="H20" s="207"/>
      <c r="I20" s="52"/>
      <c r="J20" s="60" t="s">
        <v>89</v>
      </c>
      <c r="K20" s="174" t="s">
        <v>90</v>
      </c>
      <c r="L20" s="207"/>
      <c r="M20" s="58"/>
      <c r="N20" s="60" t="s">
        <v>89</v>
      </c>
      <c r="O20" s="174" t="s">
        <v>90</v>
      </c>
      <c r="P20" s="207"/>
      <c r="Q20" s="58"/>
      <c r="R20" s="60" t="s">
        <v>89</v>
      </c>
      <c r="S20" s="174" t="s">
        <v>90</v>
      </c>
      <c r="T20" s="207"/>
      <c r="U20" s="58"/>
      <c r="V20" s="60" t="s">
        <v>89</v>
      </c>
      <c r="W20" s="172" t="s">
        <v>90</v>
      </c>
      <c r="X20" s="207"/>
      <c r="Y20" s="58"/>
      <c r="Z20" s="60" t="s">
        <v>89</v>
      </c>
      <c r="AA20" s="172" t="s">
        <v>90</v>
      </c>
      <c r="AB20" s="207"/>
      <c r="AD20" s="45"/>
    </row>
    <row r="21" spans="1:30" ht="12" customHeight="1" x14ac:dyDescent="0.25">
      <c r="A21" s="65" t="s">
        <v>146</v>
      </c>
      <c r="B21" s="75">
        <v>3192</v>
      </c>
      <c r="C21" s="175">
        <v>3.8399999999999997E-2</v>
      </c>
      <c r="D21" s="190">
        <f t="shared" ref="D21:D31" si="7">(B21*C21)/2</f>
        <v>61.286399999999993</v>
      </c>
      <c r="E21" s="191"/>
      <c r="F21" s="75">
        <v>2976</v>
      </c>
      <c r="G21" s="76">
        <v>3.5799999999999998E-2</v>
      </c>
      <c r="H21" s="190">
        <f t="shared" ref="H21:H31" si="8">(F21*G21)/2</f>
        <v>53.270399999999995</v>
      </c>
      <c r="I21" s="58"/>
      <c r="J21" s="75">
        <v>2880</v>
      </c>
      <c r="K21" s="76"/>
      <c r="L21" s="190">
        <f t="shared" ref="L21:L31" si="9">(J21*K21)/2</f>
        <v>0</v>
      </c>
      <c r="M21" s="58"/>
      <c r="N21" s="75">
        <v>2760</v>
      </c>
      <c r="O21" s="76"/>
      <c r="P21" s="190">
        <f t="shared" ref="P21:P31" si="10">(N21*O21)/2</f>
        <v>0</v>
      </c>
      <c r="Q21" s="97"/>
      <c r="R21" s="75">
        <v>2544</v>
      </c>
      <c r="S21" s="178"/>
      <c r="T21" s="190">
        <f t="shared" ref="T21:T31" si="11">(R21*S21)/2</f>
        <v>0</v>
      </c>
      <c r="U21" s="97"/>
      <c r="V21" s="75">
        <v>2340</v>
      </c>
      <c r="W21" s="76"/>
      <c r="X21" s="190">
        <f t="shared" ref="X21:X31" si="12">(V21*W21)/2</f>
        <v>0</v>
      </c>
      <c r="Y21" s="97"/>
      <c r="Z21" s="75">
        <v>2136</v>
      </c>
      <c r="AA21" s="76"/>
      <c r="AB21" s="190">
        <f t="shared" ref="AB21:AB31" si="13">(Z21*AA21)/2</f>
        <v>0</v>
      </c>
      <c r="AD21" s="45"/>
    </row>
    <row r="22" spans="1:30" s="1" customFormat="1" ht="12" customHeight="1" x14ac:dyDescent="0.25">
      <c r="A22" s="74" t="s">
        <v>147</v>
      </c>
      <c r="B22" s="75">
        <v>3192</v>
      </c>
      <c r="C22" s="179">
        <v>5.7599999999999998E-2</v>
      </c>
      <c r="D22" s="180">
        <f t="shared" si="7"/>
        <v>91.929599999999994</v>
      </c>
      <c r="E22" s="74"/>
      <c r="F22" s="75">
        <v>2976</v>
      </c>
      <c r="G22" s="76">
        <v>5.3699999999999998E-2</v>
      </c>
      <c r="H22" s="180">
        <f t="shared" si="8"/>
        <v>79.905599999999993</v>
      </c>
      <c r="I22" s="79"/>
      <c r="J22" s="75">
        <v>2880</v>
      </c>
      <c r="K22" s="76">
        <v>5.1700000000000003E-2</v>
      </c>
      <c r="L22" s="180">
        <f t="shared" si="9"/>
        <v>74.448000000000008</v>
      </c>
      <c r="M22" s="79"/>
      <c r="N22" s="75">
        <v>2760</v>
      </c>
      <c r="O22" s="76"/>
      <c r="P22" s="180">
        <f t="shared" si="10"/>
        <v>0</v>
      </c>
      <c r="Q22" s="101"/>
      <c r="R22" s="75">
        <v>2544</v>
      </c>
      <c r="S22" s="76"/>
      <c r="T22" s="180">
        <f t="shared" si="11"/>
        <v>0</v>
      </c>
      <c r="U22" s="101"/>
      <c r="V22" s="75">
        <v>2340</v>
      </c>
      <c r="W22" s="76"/>
      <c r="X22" s="180">
        <f t="shared" si="12"/>
        <v>0</v>
      </c>
      <c r="Y22" s="101"/>
      <c r="Z22" s="75">
        <v>2136</v>
      </c>
      <c r="AA22" s="76"/>
      <c r="AB22" s="180">
        <f t="shared" si="13"/>
        <v>0</v>
      </c>
      <c r="AD22" s="45"/>
    </row>
    <row r="23" spans="1:30" ht="12" customHeight="1" x14ac:dyDescent="0.25">
      <c r="A23" s="65" t="s">
        <v>148</v>
      </c>
      <c r="B23" s="75">
        <v>3192</v>
      </c>
      <c r="C23" s="179">
        <v>6.4000000000000001E-2</v>
      </c>
      <c r="D23" s="176">
        <f t="shared" si="7"/>
        <v>102.14400000000001</v>
      </c>
      <c r="E23" s="65"/>
      <c r="F23" s="75">
        <v>2976</v>
      </c>
      <c r="G23" s="76">
        <v>5.9700000000000003E-2</v>
      </c>
      <c r="H23" s="176">
        <f t="shared" si="8"/>
        <v>88.833600000000004</v>
      </c>
      <c r="I23" s="68"/>
      <c r="J23" s="75">
        <v>2880</v>
      </c>
      <c r="K23" s="76">
        <v>5.7500000000000002E-2</v>
      </c>
      <c r="L23" s="176">
        <f t="shared" si="9"/>
        <v>82.8</v>
      </c>
      <c r="M23" s="68"/>
      <c r="N23" s="75">
        <v>2760</v>
      </c>
      <c r="O23" s="76">
        <v>5.5300000000000002E-2</v>
      </c>
      <c r="P23" s="176">
        <f t="shared" si="10"/>
        <v>76.314000000000007</v>
      </c>
      <c r="Q23" s="97"/>
      <c r="R23" s="75">
        <v>2544</v>
      </c>
      <c r="S23" s="76"/>
      <c r="T23" s="176">
        <f t="shared" si="11"/>
        <v>0</v>
      </c>
      <c r="U23" s="97"/>
      <c r="V23" s="75">
        <v>2340</v>
      </c>
      <c r="W23" s="76"/>
      <c r="X23" s="176">
        <f t="shared" si="12"/>
        <v>0</v>
      </c>
      <c r="Y23" s="97"/>
      <c r="Z23" s="75">
        <v>2136</v>
      </c>
      <c r="AA23" s="76"/>
      <c r="AB23" s="176">
        <f t="shared" si="13"/>
        <v>0</v>
      </c>
      <c r="AD23" s="45"/>
    </row>
    <row r="24" spans="1:30" ht="12" customHeight="1" x14ac:dyDescent="0.25">
      <c r="A24" s="74" t="s">
        <v>149</v>
      </c>
      <c r="B24" s="75">
        <v>3192</v>
      </c>
      <c r="C24" s="179">
        <v>6.7799999999999999E-2</v>
      </c>
      <c r="D24" s="180">
        <f t="shared" si="7"/>
        <v>108.2088</v>
      </c>
      <c r="E24" s="74"/>
      <c r="F24" s="75">
        <v>2976</v>
      </c>
      <c r="G24" s="76">
        <v>6.3200000000000006E-2</v>
      </c>
      <c r="H24" s="180">
        <f t="shared" si="8"/>
        <v>94.041600000000003</v>
      </c>
      <c r="I24" s="88"/>
      <c r="J24" s="75">
        <v>2880</v>
      </c>
      <c r="K24" s="76">
        <v>6.0900000000000003E-2</v>
      </c>
      <c r="L24" s="180">
        <f t="shared" si="9"/>
        <v>87.695999999999998</v>
      </c>
      <c r="M24" s="88"/>
      <c r="N24" s="75">
        <v>2760</v>
      </c>
      <c r="O24" s="76">
        <v>5.8599999999999999E-2</v>
      </c>
      <c r="P24" s="180">
        <f t="shared" si="10"/>
        <v>80.867999999999995</v>
      </c>
      <c r="Q24" s="97"/>
      <c r="R24" s="75">
        <v>2544</v>
      </c>
      <c r="S24" s="76">
        <v>5.4100000000000002E-2</v>
      </c>
      <c r="T24" s="180">
        <f t="shared" si="11"/>
        <v>68.815200000000004</v>
      </c>
      <c r="U24" s="97"/>
      <c r="V24" s="75">
        <v>2340</v>
      </c>
      <c r="W24" s="76"/>
      <c r="X24" s="180">
        <f t="shared" si="12"/>
        <v>0</v>
      </c>
      <c r="Y24" s="97"/>
      <c r="Z24" s="75">
        <v>2136</v>
      </c>
      <c r="AA24" s="76"/>
      <c r="AB24" s="180">
        <f t="shared" si="13"/>
        <v>0</v>
      </c>
      <c r="AD24" s="45"/>
    </row>
    <row r="25" spans="1:30" ht="12" customHeight="1" x14ac:dyDescent="0.25">
      <c r="A25" s="65" t="s">
        <v>150</v>
      </c>
      <c r="B25" s="75">
        <v>3192</v>
      </c>
      <c r="C25" s="179">
        <v>7.1999999999999995E-2</v>
      </c>
      <c r="D25" s="176">
        <f t="shared" si="7"/>
        <v>114.91199999999999</v>
      </c>
      <c r="E25" s="65"/>
      <c r="F25" s="75">
        <v>2976</v>
      </c>
      <c r="G25" s="76">
        <v>6.7100000000000007E-2</v>
      </c>
      <c r="H25" s="176">
        <f t="shared" si="8"/>
        <v>99.844800000000006</v>
      </c>
      <c r="I25" s="68"/>
      <c r="J25" s="75">
        <v>2880</v>
      </c>
      <c r="K25" s="76">
        <v>6.4699999999999994E-2</v>
      </c>
      <c r="L25" s="176">
        <f t="shared" si="9"/>
        <v>93.167999999999992</v>
      </c>
      <c r="M25" s="68"/>
      <c r="N25" s="75">
        <v>2760</v>
      </c>
      <c r="O25" s="76">
        <v>6.2300000000000001E-2</v>
      </c>
      <c r="P25" s="176">
        <f t="shared" si="10"/>
        <v>85.974000000000004</v>
      </c>
      <c r="Q25" s="97"/>
      <c r="R25" s="75">
        <v>2544</v>
      </c>
      <c r="S25" s="76">
        <v>5.8000000000000003E-2</v>
      </c>
      <c r="T25" s="176">
        <f t="shared" si="11"/>
        <v>73.77600000000001</v>
      </c>
      <c r="U25" s="97"/>
      <c r="V25" s="75">
        <v>2340</v>
      </c>
      <c r="W25" s="76"/>
      <c r="X25" s="176">
        <f t="shared" si="12"/>
        <v>0</v>
      </c>
      <c r="Y25" s="97"/>
      <c r="Z25" s="75">
        <v>2136</v>
      </c>
      <c r="AA25" s="76"/>
      <c r="AB25" s="176">
        <f t="shared" si="13"/>
        <v>0</v>
      </c>
      <c r="AD25" s="45"/>
    </row>
    <row r="26" spans="1:30" ht="12" customHeight="1" x14ac:dyDescent="0.25">
      <c r="A26" s="74" t="s">
        <v>151</v>
      </c>
      <c r="B26" s="75">
        <v>3192</v>
      </c>
      <c r="C26" s="179"/>
      <c r="D26" s="180">
        <f t="shared" si="7"/>
        <v>0</v>
      </c>
      <c r="E26" s="74"/>
      <c r="F26" s="75">
        <v>2976</v>
      </c>
      <c r="G26" s="76">
        <v>7.1599999999999997E-2</v>
      </c>
      <c r="H26" s="180">
        <f t="shared" si="8"/>
        <v>106.54079999999999</v>
      </c>
      <c r="I26" s="88"/>
      <c r="J26" s="75">
        <v>2880</v>
      </c>
      <c r="K26" s="76">
        <v>6.9000000000000006E-2</v>
      </c>
      <c r="L26" s="180">
        <f t="shared" si="9"/>
        <v>99.360000000000014</v>
      </c>
      <c r="M26" s="88"/>
      <c r="N26" s="75">
        <v>2760</v>
      </c>
      <c r="O26" s="76">
        <v>6.6400000000000001E-2</v>
      </c>
      <c r="P26" s="180">
        <f t="shared" si="10"/>
        <v>91.632000000000005</v>
      </c>
      <c r="Q26" s="97"/>
      <c r="R26" s="75">
        <v>2544</v>
      </c>
      <c r="S26" s="76">
        <v>6.1899999999999997E-2</v>
      </c>
      <c r="T26" s="180">
        <f t="shared" si="11"/>
        <v>78.736800000000002</v>
      </c>
      <c r="U26" s="97"/>
      <c r="V26" s="75">
        <v>2340</v>
      </c>
      <c r="W26" s="76">
        <v>5.62E-2</v>
      </c>
      <c r="X26" s="180">
        <f t="shared" si="12"/>
        <v>65.754000000000005</v>
      </c>
      <c r="Y26" s="97"/>
      <c r="Z26" s="75">
        <v>2136</v>
      </c>
      <c r="AA26" s="76"/>
      <c r="AB26" s="180">
        <f t="shared" si="13"/>
        <v>0</v>
      </c>
      <c r="AD26" s="45"/>
    </row>
    <row r="27" spans="1:30" ht="12" customHeight="1" x14ac:dyDescent="0.25">
      <c r="A27" s="65" t="s">
        <v>152</v>
      </c>
      <c r="B27" s="75">
        <v>3192</v>
      </c>
      <c r="C27" s="179"/>
      <c r="D27" s="176">
        <f t="shared" si="7"/>
        <v>0</v>
      </c>
      <c r="E27" s="65"/>
      <c r="F27" s="75">
        <v>2976</v>
      </c>
      <c r="G27" s="183">
        <v>7.6700000000000004E-2</v>
      </c>
      <c r="H27" s="176">
        <f t="shared" si="8"/>
        <v>114.12960000000001</v>
      </c>
      <c r="I27" s="68"/>
      <c r="J27" s="75">
        <v>2880</v>
      </c>
      <c r="K27" s="183">
        <v>7.3899999999999993E-2</v>
      </c>
      <c r="L27" s="176">
        <f t="shared" si="9"/>
        <v>106.416</v>
      </c>
      <c r="M27" s="68"/>
      <c r="N27" s="75">
        <v>2760</v>
      </c>
      <c r="O27" s="183">
        <v>7.1199999999999999E-2</v>
      </c>
      <c r="P27" s="176">
        <f t="shared" si="10"/>
        <v>98.256</v>
      </c>
      <c r="Q27" s="97"/>
      <c r="R27" s="75">
        <v>2544</v>
      </c>
      <c r="S27" s="183">
        <v>6.6299999999999998E-2</v>
      </c>
      <c r="T27" s="176">
        <f t="shared" si="11"/>
        <v>84.333600000000004</v>
      </c>
      <c r="U27" s="97"/>
      <c r="V27" s="75">
        <v>2340</v>
      </c>
      <c r="W27" s="183">
        <v>6.0199999999999997E-2</v>
      </c>
      <c r="X27" s="176">
        <f t="shared" si="12"/>
        <v>70.433999999999997</v>
      </c>
      <c r="Y27" s="97"/>
      <c r="Z27" s="75">
        <v>2136</v>
      </c>
      <c r="AA27" s="183">
        <v>5.5300000000000002E-2</v>
      </c>
      <c r="AB27" s="176">
        <f t="shared" si="13"/>
        <v>59.060400000000001</v>
      </c>
      <c r="AD27" s="45"/>
    </row>
    <row r="28" spans="1:30" ht="12" customHeight="1" x14ac:dyDescent="0.25">
      <c r="A28" s="74" t="s">
        <v>153</v>
      </c>
      <c r="B28" s="75">
        <v>3192</v>
      </c>
      <c r="C28" s="179"/>
      <c r="D28" s="180">
        <f t="shared" si="7"/>
        <v>0</v>
      </c>
      <c r="E28" s="74"/>
      <c r="F28" s="75">
        <v>2976</v>
      </c>
      <c r="G28" s="184">
        <v>8.2600000000000007E-2</v>
      </c>
      <c r="H28" s="180">
        <f t="shared" si="8"/>
        <v>122.90880000000001</v>
      </c>
      <c r="I28" s="88"/>
      <c r="J28" s="75">
        <v>2880</v>
      </c>
      <c r="K28" s="184">
        <v>7.9600000000000004E-2</v>
      </c>
      <c r="L28" s="180">
        <f t="shared" si="9"/>
        <v>114.62400000000001</v>
      </c>
      <c r="M28" s="88"/>
      <c r="N28" s="75">
        <v>2760</v>
      </c>
      <c r="O28" s="184">
        <v>7.7100000000000002E-2</v>
      </c>
      <c r="P28" s="180">
        <f t="shared" si="10"/>
        <v>106.398</v>
      </c>
      <c r="Q28" s="97"/>
      <c r="R28" s="75">
        <v>2522</v>
      </c>
      <c r="S28" s="184">
        <v>7.1400000000000005E-2</v>
      </c>
      <c r="T28" s="180">
        <f t="shared" si="11"/>
        <v>90.03540000000001</v>
      </c>
      <c r="U28" s="97"/>
      <c r="V28" s="75">
        <v>2340</v>
      </c>
      <c r="W28" s="184">
        <v>6.4799999999999996E-2</v>
      </c>
      <c r="X28" s="180">
        <f t="shared" si="12"/>
        <v>75.816000000000003</v>
      </c>
      <c r="Y28" s="97"/>
      <c r="Z28" s="75">
        <v>2136</v>
      </c>
      <c r="AA28" s="184">
        <v>5.8999999999999997E-2</v>
      </c>
      <c r="AB28" s="180">
        <f t="shared" si="13"/>
        <v>63.011999999999993</v>
      </c>
      <c r="AD28" s="45"/>
    </row>
    <row r="29" spans="1:30" ht="12" customHeight="1" x14ac:dyDescent="0.25">
      <c r="A29" s="68" t="s">
        <v>154</v>
      </c>
      <c r="B29" s="75">
        <v>3192</v>
      </c>
      <c r="C29" s="179"/>
      <c r="D29" s="176">
        <f t="shared" si="7"/>
        <v>0</v>
      </c>
      <c r="E29" s="65"/>
      <c r="F29" s="75">
        <v>2976</v>
      </c>
      <c r="G29" s="183"/>
      <c r="H29" s="176">
        <f t="shared" si="8"/>
        <v>0</v>
      </c>
      <c r="I29" s="68"/>
      <c r="J29" s="75">
        <v>2880</v>
      </c>
      <c r="K29" s="183">
        <v>8.6199999999999999E-2</v>
      </c>
      <c r="L29" s="176">
        <f t="shared" si="9"/>
        <v>124.128</v>
      </c>
      <c r="M29" s="68"/>
      <c r="N29" s="75">
        <v>2760</v>
      </c>
      <c r="O29" s="184">
        <v>8.3000000000000004E-2</v>
      </c>
      <c r="P29" s="176">
        <f t="shared" si="10"/>
        <v>114.54</v>
      </c>
      <c r="Q29" s="97"/>
      <c r="R29" s="75">
        <v>2544</v>
      </c>
      <c r="S29" s="183">
        <v>7.6600000000000001E-2</v>
      </c>
      <c r="T29" s="176">
        <f t="shared" si="11"/>
        <v>97.435200000000009</v>
      </c>
      <c r="U29" s="97"/>
      <c r="V29" s="75">
        <v>2340</v>
      </c>
      <c r="W29" s="183">
        <v>8.4400000000000003E-2</v>
      </c>
      <c r="X29" s="176">
        <f t="shared" si="12"/>
        <v>98.748000000000005</v>
      </c>
      <c r="Y29" s="97"/>
      <c r="Z29" s="75">
        <v>2136</v>
      </c>
      <c r="AA29" s="183">
        <v>7.6600000000000001E-2</v>
      </c>
      <c r="AB29" s="176">
        <f t="shared" si="13"/>
        <v>81.808800000000005</v>
      </c>
      <c r="AD29" s="45"/>
    </row>
    <row r="30" spans="1:30" ht="12" customHeight="1" x14ac:dyDescent="0.25">
      <c r="A30" s="78" t="s">
        <v>155</v>
      </c>
      <c r="B30" s="75">
        <v>3192</v>
      </c>
      <c r="C30" s="179"/>
      <c r="D30" s="180">
        <f t="shared" si="7"/>
        <v>0</v>
      </c>
      <c r="E30" s="74"/>
      <c r="F30" s="75">
        <v>2976</v>
      </c>
      <c r="G30" s="76"/>
      <c r="H30" s="180">
        <f t="shared" si="8"/>
        <v>0</v>
      </c>
      <c r="I30" s="88"/>
      <c r="J30" s="75">
        <v>2880</v>
      </c>
      <c r="K30" s="76"/>
      <c r="L30" s="180">
        <f t="shared" si="9"/>
        <v>0</v>
      </c>
      <c r="M30" s="88"/>
      <c r="N30" s="75">
        <v>2760</v>
      </c>
      <c r="O30" s="84"/>
      <c r="P30" s="180">
        <f t="shared" si="10"/>
        <v>0</v>
      </c>
      <c r="Q30" s="97"/>
      <c r="R30" s="75">
        <v>2522</v>
      </c>
      <c r="S30" s="84">
        <v>9.2399999999999996E-2</v>
      </c>
      <c r="T30" s="180">
        <f t="shared" si="11"/>
        <v>116.51639999999999</v>
      </c>
      <c r="U30" s="97"/>
      <c r="V30" s="75">
        <v>2340</v>
      </c>
      <c r="W30" s="146">
        <v>8.4699999999999998E-2</v>
      </c>
      <c r="X30" s="180">
        <f t="shared" si="12"/>
        <v>99.099000000000004</v>
      </c>
      <c r="Y30" s="97"/>
      <c r="Z30" s="75">
        <v>2136</v>
      </c>
      <c r="AA30" s="84">
        <v>7.6999999999999999E-2</v>
      </c>
      <c r="AB30" s="180">
        <f t="shared" si="13"/>
        <v>82.236000000000004</v>
      </c>
      <c r="AD30" s="45"/>
    </row>
    <row r="31" spans="1:30" ht="12" customHeight="1" x14ac:dyDescent="0.25">
      <c r="A31" s="186" t="s">
        <v>156</v>
      </c>
      <c r="B31" s="57">
        <v>3192</v>
      </c>
      <c r="C31" s="187"/>
      <c r="D31" s="188">
        <f t="shared" si="7"/>
        <v>0</v>
      </c>
      <c r="E31" s="192"/>
      <c r="F31" s="75">
        <v>2976</v>
      </c>
      <c r="G31" s="189"/>
      <c r="H31" s="188">
        <f t="shared" si="8"/>
        <v>0</v>
      </c>
      <c r="I31" s="92"/>
      <c r="J31" s="75">
        <v>2880</v>
      </c>
      <c r="K31" s="189"/>
      <c r="L31" s="188">
        <f t="shared" si="9"/>
        <v>0</v>
      </c>
      <c r="M31" s="92"/>
      <c r="N31" s="75">
        <v>2760</v>
      </c>
      <c r="O31" s="84"/>
      <c r="P31" s="188">
        <f t="shared" si="10"/>
        <v>0</v>
      </c>
      <c r="Q31" s="110"/>
      <c r="R31" s="75">
        <v>2544</v>
      </c>
      <c r="S31" s="112">
        <v>9.5600000000000004E-2</v>
      </c>
      <c r="T31" s="188">
        <f t="shared" si="11"/>
        <v>121.6032</v>
      </c>
      <c r="U31" s="110"/>
      <c r="V31" s="75">
        <v>2340</v>
      </c>
      <c r="W31" s="146">
        <v>8.77E-2</v>
      </c>
      <c r="X31" s="188">
        <f t="shared" si="12"/>
        <v>102.60899999999999</v>
      </c>
      <c r="Y31" s="110"/>
      <c r="Z31" s="75">
        <v>2136</v>
      </c>
      <c r="AA31" s="84">
        <v>7.9699999999999993E-2</v>
      </c>
      <c r="AB31" s="188">
        <f t="shared" si="13"/>
        <v>85.119599999999991</v>
      </c>
      <c r="AD31" s="45"/>
    </row>
    <row r="32" spans="1:30" ht="12" customHeight="1" x14ac:dyDescent="0.25">
      <c r="A32" s="224" t="s">
        <v>103</v>
      </c>
      <c r="B32" s="224"/>
      <c r="C32" s="224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D32" s="45"/>
    </row>
    <row r="33" spans="1:30" x14ac:dyDescent="0.25">
      <c r="A33" s="94"/>
      <c r="B33" s="47" t="s">
        <v>75</v>
      </c>
      <c r="C33" s="168" t="s">
        <v>88</v>
      </c>
      <c r="D33" s="207" t="s">
        <v>81</v>
      </c>
      <c r="E33" s="46"/>
      <c r="F33" s="47" t="s">
        <v>75</v>
      </c>
      <c r="G33" s="169" t="s">
        <v>88</v>
      </c>
      <c r="H33" s="207" t="s">
        <v>82</v>
      </c>
      <c r="I33" s="46"/>
      <c r="J33" s="47" t="s">
        <v>75</v>
      </c>
      <c r="K33" s="169" t="s">
        <v>88</v>
      </c>
      <c r="L33" s="207" t="s">
        <v>83</v>
      </c>
      <c r="M33" s="51"/>
      <c r="N33" s="47" t="s">
        <v>75</v>
      </c>
      <c r="O33" s="169" t="s">
        <v>88</v>
      </c>
      <c r="P33" s="207" t="s">
        <v>84</v>
      </c>
      <c r="Q33" s="51"/>
      <c r="R33" s="47" t="s">
        <v>75</v>
      </c>
      <c r="S33" s="169" t="s">
        <v>88</v>
      </c>
      <c r="T33" s="207" t="s">
        <v>85</v>
      </c>
      <c r="U33" s="51"/>
      <c r="V33" s="47" t="s">
        <v>75</v>
      </c>
      <c r="W33" s="168" t="s">
        <v>88</v>
      </c>
      <c r="X33" s="207" t="s">
        <v>144</v>
      </c>
      <c r="Y33" s="51"/>
      <c r="Z33" s="47" t="s">
        <v>75</v>
      </c>
      <c r="AA33" s="168" t="s">
        <v>88</v>
      </c>
      <c r="AB33" s="207" t="s">
        <v>145</v>
      </c>
      <c r="AD33" s="45"/>
    </row>
    <row r="34" spans="1:30" ht="11.25" customHeight="1" x14ac:dyDescent="0.25">
      <c r="A34" s="52" t="s">
        <v>86</v>
      </c>
      <c r="B34" s="53" t="s">
        <v>87</v>
      </c>
      <c r="C34" s="170"/>
      <c r="D34" s="207"/>
      <c r="E34" s="52"/>
      <c r="F34" s="53" t="s">
        <v>87</v>
      </c>
      <c r="G34" s="171"/>
      <c r="H34" s="207"/>
      <c r="I34" s="52"/>
      <c r="J34" s="53" t="s">
        <v>87</v>
      </c>
      <c r="K34" s="171"/>
      <c r="L34" s="207"/>
      <c r="M34" s="58"/>
      <c r="N34" s="53" t="s">
        <v>87</v>
      </c>
      <c r="O34" s="171"/>
      <c r="P34" s="207"/>
      <c r="Q34" s="58"/>
      <c r="R34" s="53" t="s">
        <v>87</v>
      </c>
      <c r="S34" s="171"/>
      <c r="T34" s="207"/>
      <c r="U34" s="58"/>
      <c r="V34" s="53" t="s">
        <v>87</v>
      </c>
      <c r="W34" s="170"/>
      <c r="X34" s="207"/>
      <c r="Y34" s="58"/>
      <c r="Z34" s="53" t="s">
        <v>87</v>
      </c>
      <c r="AA34" s="170"/>
      <c r="AB34" s="207"/>
      <c r="AD34" s="45"/>
    </row>
    <row r="35" spans="1:30" ht="11.25" customHeight="1" x14ac:dyDescent="0.25">
      <c r="A35" s="98"/>
      <c r="B35" s="60" t="s">
        <v>89</v>
      </c>
      <c r="C35" s="172" t="s">
        <v>90</v>
      </c>
      <c r="D35" s="207"/>
      <c r="E35" s="52"/>
      <c r="F35" s="60" t="s">
        <v>89</v>
      </c>
      <c r="G35" s="174" t="s">
        <v>90</v>
      </c>
      <c r="H35" s="207"/>
      <c r="I35" s="52"/>
      <c r="J35" s="60" t="s">
        <v>89</v>
      </c>
      <c r="K35" s="174" t="s">
        <v>90</v>
      </c>
      <c r="L35" s="207"/>
      <c r="M35" s="58"/>
      <c r="N35" s="60" t="s">
        <v>89</v>
      </c>
      <c r="O35" s="174" t="s">
        <v>90</v>
      </c>
      <c r="P35" s="207"/>
      <c r="Q35" s="58"/>
      <c r="R35" s="60" t="s">
        <v>89</v>
      </c>
      <c r="S35" s="174" t="s">
        <v>90</v>
      </c>
      <c r="T35" s="207"/>
      <c r="U35" s="58"/>
      <c r="V35" s="60" t="s">
        <v>89</v>
      </c>
      <c r="W35" s="172" t="s">
        <v>90</v>
      </c>
      <c r="X35" s="207"/>
      <c r="Y35" s="58"/>
      <c r="Z35" s="60" t="s">
        <v>89</v>
      </c>
      <c r="AA35" s="172" t="s">
        <v>90</v>
      </c>
      <c r="AB35" s="207"/>
      <c r="AD35" s="45"/>
    </row>
    <row r="36" spans="1:30" ht="12" customHeight="1" x14ac:dyDescent="0.25">
      <c r="A36" s="65" t="s">
        <v>146</v>
      </c>
      <c r="B36" s="75">
        <v>3000</v>
      </c>
      <c r="C36" s="175">
        <v>3.8399999999999997E-2</v>
      </c>
      <c r="D36" s="190">
        <f t="shared" ref="D36:D46" si="14">(B36*C36)/2</f>
        <v>57.599999999999994</v>
      </c>
      <c r="E36" s="191"/>
      <c r="F36" s="75">
        <v>2808</v>
      </c>
      <c r="G36" s="76">
        <v>3.5799999999999998E-2</v>
      </c>
      <c r="H36" s="190">
        <f t="shared" ref="H36:H46" si="15">(F36*G36)/2</f>
        <v>50.263199999999998</v>
      </c>
      <c r="I36" s="68"/>
      <c r="J36" s="75">
        <v>2760</v>
      </c>
      <c r="K36" s="76"/>
      <c r="L36" s="190">
        <f t="shared" ref="L36:L46" si="16">(J36*K36)/2</f>
        <v>0</v>
      </c>
      <c r="M36" s="68"/>
      <c r="N36" s="75">
        <v>2616</v>
      </c>
      <c r="O36" s="76"/>
      <c r="P36" s="190">
        <f t="shared" ref="P36:P46" si="17">(N36*O36)/2</f>
        <v>0</v>
      </c>
      <c r="Q36" s="97"/>
      <c r="R36" s="75">
        <v>2400</v>
      </c>
      <c r="S36" s="178"/>
      <c r="T36" s="190">
        <f t="shared" ref="T36:T46" si="18">(R36*S36)/2</f>
        <v>0</v>
      </c>
      <c r="U36" s="97"/>
      <c r="V36" s="75">
        <v>2208</v>
      </c>
      <c r="W36" s="76"/>
      <c r="X36" s="190">
        <f t="shared" ref="X36:X46" si="19">(V36*W36)/2</f>
        <v>0</v>
      </c>
      <c r="Y36" s="97"/>
      <c r="Z36" s="75">
        <v>2016</v>
      </c>
      <c r="AA36" s="76"/>
      <c r="AB36" s="190">
        <f t="shared" ref="AB36:AB46" si="20">(Z36*AA36)/2</f>
        <v>0</v>
      </c>
      <c r="AD36" s="45"/>
    </row>
    <row r="37" spans="1:30" s="1" customFormat="1" ht="12" customHeight="1" x14ac:dyDescent="0.25">
      <c r="A37" s="74" t="s">
        <v>147</v>
      </c>
      <c r="B37" s="75">
        <v>3000</v>
      </c>
      <c r="C37" s="179">
        <v>5.7599999999999998E-2</v>
      </c>
      <c r="D37" s="180">
        <f t="shared" si="14"/>
        <v>86.399999999999991</v>
      </c>
      <c r="E37" s="74"/>
      <c r="F37" s="75">
        <v>2808</v>
      </c>
      <c r="G37" s="76">
        <v>5.3699999999999998E-2</v>
      </c>
      <c r="H37" s="180">
        <f t="shared" si="15"/>
        <v>75.394800000000004</v>
      </c>
      <c r="I37" s="78"/>
      <c r="J37" s="75">
        <v>2760</v>
      </c>
      <c r="K37" s="76">
        <v>5.1700000000000003E-2</v>
      </c>
      <c r="L37" s="180">
        <f t="shared" si="16"/>
        <v>71.346000000000004</v>
      </c>
      <c r="M37" s="78"/>
      <c r="N37" s="75">
        <v>2616</v>
      </c>
      <c r="O37" s="76"/>
      <c r="P37" s="180">
        <f t="shared" si="17"/>
        <v>0</v>
      </c>
      <c r="Q37" s="101"/>
      <c r="R37" s="75">
        <v>2400</v>
      </c>
      <c r="S37" s="76"/>
      <c r="T37" s="180">
        <f t="shared" si="18"/>
        <v>0</v>
      </c>
      <c r="U37" s="101"/>
      <c r="V37" s="75">
        <v>2208</v>
      </c>
      <c r="W37" s="76"/>
      <c r="X37" s="180">
        <f t="shared" si="19"/>
        <v>0</v>
      </c>
      <c r="Y37" s="101"/>
      <c r="Z37" s="75">
        <v>2016</v>
      </c>
      <c r="AA37" s="76"/>
      <c r="AB37" s="180">
        <f t="shared" si="20"/>
        <v>0</v>
      </c>
      <c r="AD37" s="45"/>
    </row>
    <row r="38" spans="1:30" ht="12" customHeight="1" x14ac:dyDescent="0.25">
      <c r="A38" s="65" t="s">
        <v>148</v>
      </c>
      <c r="B38" s="75">
        <v>3000</v>
      </c>
      <c r="C38" s="179">
        <v>6.4000000000000001E-2</v>
      </c>
      <c r="D38" s="176">
        <f t="shared" si="14"/>
        <v>96</v>
      </c>
      <c r="E38" s="65"/>
      <c r="F38" s="75">
        <v>2808</v>
      </c>
      <c r="G38" s="76">
        <v>5.9700000000000003E-2</v>
      </c>
      <c r="H38" s="176">
        <f t="shared" si="15"/>
        <v>83.81880000000001</v>
      </c>
      <c r="I38" s="68"/>
      <c r="J38" s="75">
        <v>2760</v>
      </c>
      <c r="K38" s="76">
        <v>5.7500000000000002E-2</v>
      </c>
      <c r="L38" s="176">
        <f t="shared" si="16"/>
        <v>79.350000000000009</v>
      </c>
      <c r="M38" s="68"/>
      <c r="N38" s="75">
        <v>2616</v>
      </c>
      <c r="O38" s="76">
        <v>5.5300000000000002E-2</v>
      </c>
      <c r="P38" s="176">
        <f t="shared" si="17"/>
        <v>72.332400000000007</v>
      </c>
      <c r="Q38" s="97"/>
      <c r="R38" s="75">
        <v>2400</v>
      </c>
      <c r="S38" s="76"/>
      <c r="T38" s="176">
        <f t="shared" si="18"/>
        <v>0</v>
      </c>
      <c r="U38" s="97"/>
      <c r="V38" s="75">
        <v>2208</v>
      </c>
      <c r="W38" s="76"/>
      <c r="X38" s="176">
        <f t="shared" si="19"/>
        <v>0</v>
      </c>
      <c r="Y38" s="97"/>
      <c r="Z38" s="75">
        <v>2016</v>
      </c>
      <c r="AA38" s="76"/>
      <c r="AB38" s="176">
        <f t="shared" si="20"/>
        <v>0</v>
      </c>
      <c r="AD38" s="45"/>
    </row>
    <row r="39" spans="1:30" ht="12" customHeight="1" x14ac:dyDescent="0.25">
      <c r="A39" s="74" t="s">
        <v>149</v>
      </c>
      <c r="B39" s="75">
        <v>3000</v>
      </c>
      <c r="C39" s="179">
        <v>6.7799999999999999E-2</v>
      </c>
      <c r="D39" s="180">
        <f t="shared" si="14"/>
        <v>101.7</v>
      </c>
      <c r="E39" s="74"/>
      <c r="F39" s="75">
        <v>2808</v>
      </c>
      <c r="G39" s="76">
        <v>6.3200000000000006E-2</v>
      </c>
      <c r="H39" s="180">
        <f t="shared" si="15"/>
        <v>88.732800000000012</v>
      </c>
      <c r="I39" s="88"/>
      <c r="J39" s="75">
        <v>2760</v>
      </c>
      <c r="K39" s="76">
        <v>6.0900000000000003E-2</v>
      </c>
      <c r="L39" s="180">
        <f t="shared" si="16"/>
        <v>84.042000000000002</v>
      </c>
      <c r="M39" s="88"/>
      <c r="N39" s="75">
        <v>2616</v>
      </c>
      <c r="O39" s="76">
        <v>5.8599999999999999E-2</v>
      </c>
      <c r="P39" s="180">
        <f t="shared" si="17"/>
        <v>76.648799999999994</v>
      </c>
      <c r="Q39" s="97"/>
      <c r="R39" s="75">
        <v>2400</v>
      </c>
      <c r="S39" s="76">
        <v>5.4100000000000002E-2</v>
      </c>
      <c r="T39" s="180">
        <f t="shared" si="18"/>
        <v>64.92</v>
      </c>
      <c r="U39" s="97"/>
      <c r="V39" s="75">
        <v>2208</v>
      </c>
      <c r="W39" s="76"/>
      <c r="X39" s="180">
        <f t="shared" si="19"/>
        <v>0</v>
      </c>
      <c r="Y39" s="97"/>
      <c r="Z39" s="75">
        <v>2016</v>
      </c>
      <c r="AA39" s="76"/>
      <c r="AB39" s="180">
        <f t="shared" si="20"/>
        <v>0</v>
      </c>
      <c r="AD39" s="45"/>
    </row>
    <row r="40" spans="1:30" ht="12" customHeight="1" x14ac:dyDescent="0.25">
      <c r="A40" s="65" t="s">
        <v>150</v>
      </c>
      <c r="B40" s="75">
        <v>3000</v>
      </c>
      <c r="C40" s="179">
        <v>7.1999999999999995E-2</v>
      </c>
      <c r="D40" s="176">
        <f t="shared" si="14"/>
        <v>107.99999999999999</v>
      </c>
      <c r="E40" s="65"/>
      <c r="F40" s="75">
        <v>2808</v>
      </c>
      <c r="G40" s="76">
        <v>6.7100000000000007E-2</v>
      </c>
      <c r="H40" s="176">
        <f t="shared" si="15"/>
        <v>94.208400000000012</v>
      </c>
      <c r="I40" s="68"/>
      <c r="J40" s="75">
        <v>2760</v>
      </c>
      <c r="K40" s="76">
        <v>6.4699999999999994E-2</v>
      </c>
      <c r="L40" s="176">
        <f t="shared" si="16"/>
        <v>89.285999999999987</v>
      </c>
      <c r="M40" s="68"/>
      <c r="N40" s="75">
        <v>2616</v>
      </c>
      <c r="O40" s="76">
        <v>6.2300000000000001E-2</v>
      </c>
      <c r="P40" s="176">
        <f t="shared" si="17"/>
        <v>81.488399999999999</v>
      </c>
      <c r="Q40" s="97"/>
      <c r="R40" s="75">
        <v>2400</v>
      </c>
      <c r="S40" s="76">
        <v>5.8000000000000003E-2</v>
      </c>
      <c r="T40" s="176">
        <f t="shared" si="18"/>
        <v>69.600000000000009</v>
      </c>
      <c r="U40" s="97"/>
      <c r="V40" s="75">
        <v>2208</v>
      </c>
      <c r="W40" s="76"/>
      <c r="X40" s="176">
        <f t="shared" si="19"/>
        <v>0</v>
      </c>
      <c r="Y40" s="97"/>
      <c r="Z40" s="75">
        <v>2016</v>
      </c>
      <c r="AA40" s="76"/>
      <c r="AB40" s="176">
        <f t="shared" si="20"/>
        <v>0</v>
      </c>
      <c r="AD40" s="45"/>
    </row>
    <row r="41" spans="1:30" ht="12" customHeight="1" x14ac:dyDescent="0.25">
      <c r="A41" s="74" t="s">
        <v>151</v>
      </c>
      <c r="B41" s="75">
        <v>3000</v>
      </c>
      <c r="C41" s="179"/>
      <c r="D41" s="180">
        <f t="shared" si="14"/>
        <v>0</v>
      </c>
      <c r="E41" s="74"/>
      <c r="F41" s="75">
        <v>2808</v>
      </c>
      <c r="G41" s="76">
        <v>7.1599999999999997E-2</v>
      </c>
      <c r="H41" s="180">
        <f t="shared" si="15"/>
        <v>100.5264</v>
      </c>
      <c r="I41" s="88"/>
      <c r="J41" s="75">
        <v>2760</v>
      </c>
      <c r="K41" s="76">
        <v>6.9000000000000006E-2</v>
      </c>
      <c r="L41" s="180">
        <f t="shared" si="16"/>
        <v>95.220000000000013</v>
      </c>
      <c r="M41" s="88"/>
      <c r="N41" s="75">
        <v>2616</v>
      </c>
      <c r="O41" s="76">
        <v>6.6400000000000001E-2</v>
      </c>
      <c r="P41" s="180">
        <f t="shared" si="17"/>
        <v>86.851200000000006</v>
      </c>
      <c r="Q41" s="97"/>
      <c r="R41" s="75">
        <v>2400</v>
      </c>
      <c r="S41" s="76">
        <v>6.1899999999999997E-2</v>
      </c>
      <c r="T41" s="180">
        <f t="shared" si="18"/>
        <v>74.28</v>
      </c>
      <c r="U41" s="97"/>
      <c r="V41" s="75">
        <v>2208</v>
      </c>
      <c r="W41" s="76">
        <v>5.62E-2</v>
      </c>
      <c r="X41" s="180">
        <f t="shared" si="19"/>
        <v>62.044800000000002</v>
      </c>
      <c r="Y41" s="97"/>
      <c r="Z41" s="75">
        <v>2016</v>
      </c>
      <c r="AA41" s="76"/>
      <c r="AB41" s="180">
        <f t="shared" si="20"/>
        <v>0</v>
      </c>
      <c r="AD41" s="45"/>
    </row>
    <row r="42" spans="1:30" ht="12" customHeight="1" x14ac:dyDescent="0.25">
      <c r="A42" s="65" t="s">
        <v>152</v>
      </c>
      <c r="B42" s="75">
        <v>3000</v>
      </c>
      <c r="C42" s="179"/>
      <c r="D42" s="176">
        <f t="shared" si="14"/>
        <v>0</v>
      </c>
      <c r="E42" s="65"/>
      <c r="F42" s="75">
        <v>2808</v>
      </c>
      <c r="G42" s="183">
        <v>7.6700000000000004E-2</v>
      </c>
      <c r="H42" s="176">
        <f t="shared" si="15"/>
        <v>107.68680000000001</v>
      </c>
      <c r="I42" s="68"/>
      <c r="J42" s="75">
        <v>2760</v>
      </c>
      <c r="K42" s="183">
        <v>7.3899999999999993E-2</v>
      </c>
      <c r="L42" s="176">
        <f t="shared" si="16"/>
        <v>101.98199999999999</v>
      </c>
      <c r="M42" s="68"/>
      <c r="N42" s="75">
        <v>2616</v>
      </c>
      <c r="O42" s="183">
        <v>7.1199999999999999E-2</v>
      </c>
      <c r="P42" s="176">
        <f t="shared" si="17"/>
        <v>93.129599999999996</v>
      </c>
      <c r="Q42" s="97"/>
      <c r="R42" s="75">
        <v>2400</v>
      </c>
      <c r="S42" s="183">
        <v>6.6299999999999998E-2</v>
      </c>
      <c r="T42" s="176">
        <f t="shared" si="18"/>
        <v>79.56</v>
      </c>
      <c r="U42" s="97"/>
      <c r="V42" s="75">
        <v>2208</v>
      </c>
      <c r="W42" s="183">
        <v>6.0199999999999997E-2</v>
      </c>
      <c r="X42" s="176">
        <f t="shared" si="19"/>
        <v>66.460799999999992</v>
      </c>
      <c r="Y42" s="97"/>
      <c r="Z42" s="75">
        <v>2016</v>
      </c>
      <c r="AA42" s="183">
        <v>5.5300000000000002E-2</v>
      </c>
      <c r="AB42" s="176">
        <f t="shared" si="20"/>
        <v>55.742400000000004</v>
      </c>
      <c r="AD42" s="45"/>
    </row>
    <row r="43" spans="1:30" ht="12" customHeight="1" x14ac:dyDescent="0.25">
      <c r="A43" s="74" t="s">
        <v>153</v>
      </c>
      <c r="B43" s="75">
        <v>3000</v>
      </c>
      <c r="C43" s="179"/>
      <c r="D43" s="180">
        <f t="shared" si="14"/>
        <v>0</v>
      </c>
      <c r="E43" s="74"/>
      <c r="F43" s="75">
        <v>2808</v>
      </c>
      <c r="G43" s="184">
        <v>8.2600000000000007E-2</v>
      </c>
      <c r="H43" s="180">
        <f t="shared" si="15"/>
        <v>115.97040000000001</v>
      </c>
      <c r="I43" s="88"/>
      <c r="J43" s="75">
        <v>2760</v>
      </c>
      <c r="K43" s="184">
        <v>7.9600000000000004E-2</v>
      </c>
      <c r="L43" s="180">
        <f t="shared" si="16"/>
        <v>109.848</v>
      </c>
      <c r="M43" s="88"/>
      <c r="N43" s="75">
        <v>2616</v>
      </c>
      <c r="O43" s="184">
        <v>7.7100000000000002E-2</v>
      </c>
      <c r="P43" s="180">
        <f t="shared" si="17"/>
        <v>100.8468</v>
      </c>
      <c r="Q43" s="97"/>
      <c r="R43" s="75">
        <v>2400</v>
      </c>
      <c r="S43" s="184">
        <v>7.1400000000000005E-2</v>
      </c>
      <c r="T43" s="180">
        <f t="shared" si="18"/>
        <v>85.68</v>
      </c>
      <c r="U43" s="97"/>
      <c r="V43" s="75">
        <v>2208</v>
      </c>
      <c r="W43" s="184">
        <v>6.4799999999999996E-2</v>
      </c>
      <c r="X43" s="180">
        <f t="shared" si="19"/>
        <v>71.539199999999994</v>
      </c>
      <c r="Y43" s="97"/>
      <c r="Z43" s="75">
        <v>2016</v>
      </c>
      <c r="AA43" s="184">
        <v>5.8999999999999997E-2</v>
      </c>
      <c r="AB43" s="180">
        <f t="shared" si="20"/>
        <v>59.471999999999994</v>
      </c>
      <c r="AD43" s="45"/>
    </row>
    <row r="44" spans="1:30" ht="12" customHeight="1" x14ac:dyDescent="0.25">
      <c r="A44" s="68" t="s">
        <v>154</v>
      </c>
      <c r="B44" s="75">
        <v>3000</v>
      </c>
      <c r="C44" s="179"/>
      <c r="D44" s="176">
        <f t="shared" si="14"/>
        <v>0</v>
      </c>
      <c r="E44" s="65"/>
      <c r="F44" s="75">
        <v>2808</v>
      </c>
      <c r="G44" s="183"/>
      <c r="H44" s="176">
        <f t="shared" si="15"/>
        <v>0</v>
      </c>
      <c r="I44" s="68"/>
      <c r="J44" s="75">
        <v>2760</v>
      </c>
      <c r="K44" s="183">
        <v>8.6199999999999999E-2</v>
      </c>
      <c r="L44" s="176">
        <f t="shared" si="16"/>
        <v>118.956</v>
      </c>
      <c r="M44" s="68"/>
      <c r="N44" s="75">
        <v>2616</v>
      </c>
      <c r="O44" s="184">
        <v>8.3000000000000004E-2</v>
      </c>
      <c r="P44" s="176">
        <f t="shared" si="17"/>
        <v>108.56400000000001</v>
      </c>
      <c r="Q44" s="97"/>
      <c r="R44" s="75">
        <v>2400</v>
      </c>
      <c r="S44" s="183">
        <v>7.6600000000000001E-2</v>
      </c>
      <c r="T44" s="176">
        <f t="shared" si="18"/>
        <v>91.92</v>
      </c>
      <c r="U44" s="97"/>
      <c r="V44" s="75">
        <v>2208</v>
      </c>
      <c r="W44" s="183">
        <v>8.4400000000000003E-2</v>
      </c>
      <c r="X44" s="176">
        <f t="shared" si="19"/>
        <v>93.177599999999998</v>
      </c>
      <c r="Y44" s="97"/>
      <c r="Z44" s="75">
        <v>2016</v>
      </c>
      <c r="AA44" s="183">
        <v>7.6600000000000001E-2</v>
      </c>
      <c r="AB44" s="176">
        <f t="shared" si="20"/>
        <v>77.212800000000001</v>
      </c>
      <c r="AD44" s="45"/>
    </row>
    <row r="45" spans="1:30" ht="12" customHeight="1" x14ac:dyDescent="0.25">
      <c r="A45" s="78" t="s">
        <v>155</v>
      </c>
      <c r="B45" s="75">
        <v>3000</v>
      </c>
      <c r="C45" s="179"/>
      <c r="D45" s="180">
        <f t="shared" si="14"/>
        <v>0</v>
      </c>
      <c r="E45" s="192"/>
      <c r="F45" s="75">
        <v>2808</v>
      </c>
      <c r="G45" s="76"/>
      <c r="H45" s="180">
        <f t="shared" si="15"/>
        <v>0</v>
      </c>
      <c r="I45" s="92"/>
      <c r="J45" s="75">
        <v>2760</v>
      </c>
      <c r="K45" s="76"/>
      <c r="L45" s="180">
        <f t="shared" si="16"/>
        <v>0</v>
      </c>
      <c r="M45" s="92"/>
      <c r="N45" s="75">
        <v>2616</v>
      </c>
      <c r="O45" s="84"/>
      <c r="P45" s="180">
        <f t="shared" si="17"/>
        <v>0</v>
      </c>
      <c r="Q45" s="110"/>
      <c r="R45" s="75">
        <v>2400</v>
      </c>
      <c r="S45" s="84">
        <v>9.2399999999999996E-2</v>
      </c>
      <c r="T45" s="180">
        <f t="shared" si="18"/>
        <v>110.88</v>
      </c>
      <c r="U45" s="110"/>
      <c r="V45" s="75">
        <v>2208</v>
      </c>
      <c r="W45" s="146">
        <v>8.4699999999999998E-2</v>
      </c>
      <c r="X45" s="180">
        <f t="shared" si="19"/>
        <v>93.508799999999994</v>
      </c>
      <c r="Y45" s="110"/>
      <c r="Z45" s="75">
        <v>2016</v>
      </c>
      <c r="AA45" s="84">
        <v>7.6999999999999999E-2</v>
      </c>
      <c r="AB45" s="180">
        <f t="shared" si="20"/>
        <v>77.616</v>
      </c>
      <c r="AD45" s="45"/>
    </row>
    <row r="46" spans="1:30" ht="12" customHeight="1" x14ac:dyDescent="0.25">
      <c r="A46" s="186" t="s">
        <v>156</v>
      </c>
      <c r="B46" s="75">
        <v>3000</v>
      </c>
      <c r="C46" s="187"/>
      <c r="D46" s="188">
        <f t="shared" si="14"/>
        <v>0</v>
      </c>
      <c r="E46" s="193"/>
      <c r="F46" s="75">
        <v>2808</v>
      </c>
      <c r="G46" s="189"/>
      <c r="H46" s="188">
        <f t="shared" si="15"/>
        <v>0</v>
      </c>
      <c r="I46" s="92"/>
      <c r="J46" s="75">
        <v>2760</v>
      </c>
      <c r="K46" s="189"/>
      <c r="L46" s="188">
        <f t="shared" si="16"/>
        <v>0</v>
      </c>
      <c r="M46" s="92"/>
      <c r="N46" s="75">
        <v>2616</v>
      </c>
      <c r="O46" s="84"/>
      <c r="P46" s="188">
        <f t="shared" si="17"/>
        <v>0</v>
      </c>
      <c r="Q46" s="110"/>
      <c r="R46" s="75">
        <v>2400</v>
      </c>
      <c r="S46" s="112">
        <v>9.5600000000000004E-2</v>
      </c>
      <c r="T46" s="188">
        <f t="shared" si="18"/>
        <v>114.72</v>
      </c>
      <c r="U46" s="110"/>
      <c r="V46" s="75">
        <v>2208</v>
      </c>
      <c r="W46" s="146">
        <v>8.77E-2</v>
      </c>
      <c r="X46" s="188">
        <f t="shared" si="19"/>
        <v>96.820800000000006</v>
      </c>
      <c r="Y46" s="110"/>
      <c r="Z46" s="75">
        <v>2016</v>
      </c>
      <c r="AA46" s="84">
        <v>7.9699999999999993E-2</v>
      </c>
      <c r="AB46" s="188">
        <f t="shared" si="20"/>
        <v>80.337599999999995</v>
      </c>
      <c r="AD46" s="45"/>
    </row>
    <row r="47" spans="1:30" ht="12" customHeight="1" x14ac:dyDescent="0.25">
      <c r="A47" s="224" t="s">
        <v>104</v>
      </c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D47" s="45"/>
    </row>
    <row r="48" spans="1:30" x14ac:dyDescent="0.25">
      <c r="A48" s="94"/>
      <c r="B48" s="47" t="s">
        <v>75</v>
      </c>
      <c r="C48" s="168" t="s">
        <v>88</v>
      </c>
      <c r="D48" s="207" t="s">
        <v>81</v>
      </c>
      <c r="E48" s="46"/>
      <c r="F48" s="47" t="s">
        <v>75</v>
      </c>
      <c r="G48" s="169" t="s">
        <v>88</v>
      </c>
      <c r="H48" s="207" t="s">
        <v>82</v>
      </c>
      <c r="I48" s="46"/>
      <c r="J48" s="47" t="s">
        <v>75</v>
      </c>
      <c r="K48" s="169" t="s">
        <v>88</v>
      </c>
      <c r="L48" s="207" t="s">
        <v>83</v>
      </c>
      <c r="M48" s="51"/>
      <c r="N48" s="47" t="s">
        <v>75</v>
      </c>
      <c r="O48" s="169" t="s">
        <v>88</v>
      </c>
      <c r="P48" s="207" t="s">
        <v>84</v>
      </c>
      <c r="Q48" s="51"/>
      <c r="R48" s="47" t="s">
        <v>75</v>
      </c>
      <c r="S48" s="169" t="s">
        <v>88</v>
      </c>
      <c r="T48" s="207" t="s">
        <v>85</v>
      </c>
      <c r="U48" s="51"/>
      <c r="V48" s="47" t="s">
        <v>75</v>
      </c>
      <c r="W48" s="168" t="s">
        <v>88</v>
      </c>
      <c r="X48" s="207" t="s">
        <v>144</v>
      </c>
      <c r="Y48" s="51"/>
      <c r="Z48" s="47" t="s">
        <v>75</v>
      </c>
      <c r="AA48" s="168" t="s">
        <v>88</v>
      </c>
      <c r="AB48" s="207" t="s">
        <v>145</v>
      </c>
      <c r="AD48" s="45"/>
    </row>
    <row r="49" spans="1:30" ht="11.25" customHeight="1" x14ac:dyDescent="0.25">
      <c r="A49" s="52" t="s">
        <v>86</v>
      </c>
      <c r="B49" s="53" t="s">
        <v>87</v>
      </c>
      <c r="C49" s="170"/>
      <c r="D49" s="207"/>
      <c r="E49" s="52"/>
      <c r="F49" s="53" t="s">
        <v>87</v>
      </c>
      <c r="G49" s="171"/>
      <c r="H49" s="207"/>
      <c r="I49" s="52"/>
      <c r="J49" s="53" t="s">
        <v>87</v>
      </c>
      <c r="K49" s="171"/>
      <c r="L49" s="207"/>
      <c r="M49" s="58"/>
      <c r="N49" s="53" t="s">
        <v>87</v>
      </c>
      <c r="O49" s="171"/>
      <c r="P49" s="207"/>
      <c r="Q49" s="58"/>
      <c r="R49" s="53" t="s">
        <v>87</v>
      </c>
      <c r="S49" s="171"/>
      <c r="T49" s="207"/>
      <c r="U49" s="58"/>
      <c r="V49" s="53" t="s">
        <v>87</v>
      </c>
      <c r="W49" s="170"/>
      <c r="X49" s="207"/>
      <c r="Y49" s="58"/>
      <c r="Z49" s="53" t="s">
        <v>87</v>
      </c>
      <c r="AA49" s="170"/>
      <c r="AB49" s="207"/>
      <c r="AD49" s="45"/>
    </row>
    <row r="50" spans="1:30" ht="11.25" customHeight="1" x14ac:dyDescent="0.25">
      <c r="A50" s="98"/>
      <c r="B50" s="60" t="s">
        <v>89</v>
      </c>
      <c r="C50" s="172" t="s">
        <v>90</v>
      </c>
      <c r="D50" s="207"/>
      <c r="E50" s="52"/>
      <c r="F50" s="60" t="s">
        <v>89</v>
      </c>
      <c r="G50" s="174" t="s">
        <v>90</v>
      </c>
      <c r="H50" s="207"/>
      <c r="I50" s="52"/>
      <c r="J50" s="60" t="s">
        <v>89</v>
      </c>
      <c r="K50" s="174" t="s">
        <v>90</v>
      </c>
      <c r="L50" s="207"/>
      <c r="M50" s="58"/>
      <c r="N50" s="60" t="s">
        <v>89</v>
      </c>
      <c r="O50" s="174" t="s">
        <v>90</v>
      </c>
      <c r="P50" s="207"/>
      <c r="Q50" s="58"/>
      <c r="R50" s="60" t="s">
        <v>89</v>
      </c>
      <c r="S50" s="174" t="s">
        <v>90</v>
      </c>
      <c r="T50" s="207"/>
      <c r="U50" s="58"/>
      <c r="V50" s="60" t="s">
        <v>89</v>
      </c>
      <c r="W50" s="172" t="s">
        <v>90</v>
      </c>
      <c r="X50" s="207"/>
      <c r="Y50" s="58"/>
      <c r="Z50" s="60" t="s">
        <v>89</v>
      </c>
      <c r="AA50" s="172" t="s">
        <v>90</v>
      </c>
      <c r="AB50" s="207"/>
      <c r="AD50" s="45"/>
    </row>
    <row r="51" spans="1:30" ht="12" customHeight="1" x14ac:dyDescent="0.25">
      <c r="A51" s="65" t="s">
        <v>146</v>
      </c>
      <c r="B51" s="75">
        <v>2808</v>
      </c>
      <c r="C51" s="175">
        <v>3.8399999999999997E-2</v>
      </c>
      <c r="D51" s="190">
        <f t="shared" ref="D51:D61" si="21">(B51*C51)/2</f>
        <v>53.913599999999995</v>
      </c>
      <c r="E51" s="191"/>
      <c r="F51" s="75">
        <v>2640</v>
      </c>
      <c r="G51" s="76">
        <v>3.5799999999999998E-2</v>
      </c>
      <c r="H51" s="190">
        <f t="shared" ref="H51:H61" si="22">(F51*G51)/2</f>
        <v>47.256</v>
      </c>
      <c r="I51" s="68"/>
      <c r="J51" s="75">
        <v>2580</v>
      </c>
      <c r="K51" s="76"/>
      <c r="L51" s="190">
        <f t="shared" ref="L51:L61" si="23">(J51*K51)/2</f>
        <v>0</v>
      </c>
      <c r="M51" s="68"/>
      <c r="N51" s="75">
        <v>2448</v>
      </c>
      <c r="O51" s="76"/>
      <c r="P51" s="190">
        <f t="shared" ref="P51:P61" si="24">(N51*O51)/2</f>
        <v>0</v>
      </c>
      <c r="Q51" s="97"/>
      <c r="R51" s="75">
        <v>2268</v>
      </c>
      <c r="S51" s="178"/>
      <c r="T51" s="190">
        <f t="shared" ref="T51:T61" si="25">(R51*S51)/2</f>
        <v>0</v>
      </c>
      <c r="U51" s="97"/>
      <c r="V51" s="75">
        <v>2064</v>
      </c>
      <c r="W51" s="76"/>
      <c r="X51" s="190">
        <f t="shared" ref="X51:X61" si="26">(V51*W51)/2</f>
        <v>0</v>
      </c>
      <c r="Y51" s="97"/>
      <c r="Z51" s="75">
        <v>1872</v>
      </c>
      <c r="AA51" s="76"/>
      <c r="AB51" s="190">
        <f t="shared" ref="AB51:AB61" si="27">(Z51*AA51)/2</f>
        <v>0</v>
      </c>
      <c r="AD51" s="45"/>
    </row>
    <row r="52" spans="1:30" s="1" customFormat="1" ht="12" customHeight="1" x14ac:dyDescent="0.25">
      <c r="A52" s="74" t="s">
        <v>147</v>
      </c>
      <c r="B52" s="75">
        <v>2808</v>
      </c>
      <c r="C52" s="179">
        <v>5.7599999999999998E-2</v>
      </c>
      <c r="D52" s="180">
        <f t="shared" si="21"/>
        <v>80.870400000000004</v>
      </c>
      <c r="E52" s="74"/>
      <c r="F52" s="75">
        <v>2640</v>
      </c>
      <c r="G52" s="76">
        <v>5.3699999999999998E-2</v>
      </c>
      <c r="H52" s="180">
        <f t="shared" si="22"/>
        <v>70.884</v>
      </c>
      <c r="I52" s="78"/>
      <c r="J52" s="75">
        <v>2580</v>
      </c>
      <c r="K52" s="76">
        <v>5.1700000000000003E-2</v>
      </c>
      <c r="L52" s="180">
        <f t="shared" si="23"/>
        <v>66.692999999999998</v>
      </c>
      <c r="M52" s="78"/>
      <c r="N52" s="75">
        <v>2448</v>
      </c>
      <c r="O52" s="76"/>
      <c r="P52" s="180">
        <f t="shared" si="24"/>
        <v>0</v>
      </c>
      <c r="Q52" s="101"/>
      <c r="R52" s="75">
        <v>2268</v>
      </c>
      <c r="S52" s="76"/>
      <c r="T52" s="180">
        <f t="shared" si="25"/>
        <v>0</v>
      </c>
      <c r="U52" s="101"/>
      <c r="V52" s="75">
        <v>2064</v>
      </c>
      <c r="W52" s="76"/>
      <c r="X52" s="180">
        <f t="shared" si="26"/>
        <v>0</v>
      </c>
      <c r="Y52" s="101"/>
      <c r="Z52" s="75">
        <v>1872</v>
      </c>
      <c r="AA52" s="76"/>
      <c r="AB52" s="180">
        <f t="shared" si="27"/>
        <v>0</v>
      </c>
      <c r="AD52" s="45"/>
    </row>
    <row r="53" spans="1:30" ht="12" customHeight="1" x14ac:dyDescent="0.25">
      <c r="A53" s="65" t="s">
        <v>148</v>
      </c>
      <c r="B53" s="75">
        <v>2808</v>
      </c>
      <c r="C53" s="179">
        <v>6.4000000000000001E-2</v>
      </c>
      <c r="D53" s="176">
        <f t="shared" si="21"/>
        <v>89.856000000000009</v>
      </c>
      <c r="E53" s="65"/>
      <c r="F53" s="75">
        <v>2640</v>
      </c>
      <c r="G53" s="76">
        <v>5.9700000000000003E-2</v>
      </c>
      <c r="H53" s="176">
        <f t="shared" si="22"/>
        <v>78.804000000000002</v>
      </c>
      <c r="I53" s="68"/>
      <c r="J53" s="75">
        <v>2580</v>
      </c>
      <c r="K53" s="76">
        <v>5.7500000000000002E-2</v>
      </c>
      <c r="L53" s="176">
        <f t="shared" si="23"/>
        <v>74.174999999999997</v>
      </c>
      <c r="M53" s="68"/>
      <c r="N53" s="75">
        <v>2448</v>
      </c>
      <c r="O53" s="76">
        <v>5.5300000000000002E-2</v>
      </c>
      <c r="P53" s="176">
        <f t="shared" si="24"/>
        <v>67.687200000000004</v>
      </c>
      <c r="Q53" s="97"/>
      <c r="R53" s="75">
        <v>2268</v>
      </c>
      <c r="S53" s="76"/>
      <c r="T53" s="176">
        <f t="shared" si="25"/>
        <v>0</v>
      </c>
      <c r="U53" s="97"/>
      <c r="V53" s="75">
        <v>2064</v>
      </c>
      <c r="W53" s="76"/>
      <c r="X53" s="176">
        <f t="shared" si="26"/>
        <v>0</v>
      </c>
      <c r="Y53" s="97"/>
      <c r="Z53" s="75">
        <v>1872</v>
      </c>
      <c r="AA53" s="76"/>
      <c r="AB53" s="176">
        <f t="shared" si="27"/>
        <v>0</v>
      </c>
      <c r="AD53" s="45"/>
    </row>
    <row r="54" spans="1:30" ht="12" customHeight="1" x14ac:dyDescent="0.25">
      <c r="A54" s="74" t="s">
        <v>149</v>
      </c>
      <c r="B54" s="75">
        <v>2808</v>
      </c>
      <c r="C54" s="179">
        <v>6.7799999999999999E-2</v>
      </c>
      <c r="D54" s="180">
        <f t="shared" si="21"/>
        <v>95.191199999999995</v>
      </c>
      <c r="E54" s="74"/>
      <c r="F54" s="75">
        <v>2640</v>
      </c>
      <c r="G54" s="76">
        <v>6.3200000000000006E-2</v>
      </c>
      <c r="H54" s="180">
        <f t="shared" si="22"/>
        <v>83.424000000000007</v>
      </c>
      <c r="I54" s="88"/>
      <c r="J54" s="75">
        <v>2580</v>
      </c>
      <c r="K54" s="76">
        <v>6.0900000000000003E-2</v>
      </c>
      <c r="L54" s="180">
        <f t="shared" si="23"/>
        <v>78.561000000000007</v>
      </c>
      <c r="M54" s="88"/>
      <c r="N54" s="75">
        <v>2448</v>
      </c>
      <c r="O54" s="76">
        <v>5.8599999999999999E-2</v>
      </c>
      <c r="P54" s="180">
        <f t="shared" si="24"/>
        <v>71.726399999999998</v>
      </c>
      <c r="Q54" s="97"/>
      <c r="R54" s="75">
        <v>2268</v>
      </c>
      <c r="S54" s="76">
        <v>5.4100000000000002E-2</v>
      </c>
      <c r="T54" s="180">
        <f t="shared" si="25"/>
        <v>61.349400000000003</v>
      </c>
      <c r="U54" s="97"/>
      <c r="V54" s="75">
        <v>2064</v>
      </c>
      <c r="W54" s="76"/>
      <c r="X54" s="180">
        <f t="shared" si="26"/>
        <v>0</v>
      </c>
      <c r="Y54" s="97"/>
      <c r="Z54" s="75">
        <v>1872</v>
      </c>
      <c r="AA54" s="76"/>
      <c r="AB54" s="180">
        <f t="shared" si="27"/>
        <v>0</v>
      </c>
      <c r="AD54" s="45"/>
    </row>
    <row r="55" spans="1:30" ht="12" customHeight="1" x14ac:dyDescent="0.25">
      <c r="A55" s="65" t="s">
        <v>150</v>
      </c>
      <c r="B55" s="75">
        <v>2808</v>
      </c>
      <c r="C55" s="179">
        <v>7.1999999999999995E-2</v>
      </c>
      <c r="D55" s="176">
        <f t="shared" si="21"/>
        <v>101.08799999999999</v>
      </c>
      <c r="E55" s="65"/>
      <c r="F55" s="75">
        <v>2640</v>
      </c>
      <c r="G55" s="76">
        <v>6.7100000000000007E-2</v>
      </c>
      <c r="H55" s="176">
        <f t="shared" si="22"/>
        <v>88.572000000000003</v>
      </c>
      <c r="I55" s="68"/>
      <c r="J55" s="75">
        <v>2580</v>
      </c>
      <c r="K55" s="76">
        <v>6.4699999999999994E-2</v>
      </c>
      <c r="L55" s="176">
        <f t="shared" si="23"/>
        <v>83.462999999999994</v>
      </c>
      <c r="M55" s="68"/>
      <c r="N55" s="75">
        <v>2448</v>
      </c>
      <c r="O55" s="76">
        <v>6.2300000000000001E-2</v>
      </c>
      <c r="P55" s="176">
        <f t="shared" si="24"/>
        <v>76.255200000000002</v>
      </c>
      <c r="Q55" s="97"/>
      <c r="R55" s="75">
        <v>2268</v>
      </c>
      <c r="S55" s="76">
        <v>5.8000000000000003E-2</v>
      </c>
      <c r="T55" s="176">
        <f t="shared" si="25"/>
        <v>65.772000000000006</v>
      </c>
      <c r="U55" s="97"/>
      <c r="V55" s="75">
        <v>2064</v>
      </c>
      <c r="W55" s="76"/>
      <c r="X55" s="176">
        <f t="shared" si="26"/>
        <v>0</v>
      </c>
      <c r="Y55" s="97"/>
      <c r="Z55" s="75">
        <v>1872</v>
      </c>
      <c r="AA55" s="76"/>
      <c r="AB55" s="176">
        <f t="shared" si="27"/>
        <v>0</v>
      </c>
      <c r="AD55" s="45"/>
    </row>
    <row r="56" spans="1:30" ht="12" customHeight="1" x14ac:dyDescent="0.25">
      <c r="A56" s="74" t="s">
        <v>151</v>
      </c>
      <c r="B56" s="75">
        <v>2808</v>
      </c>
      <c r="C56" s="179"/>
      <c r="D56" s="180">
        <f t="shared" si="21"/>
        <v>0</v>
      </c>
      <c r="E56" s="74"/>
      <c r="F56" s="75">
        <v>2640</v>
      </c>
      <c r="G56" s="76">
        <v>7.1599999999999997E-2</v>
      </c>
      <c r="H56" s="180">
        <f t="shared" si="22"/>
        <v>94.512</v>
      </c>
      <c r="I56" s="88"/>
      <c r="J56" s="75">
        <v>2580</v>
      </c>
      <c r="K56" s="76">
        <v>6.9000000000000006E-2</v>
      </c>
      <c r="L56" s="180">
        <f t="shared" si="23"/>
        <v>89.01</v>
      </c>
      <c r="M56" s="88"/>
      <c r="N56" s="75">
        <v>2448</v>
      </c>
      <c r="O56" s="76">
        <v>6.6400000000000001E-2</v>
      </c>
      <c r="P56" s="180">
        <f t="shared" si="24"/>
        <v>81.273600000000002</v>
      </c>
      <c r="Q56" s="97"/>
      <c r="R56" s="75">
        <v>2268</v>
      </c>
      <c r="S56" s="76">
        <v>6.1899999999999997E-2</v>
      </c>
      <c r="T56" s="180">
        <f t="shared" si="25"/>
        <v>70.194599999999994</v>
      </c>
      <c r="U56" s="97"/>
      <c r="V56" s="75">
        <v>2064</v>
      </c>
      <c r="W56" s="76">
        <v>5.62E-2</v>
      </c>
      <c r="X56" s="180">
        <f t="shared" si="26"/>
        <v>57.998399999999997</v>
      </c>
      <c r="Y56" s="97"/>
      <c r="Z56" s="75">
        <v>1872</v>
      </c>
      <c r="AA56" s="76"/>
      <c r="AB56" s="180">
        <f t="shared" si="27"/>
        <v>0</v>
      </c>
      <c r="AD56" s="45"/>
    </row>
    <row r="57" spans="1:30" ht="12" customHeight="1" x14ac:dyDescent="0.25">
      <c r="A57" s="65" t="s">
        <v>152</v>
      </c>
      <c r="B57" s="75">
        <v>2808</v>
      </c>
      <c r="C57" s="179"/>
      <c r="D57" s="176">
        <f t="shared" si="21"/>
        <v>0</v>
      </c>
      <c r="E57" s="65"/>
      <c r="F57" s="75">
        <v>2640</v>
      </c>
      <c r="G57" s="183">
        <v>7.6700000000000004E-2</v>
      </c>
      <c r="H57" s="176">
        <f t="shared" si="22"/>
        <v>101.244</v>
      </c>
      <c r="I57" s="68"/>
      <c r="J57" s="75">
        <v>2580</v>
      </c>
      <c r="K57" s="183">
        <v>7.3899999999999993E-2</v>
      </c>
      <c r="L57" s="176">
        <f t="shared" si="23"/>
        <v>95.330999999999989</v>
      </c>
      <c r="M57" s="68"/>
      <c r="N57" s="75">
        <v>2448</v>
      </c>
      <c r="O57" s="183">
        <v>7.1199999999999999E-2</v>
      </c>
      <c r="P57" s="176">
        <f t="shared" si="24"/>
        <v>87.148799999999994</v>
      </c>
      <c r="Q57" s="97"/>
      <c r="R57" s="75">
        <v>2268</v>
      </c>
      <c r="S57" s="183">
        <v>6.6299999999999998E-2</v>
      </c>
      <c r="T57" s="176">
        <f t="shared" si="25"/>
        <v>75.184200000000004</v>
      </c>
      <c r="U57" s="97"/>
      <c r="V57" s="75">
        <v>2064</v>
      </c>
      <c r="W57" s="183">
        <v>6.0199999999999997E-2</v>
      </c>
      <c r="X57" s="176">
        <f t="shared" si="26"/>
        <v>62.126399999999997</v>
      </c>
      <c r="Y57" s="97"/>
      <c r="Z57" s="75">
        <v>1872</v>
      </c>
      <c r="AA57" s="183">
        <v>5.5300000000000002E-2</v>
      </c>
      <c r="AB57" s="176">
        <f t="shared" si="27"/>
        <v>51.760800000000003</v>
      </c>
      <c r="AD57" s="45"/>
    </row>
    <row r="58" spans="1:30" ht="12" customHeight="1" x14ac:dyDescent="0.25">
      <c r="A58" s="74" t="s">
        <v>153</v>
      </c>
      <c r="B58" s="75">
        <v>2808</v>
      </c>
      <c r="C58" s="179"/>
      <c r="D58" s="180">
        <f t="shared" si="21"/>
        <v>0</v>
      </c>
      <c r="E58" s="74"/>
      <c r="F58" s="75">
        <v>2640</v>
      </c>
      <c r="G58" s="184">
        <v>8.2600000000000007E-2</v>
      </c>
      <c r="H58" s="180">
        <f t="shared" si="22"/>
        <v>109.03200000000001</v>
      </c>
      <c r="I58" s="88"/>
      <c r="J58" s="75">
        <v>2580</v>
      </c>
      <c r="K58" s="184">
        <v>7.9600000000000004E-2</v>
      </c>
      <c r="L58" s="180">
        <f t="shared" si="23"/>
        <v>102.68400000000001</v>
      </c>
      <c r="M58" s="88"/>
      <c r="N58" s="75">
        <v>2448</v>
      </c>
      <c r="O58" s="184">
        <v>7.7100000000000002E-2</v>
      </c>
      <c r="P58" s="180">
        <f t="shared" si="24"/>
        <v>94.370400000000004</v>
      </c>
      <c r="Q58" s="97"/>
      <c r="R58" s="75">
        <v>2268</v>
      </c>
      <c r="S58" s="184">
        <v>7.1400000000000005E-2</v>
      </c>
      <c r="T58" s="180">
        <f t="shared" si="25"/>
        <v>80.967600000000004</v>
      </c>
      <c r="U58" s="97"/>
      <c r="V58" s="75">
        <v>2064</v>
      </c>
      <c r="W58" s="184">
        <v>6.4799999999999996E-2</v>
      </c>
      <c r="X58" s="180">
        <f t="shared" si="26"/>
        <v>66.873599999999996</v>
      </c>
      <c r="Y58" s="97"/>
      <c r="Z58" s="75">
        <v>1872</v>
      </c>
      <c r="AA58" s="184">
        <v>5.8999999999999997E-2</v>
      </c>
      <c r="AB58" s="180">
        <f t="shared" si="27"/>
        <v>55.223999999999997</v>
      </c>
      <c r="AD58" s="45"/>
    </row>
    <row r="59" spans="1:30" ht="12" customHeight="1" x14ac:dyDescent="0.25">
      <c r="A59" s="68" t="s">
        <v>154</v>
      </c>
      <c r="B59" s="75">
        <v>2808</v>
      </c>
      <c r="C59" s="179"/>
      <c r="D59" s="176">
        <f t="shared" si="21"/>
        <v>0</v>
      </c>
      <c r="E59" s="65"/>
      <c r="F59" s="75">
        <v>2640</v>
      </c>
      <c r="G59" s="183"/>
      <c r="H59" s="176">
        <f t="shared" si="22"/>
        <v>0</v>
      </c>
      <c r="I59" s="68"/>
      <c r="J59" s="75">
        <v>2580</v>
      </c>
      <c r="K59" s="183">
        <v>8.6199999999999999E-2</v>
      </c>
      <c r="L59" s="176">
        <f t="shared" si="23"/>
        <v>111.19799999999999</v>
      </c>
      <c r="M59" s="68"/>
      <c r="N59" s="75">
        <v>2448</v>
      </c>
      <c r="O59" s="184">
        <v>8.3000000000000004E-2</v>
      </c>
      <c r="P59" s="176">
        <f t="shared" si="24"/>
        <v>101.592</v>
      </c>
      <c r="Q59" s="97"/>
      <c r="R59" s="75">
        <v>2268</v>
      </c>
      <c r="S59" s="183">
        <v>7.6600000000000001E-2</v>
      </c>
      <c r="T59" s="176">
        <f t="shared" si="25"/>
        <v>86.864400000000003</v>
      </c>
      <c r="U59" s="97"/>
      <c r="V59" s="75">
        <v>2064</v>
      </c>
      <c r="W59" s="183">
        <v>8.4400000000000003E-2</v>
      </c>
      <c r="X59" s="176">
        <f t="shared" si="26"/>
        <v>87.100800000000007</v>
      </c>
      <c r="Y59" s="97"/>
      <c r="Z59" s="75">
        <v>1872</v>
      </c>
      <c r="AA59" s="183">
        <v>7.6600000000000001E-2</v>
      </c>
      <c r="AB59" s="176">
        <f t="shared" si="27"/>
        <v>71.697599999999994</v>
      </c>
      <c r="AD59" s="45"/>
    </row>
    <row r="60" spans="1:30" ht="12" customHeight="1" x14ac:dyDescent="0.25">
      <c r="A60" s="78" t="s">
        <v>155</v>
      </c>
      <c r="B60" s="75">
        <v>2808</v>
      </c>
      <c r="C60" s="179"/>
      <c r="D60" s="180">
        <f t="shared" si="21"/>
        <v>0</v>
      </c>
      <c r="E60" s="192"/>
      <c r="F60" s="75">
        <v>2640</v>
      </c>
      <c r="G60" s="76"/>
      <c r="H60" s="180">
        <f t="shared" si="22"/>
        <v>0</v>
      </c>
      <c r="I60" s="92"/>
      <c r="J60" s="75">
        <v>2580</v>
      </c>
      <c r="K60" s="76"/>
      <c r="L60" s="180">
        <f t="shared" si="23"/>
        <v>0</v>
      </c>
      <c r="M60" s="92"/>
      <c r="N60" s="75">
        <v>2448</v>
      </c>
      <c r="O60" s="84"/>
      <c r="P60" s="180">
        <f t="shared" si="24"/>
        <v>0</v>
      </c>
      <c r="Q60" s="110"/>
      <c r="R60" s="75">
        <v>2268</v>
      </c>
      <c r="S60" s="84">
        <v>9.2399999999999996E-2</v>
      </c>
      <c r="T60" s="180">
        <f t="shared" si="25"/>
        <v>104.7816</v>
      </c>
      <c r="U60" s="110"/>
      <c r="V60" s="75">
        <v>2064</v>
      </c>
      <c r="W60" s="146">
        <v>8.4699999999999998E-2</v>
      </c>
      <c r="X60" s="180">
        <f t="shared" si="26"/>
        <v>87.410399999999996</v>
      </c>
      <c r="Y60" s="110"/>
      <c r="Z60" s="75">
        <v>1872</v>
      </c>
      <c r="AA60" s="84">
        <v>7.6999999999999999E-2</v>
      </c>
      <c r="AB60" s="180">
        <f t="shared" si="27"/>
        <v>72.072000000000003</v>
      </c>
      <c r="AD60" s="45"/>
    </row>
    <row r="61" spans="1:30" ht="12" customHeight="1" x14ac:dyDescent="0.25">
      <c r="A61" s="186" t="s">
        <v>156</v>
      </c>
      <c r="B61" s="75">
        <v>2808</v>
      </c>
      <c r="C61" s="187"/>
      <c r="D61" s="188">
        <f t="shared" si="21"/>
        <v>0</v>
      </c>
      <c r="E61" s="193"/>
      <c r="F61" s="75">
        <v>2640</v>
      </c>
      <c r="G61" s="189"/>
      <c r="H61" s="188">
        <f t="shared" si="22"/>
        <v>0</v>
      </c>
      <c r="I61" s="92"/>
      <c r="J61" s="75">
        <v>2580</v>
      </c>
      <c r="K61" s="189"/>
      <c r="L61" s="188">
        <f t="shared" si="23"/>
        <v>0</v>
      </c>
      <c r="M61" s="92"/>
      <c r="N61" s="75">
        <v>2448</v>
      </c>
      <c r="O61" s="84"/>
      <c r="P61" s="188">
        <f t="shared" si="24"/>
        <v>0</v>
      </c>
      <c r="Q61" s="110"/>
      <c r="R61" s="75">
        <v>2268</v>
      </c>
      <c r="S61" s="112">
        <v>9.5600000000000004E-2</v>
      </c>
      <c r="T61" s="188">
        <f t="shared" si="25"/>
        <v>108.41040000000001</v>
      </c>
      <c r="U61" s="110"/>
      <c r="V61" s="75">
        <v>2064</v>
      </c>
      <c r="W61" s="146">
        <v>8.77E-2</v>
      </c>
      <c r="X61" s="188">
        <f t="shared" si="26"/>
        <v>90.506399999999999</v>
      </c>
      <c r="Y61" s="110"/>
      <c r="Z61" s="75">
        <v>1872</v>
      </c>
      <c r="AA61" s="84">
        <v>7.9699999999999993E-2</v>
      </c>
      <c r="AB61" s="188">
        <f t="shared" si="27"/>
        <v>74.599199999999996</v>
      </c>
      <c r="AD61" s="45"/>
    </row>
    <row r="62" spans="1:30" ht="12" customHeight="1" x14ac:dyDescent="0.25">
      <c r="A62" s="224" t="s">
        <v>105</v>
      </c>
      <c r="B62" s="224"/>
      <c r="C62" s="224"/>
      <c r="D62" s="224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D62" s="45"/>
    </row>
    <row r="63" spans="1:30" x14ac:dyDescent="0.25">
      <c r="A63" s="46"/>
      <c r="B63" s="47" t="s">
        <v>75</v>
      </c>
      <c r="C63" s="168" t="s">
        <v>88</v>
      </c>
      <c r="D63" s="207" t="s">
        <v>81</v>
      </c>
      <c r="E63" s="46"/>
      <c r="F63" s="47" t="s">
        <v>75</v>
      </c>
      <c r="G63" s="169" t="s">
        <v>88</v>
      </c>
      <c r="H63" s="207" t="s">
        <v>82</v>
      </c>
      <c r="I63" s="46"/>
      <c r="J63" s="47" t="s">
        <v>75</v>
      </c>
      <c r="K63" s="169" t="s">
        <v>88</v>
      </c>
      <c r="L63" s="207" t="s">
        <v>83</v>
      </c>
      <c r="M63" s="51"/>
      <c r="N63" s="47" t="s">
        <v>75</v>
      </c>
      <c r="O63" s="169" t="s">
        <v>88</v>
      </c>
      <c r="P63" s="207" t="s">
        <v>84</v>
      </c>
      <c r="Q63" s="51"/>
      <c r="R63" s="47" t="s">
        <v>75</v>
      </c>
      <c r="S63" s="169" t="s">
        <v>88</v>
      </c>
      <c r="T63" s="207" t="s">
        <v>85</v>
      </c>
      <c r="U63" s="51"/>
      <c r="V63" s="47" t="s">
        <v>75</v>
      </c>
      <c r="W63" s="168" t="s">
        <v>88</v>
      </c>
      <c r="X63" s="207" t="s">
        <v>144</v>
      </c>
      <c r="Y63" s="51"/>
      <c r="Z63" s="47" t="s">
        <v>75</v>
      </c>
      <c r="AA63" s="168" t="s">
        <v>88</v>
      </c>
      <c r="AB63" s="207" t="s">
        <v>145</v>
      </c>
      <c r="AD63" s="45"/>
    </row>
    <row r="64" spans="1:30" ht="11.25" customHeight="1" x14ac:dyDescent="0.25">
      <c r="A64" s="52" t="s">
        <v>86</v>
      </c>
      <c r="B64" s="53" t="s">
        <v>87</v>
      </c>
      <c r="C64" s="170"/>
      <c r="D64" s="207"/>
      <c r="E64" s="52"/>
      <c r="F64" s="53" t="s">
        <v>87</v>
      </c>
      <c r="G64" s="171"/>
      <c r="H64" s="207"/>
      <c r="I64" s="52"/>
      <c r="J64" s="53" t="s">
        <v>87</v>
      </c>
      <c r="K64" s="171"/>
      <c r="L64" s="207"/>
      <c r="M64" s="58"/>
      <c r="N64" s="53" t="s">
        <v>87</v>
      </c>
      <c r="O64" s="171"/>
      <c r="P64" s="207"/>
      <c r="Q64" s="58"/>
      <c r="R64" s="53" t="s">
        <v>87</v>
      </c>
      <c r="S64" s="171"/>
      <c r="T64" s="207"/>
      <c r="U64" s="58"/>
      <c r="V64" s="53" t="s">
        <v>87</v>
      </c>
      <c r="W64" s="170"/>
      <c r="X64" s="207"/>
      <c r="Y64" s="58"/>
      <c r="Z64" s="53" t="s">
        <v>87</v>
      </c>
      <c r="AA64" s="170"/>
      <c r="AB64" s="207"/>
      <c r="AD64" s="45"/>
    </row>
    <row r="65" spans="1:30" ht="11.25" customHeight="1" x14ac:dyDescent="0.25">
      <c r="A65" s="59"/>
      <c r="B65" s="60" t="s">
        <v>89</v>
      </c>
      <c r="C65" s="172" t="s">
        <v>90</v>
      </c>
      <c r="D65" s="207"/>
      <c r="E65" s="52"/>
      <c r="F65" s="60" t="s">
        <v>89</v>
      </c>
      <c r="G65" s="174" t="s">
        <v>90</v>
      </c>
      <c r="H65" s="207"/>
      <c r="I65" s="52"/>
      <c r="J65" s="60" t="s">
        <v>89</v>
      </c>
      <c r="K65" s="174" t="s">
        <v>90</v>
      </c>
      <c r="L65" s="207"/>
      <c r="M65" s="58"/>
      <c r="N65" s="60" t="s">
        <v>89</v>
      </c>
      <c r="O65" s="174" t="s">
        <v>90</v>
      </c>
      <c r="P65" s="207"/>
      <c r="Q65" s="58"/>
      <c r="R65" s="60" t="s">
        <v>89</v>
      </c>
      <c r="S65" s="174" t="s">
        <v>90</v>
      </c>
      <c r="T65" s="207"/>
      <c r="U65" s="58"/>
      <c r="V65" s="60" t="s">
        <v>89</v>
      </c>
      <c r="W65" s="172" t="s">
        <v>90</v>
      </c>
      <c r="X65" s="207"/>
      <c r="Y65" s="58"/>
      <c r="Z65" s="60" t="s">
        <v>89</v>
      </c>
      <c r="AA65" s="172" t="s">
        <v>90</v>
      </c>
      <c r="AB65" s="207"/>
      <c r="AD65" s="45"/>
    </row>
    <row r="66" spans="1:30" ht="12" customHeight="1" x14ac:dyDescent="0.25">
      <c r="A66" s="65" t="s">
        <v>146</v>
      </c>
      <c r="B66" s="75">
        <v>2448</v>
      </c>
      <c r="C66" s="175">
        <v>3.8399999999999997E-2</v>
      </c>
      <c r="D66" s="190">
        <f t="shared" ref="D66:D76" si="28">(B66*C66)/2</f>
        <v>47.001599999999996</v>
      </c>
      <c r="E66" s="191"/>
      <c r="F66" s="75">
        <v>2268</v>
      </c>
      <c r="G66" s="76">
        <v>3.5799999999999998E-2</v>
      </c>
      <c r="H66" s="190">
        <f t="shared" ref="H66:H76" si="29">(F66*G66)/2</f>
        <v>40.597200000000001</v>
      </c>
      <c r="I66" s="68"/>
      <c r="J66" s="75">
        <v>2220</v>
      </c>
      <c r="K66" s="76"/>
      <c r="L66" s="190">
        <f t="shared" ref="L66:L76" si="30">(J66*K66)/2</f>
        <v>0</v>
      </c>
      <c r="M66" s="68"/>
      <c r="N66" s="75">
        <v>2124</v>
      </c>
      <c r="O66" s="76"/>
      <c r="P66" s="190">
        <f t="shared" ref="P66:P76" si="31">(N66*O66)/2</f>
        <v>0</v>
      </c>
      <c r="Q66" s="97"/>
      <c r="R66" s="75">
        <v>1944</v>
      </c>
      <c r="S66" s="178"/>
      <c r="T66" s="190">
        <f t="shared" ref="T66:T76" si="32">(R66*S66)/2</f>
        <v>0</v>
      </c>
      <c r="U66" s="97"/>
      <c r="V66" s="75">
        <v>1800</v>
      </c>
      <c r="W66" s="76"/>
      <c r="X66" s="190">
        <f t="shared" ref="X66:X76" si="33">(V66*W66)/2</f>
        <v>0</v>
      </c>
      <c r="Y66" s="97"/>
      <c r="Z66" s="75">
        <v>1632</v>
      </c>
      <c r="AA66" s="76"/>
      <c r="AB66" s="190">
        <f t="shared" ref="AB66:AB76" si="34">(Z66*AA66)/2</f>
        <v>0</v>
      </c>
      <c r="AD66" s="45"/>
    </row>
    <row r="67" spans="1:30" s="1" customFormat="1" ht="12" customHeight="1" x14ac:dyDescent="0.25">
      <c r="A67" s="74" t="s">
        <v>147</v>
      </c>
      <c r="B67" s="75">
        <v>2448</v>
      </c>
      <c r="C67" s="179">
        <v>5.7599999999999998E-2</v>
      </c>
      <c r="D67" s="180">
        <f t="shared" si="28"/>
        <v>70.502399999999994</v>
      </c>
      <c r="E67" s="74"/>
      <c r="F67" s="75">
        <v>2268</v>
      </c>
      <c r="G67" s="76">
        <v>5.3699999999999998E-2</v>
      </c>
      <c r="H67" s="180">
        <f t="shared" si="29"/>
        <v>60.895799999999994</v>
      </c>
      <c r="I67" s="78"/>
      <c r="J67" s="75">
        <v>2220</v>
      </c>
      <c r="K67" s="76">
        <v>5.1700000000000003E-2</v>
      </c>
      <c r="L67" s="180">
        <f t="shared" si="30"/>
        <v>57.387</v>
      </c>
      <c r="M67" s="78"/>
      <c r="N67" s="75">
        <v>2124</v>
      </c>
      <c r="O67" s="76"/>
      <c r="P67" s="180">
        <f t="shared" si="31"/>
        <v>0</v>
      </c>
      <c r="Q67" s="101"/>
      <c r="R67" s="75">
        <v>1944</v>
      </c>
      <c r="S67" s="76"/>
      <c r="T67" s="180">
        <f t="shared" si="32"/>
        <v>0</v>
      </c>
      <c r="U67" s="101"/>
      <c r="V67" s="75">
        <v>1800</v>
      </c>
      <c r="W67" s="76"/>
      <c r="X67" s="180">
        <f t="shared" si="33"/>
        <v>0</v>
      </c>
      <c r="Y67" s="101"/>
      <c r="Z67" s="75">
        <v>1632</v>
      </c>
      <c r="AA67" s="76"/>
      <c r="AB67" s="180">
        <f t="shared" si="34"/>
        <v>0</v>
      </c>
      <c r="AD67" s="45"/>
    </row>
    <row r="68" spans="1:30" ht="12" customHeight="1" x14ac:dyDescent="0.25">
      <c r="A68" s="65" t="s">
        <v>148</v>
      </c>
      <c r="B68" s="75">
        <v>2448</v>
      </c>
      <c r="C68" s="179">
        <v>6.4000000000000001E-2</v>
      </c>
      <c r="D68" s="176">
        <f t="shared" si="28"/>
        <v>78.335999999999999</v>
      </c>
      <c r="E68" s="65"/>
      <c r="F68" s="75">
        <v>2268</v>
      </c>
      <c r="G68" s="76">
        <v>5.9700000000000003E-2</v>
      </c>
      <c r="H68" s="176">
        <f t="shared" si="29"/>
        <v>67.69980000000001</v>
      </c>
      <c r="I68" s="68"/>
      <c r="J68" s="75">
        <v>2220</v>
      </c>
      <c r="K68" s="76">
        <v>5.7500000000000002E-2</v>
      </c>
      <c r="L68" s="176">
        <f t="shared" si="30"/>
        <v>63.825000000000003</v>
      </c>
      <c r="M68" s="68"/>
      <c r="N68" s="75">
        <v>2124</v>
      </c>
      <c r="O68" s="76">
        <v>5.5300000000000002E-2</v>
      </c>
      <c r="P68" s="176">
        <f t="shared" si="31"/>
        <v>58.7286</v>
      </c>
      <c r="Q68" s="97"/>
      <c r="R68" s="75">
        <v>1944</v>
      </c>
      <c r="S68" s="76"/>
      <c r="T68" s="176">
        <f t="shared" si="32"/>
        <v>0</v>
      </c>
      <c r="U68" s="97"/>
      <c r="V68" s="75">
        <v>1800</v>
      </c>
      <c r="W68" s="76"/>
      <c r="X68" s="176">
        <f t="shared" si="33"/>
        <v>0</v>
      </c>
      <c r="Y68" s="97"/>
      <c r="Z68" s="75">
        <v>1632</v>
      </c>
      <c r="AA68" s="76"/>
      <c r="AB68" s="176">
        <f t="shared" si="34"/>
        <v>0</v>
      </c>
      <c r="AD68" s="45"/>
    </row>
    <row r="69" spans="1:30" ht="12" customHeight="1" x14ac:dyDescent="0.25">
      <c r="A69" s="74" t="s">
        <v>149</v>
      </c>
      <c r="B69" s="75">
        <v>2448</v>
      </c>
      <c r="C69" s="179">
        <v>6.7799999999999999E-2</v>
      </c>
      <c r="D69" s="180">
        <f t="shared" si="28"/>
        <v>82.987200000000001</v>
      </c>
      <c r="E69" s="74"/>
      <c r="F69" s="75">
        <v>2268</v>
      </c>
      <c r="G69" s="76">
        <v>6.3200000000000006E-2</v>
      </c>
      <c r="H69" s="180">
        <f t="shared" si="29"/>
        <v>71.668800000000005</v>
      </c>
      <c r="I69" s="88"/>
      <c r="J69" s="75">
        <v>2220</v>
      </c>
      <c r="K69" s="76">
        <v>6.0900000000000003E-2</v>
      </c>
      <c r="L69" s="180">
        <f t="shared" si="30"/>
        <v>67.599000000000004</v>
      </c>
      <c r="M69" s="88"/>
      <c r="N69" s="75">
        <v>2124</v>
      </c>
      <c r="O69" s="76">
        <v>5.8599999999999999E-2</v>
      </c>
      <c r="P69" s="180">
        <f t="shared" si="31"/>
        <v>62.233199999999997</v>
      </c>
      <c r="Q69" s="97"/>
      <c r="R69" s="75">
        <v>1944</v>
      </c>
      <c r="S69" s="76">
        <v>5.4100000000000002E-2</v>
      </c>
      <c r="T69" s="180">
        <f t="shared" si="32"/>
        <v>52.5852</v>
      </c>
      <c r="U69" s="97"/>
      <c r="V69" s="75">
        <v>1800</v>
      </c>
      <c r="W69" s="76"/>
      <c r="X69" s="180">
        <f t="shared" si="33"/>
        <v>0</v>
      </c>
      <c r="Y69" s="97"/>
      <c r="Z69" s="75">
        <v>1632</v>
      </c>
      <c r="AA69" s="76"/>
      <c r="AB69" s="180">
        <f t="shared" si="34"/>
        <v>0</v>
      </c>
      <c r="AD69" s="45"/>
    </row>
    <row r="70" spans="1:30" ht="12" customHeight="1" x14ac:dyDescent="0.25">
      <c r="A70" s="65" t="s">
        <v>150</v>
      </c>
      <c r="B70" s="75">
        <v>2448</v>
      </c>
      <c r="C70" s="179">
        <v>7.1999999999999995E-2</v>
      </c>
      <c r="D70" s="176">
        <f t="shared" si="28"/>
        <v>88.128</v>
      </c>
      <c r="E70" s="65"/>
      <c r="F70" s="75">
        <v>2268</v>
      </c>
      <c r="G70" s="76">
        <v>6.7100000000000007E-2</v>
      </c>
      <c r="H70" s="176">
        <f t="shared" si="29"/>
        <v>76.091400000000007</v>
      </c>
      <c r="I70" s="68"/>
      <c r="J70" s="75">
        <v>2220</v>
      </c>
      <c r="K70" s="76">
        <v>6.4699999999999994E-2</v>
      </c>
      <c r="L70" s="176">
        <f t="shared" si="30"/>
        <v>71.816999999999993</v>
      </c>
      <c r="M70" s="68"/>
      <c r="N70" s="75">
        <v>2124</v>
      </c>
      <c r="O70" s="76">
        <v>6.2300000000000001E-2</v>
      </c>
      <c r="P70" s="176">
        <f t="shared" si="31"/>
        <v>66.162599999999998</v>
      </c>
      <c r="Q70" s="97"/>
      <c r="R70" s="75">
        <v>1944</v>
      </c>
      <c r="S70" s="76">
        <v>5.8000000000000003E-2</v>
      </c>
      <c r="T70" s="176">
        <f t="shared" si="32"/>
        <v>56.376000000000005</v>
      </c>
      <c r="U70" s="97"/>
      <c r="V70" s="75">
        <v>1800</v>
      </c>
      <c r="W70" s="76"/>
      <c r="X70" s="176">
        <f t="shared" si="33"/>
        <v>0</v>
      </c>
      <c r="Y70" s="97"/>
      <c r="Z70" s="75">
        <v>1632</v>
      </c>
      <c r="AA70" s="76"/>
      <c r="AB70" s="176">
        <f t="shared" si="34"/>
        <v>0</v>
      </c>
      <c r="AD70" s="45"/>
    </row>
    <row r="71" spans="1:30" ht="12" customHeight="1" x14ac:dyDescent="0.25">
      <c r="A71" s="74" t="s">
        <v>151</v>
      </c>
      <c r="B71" s="75">
        <v>2448</v>
      </c>
      <c r="C71" s="179"/>
      <c r="D71" s="180">
        <f t="shared" si="28"/>
        <v>0</v>
      </c>
      <c r="E71" s="74"/>
      <c r="F71" s="75">
        <v>2268</v>
      </c>
      <c r="G71" s="76">
        <v>7.1599999999999997E-2</v>
      </c>
      <c r="H71" s="180">
        <f t="shared" si="29"/>
        <v>81.194400000000002</v>
      </c>
      <c r="I71" s="88"/>
      <c r="J71" s="75">
        <v>2220</v>
      </c>
      <c r="K71" s="76">
        <v>6.9000000000000006E-2</v>
      </c>
      <c r="L71" s="180">
        <f t="shared" si="30"/>
        <v>76.59</v>
      </c>
      <c r="M71" s="88"/>
      <c r="N71" s="75">
        <v>2124</v>
      </c>
      <c r="O71" s="76">
        <v>6.6400000000000001E-2</v>
      </c>
      <c r="P71" s="180">
        <f t="shared" si="31"/>
        <v>70.516800000000003</v>
      </c>
      <c r="Q71" s="97"/>
      <c r="R71" s="75">
        <v>1944</v>
      </c>
      <c r="S71" s="76">
        <v>6.1899999999999997E-2</v>
      </c>
      <c r="T71" s="180">
        <f t="shared" si="32"/>
        <v>60.166799999999995</v>
      </c>
      <c r="U71" s="97"/>
      <c r="V71" s="75">
        <v>1800</v>
      </c>
      <c r="W71" s="76">
        <v>5.62E-2</v>
      </c>
      <c r="X71" s="180">
        <f t="shared" si="33"/>
        <v>50.58</v>
      </c>
      <c r="Y71" s="97"/>
      <c r="Z71" s="75">
        <v>1632</v>
      </c>
      <c r="AA71" s="76"/>
      <c r="AB71" s="180">
        <f t="shared" si="34"/>
        <v>0</v>
      </c>
      <c r="AD71" s="45"/>
    </row>
    <row r="72" spans="1:30" ht="12" customHeight="1" x14ac:dyDescent="0.25">
      <c r="A72" s="65" t="s">
        <v>152</v>
      </c>
      <c r="B72" s="75">
        <v>2448</v>
      </c>
      <c r="C72" s="179"/>
      <c r="D72" s="176">
        <f t="shared" si="28"/>
        <v>0</v>
      </c>
      <c r="E72" s="65"/>
      <c r="F72" s="75">
        <v>2268</v>
      </c>
      <c r="G72" s="183">
        <v>7.6700000000000004E-2</v>
      </c>
      <c r="H72" s="176">
        <f t="shared" si="29"/>
        <v>86.977800000000002</v>
      </c>
      <c r="I72" s="68"/>
      <c r="J72" s="75">
        <v>2220</v>
      </c>
      <c r="K72" s="183">
        <v>7.3899999999999993E-2</v>
      </c>
      <c r="L72" s="176">
        <f t="shared" si="30"/>
        <v>82.028999999999996</v>
      </c>
      <c r="M72" s="68"/>
      <c r="N72" s="75">
        <v>2124</v>
      </c>
      <c r="O72" s="183">
        <v>7.1199999999999999E-2</v>
      </c>
      <c r="P72" s="176">
        <f t="shared" si="31"/>
        <v>75.614400000000003</v>
      </c>
      <c r="Q72" s="97"/>
      <c r="R72" s="75">
        <v>1944</v>
      </c>
      <c r="S72" s="183">
        <v>6.6299999999999998E-2</v>
      </c>
      <c r="T72" s="176">
        <f t="shared" si="32"/>
        <v>64.443600000000004</v>
      </c>
      <c r="U72" s="97"/>
      <c r="V72" s="75">
        <v>1800</v>
      </c>
      <c r="W72" s="183">
        <v>6.0199999999999997E-2</v>
      </c>
      <c r="X72" s="176">
        <f t="shared" si="33"/>
        <v>54.18</v>
      </c>
      <c r="Y72" s="97"/>
      <c r="Z72" s="75">
        <v>1632</v>
      </c>
      <c r="AA72" s="183">
        <v>5.5300000000000002E-2</v>
      </c>
      <c r="AB72" s="176">
        <f t="shared" si="34"/>
        <v>45.1248</v>
      </c>
      <c r="AD72" s="45"/>
    </row>
    <row r="73" spans="1:30" ht="12" customHeight="1" x14ac:dyDescent="0.25">
      <c r="A73" s="74" t="s">
        <v>153</v>
      </c>
      <c r="B73" s="75">
        <v>2448</v>
      </c>
      <c r="C73" s="179"/>
      <c r="D73" s="180">
        <f t="shared" si="28"/>
        <v>0</v>
      </c>
      <c r="E73" s="74"/>
      <c r="F73" s="75">
        <v>2268</v>
      </c>
      <c r="G73" s="184">
        <v>8.2600000000000007E-2</v>
      </c>
      <c r="H73" s="180">
        <f t="shared" si="29"/>
        <v>93.668400000000005</v>
      </c>
      <c r="I73" s="88"/>
      <c r="J73" s="75">
        <v>2220</v>
      </c>
      <c r="K73" s="184">
        <v>7.9600000000000004E-2</v>
      </c>
      <c r="L73" s="180">
        <f t="shared" si="30"/>
        <v>88.356000000000009</v>
      </c>
      <c r="M73" s="88"/>
      <c r="N73" s="75">
        <v>2124</v>
      </c>
      <c r="O73" s="184">
        <v>7.7100000000000002E-2</v>
      </c>
      <c r="P73" s="180">
        <f t="shared" si="31"/>
        <v>81.880200000000002</v>
      </c>
      <c r="Q73" s="97"/>
      <c r="R73" s="75">
        <v>1944</v>
      </c>
      <c r="S73" s="184">
        <v>7.1400000000000005E-2</v>
      </c>
      <c r="T73" s="180">
        <f t="shared" si="32"/>
        <v>69.400800000000004</v>
      </c>
      <c r="U73" s="97"/>
      <c r="V73" s="75">
        <v>1800</v>
      </c>
      <c r="W73" s="184">
        <v>6.4799999999999996E-2</v>
      </c>
      <c r="X73" s="180">
        <f t="shared" si="33"/>
        <v>58.32</v>
      </c>
      <c r="Y73" s="97"/>
      <c r="Z73" s="75">
        <v>1632</v>
      </c>
      <c r="AA73" s="184">
        <v>5.8999999999999997E-2</v>
      </c>
      <c r="AB73" s="180">
        <f t="shared" si="34"/>
        <v>48.143999999999998</v>
      </c>
      <c r="AD73" s="45"/>
    </row>
    <row r="74" spans="1:30" ht="12" customHeight="1" x14ac:dyDescent="0.25">
      <c r="A74" s="68" t="s">
        <v>154</v>
      </c>
      <c r="B74" s="75">
        <v>2448</v>
      </c>
      <c r="C74" s="179"/>
      <c r="D74" s="176">
        <f t="shared" si="28"/>
        <v>0</v>
      </c>
      <c r="E74" s="65"/>
      <c r="F74" s="75">
        <v>2268</v>
      </c>
      <c r="G74" s="183"/>
      <c r="H74" s="176">
        <f t="shared" si="29"/>
        <v>0</v>
      </c>
      <c r="I74" s="68"/>
      <c r="J74" s="75">
        <v>2220</v>
      </c>
      <c r="K74" s="183">
        <v>8.6199999999999999E-2</v>
      </c>
      <c r="L74" s="176">
        <f t="shared" si="30"/>
        <v>95.682000000000002</v>
      </c>
      <c r="M74" s="68"/>
      <c r="N74" s="75">
        <v>2124</v>
      </c>
      <c r="O74" s="184">
        <v>8.3000000000000004E-2</v>
      </c>
      <c r="P74" s="176">
        <f t="shared" si="31"/>
        <v>88.146000000000001</v>
      </c>
      <c r="Q74" s="97"/>
      <c r="R74" s="75">
        <v>1944</v>
      </c>
      <c r="S74" s="183">
        <v>7.6600000000000001E-2</v>
      </c>
      <c r="T74" s="176">
        <f t="shared" si="32"/>
        <v>74.455200000000005</v>
      </c>
      <c r="U74" s="97"/>
      <c r="V74" s="75">
        <v>1800</v>
      </c>
      <c r="W74" s="183">
        <v>8.4400000000000003E-2</v>
      </c>
      <c r="X74" s="176">
        <f t="shared" si="33"/>
        <v>75.960000000000008</v>
      </c>
      <c r="Y74" s="97"/>
      <c r="Z74" s="75">
        <v>1632</v>
      </c>
      <c r="AA74" s="183">
        <v>7.6600000000000001E-2</v>
      </c>
      <c r="AB74" s="176">
        <f t="shared" si="34"/>
        <v>62.505600000000001</v>
      </c>
      <c r="AD74" s="45"/>
    </row>
    <row r="75" spans="1:30" ht="12" customHeight="1" x14ac:dyDescent="0.25">
      <c r="A75" s="78" t="s">
        <v>155</v>
      </c>
      <c r="B75" s="75">
        <v>2448</v>
      </c>
      <c r="C75" s="179"/>
      <c r="D75" s="180">
        <f t="shared" si="28"/>
        <v>0</v>
      </c>
      <c r="E75" s="192"/>
      <c r="F75" s="75">
        <v>2268</v>
      </c>
      <c r="G75" s="76"/>
      <c r="H75" s="180">
        <f t="shared" si="29"/>
        <v>0</v>
      </c>
      <c r="I75" s="92"/>
      <c r="J75" s="75">
        <v>2220</v>
      </c>
      <c r="K75" s="76"/>
      <c r="L75" s="180">
        <f t="shared" si="30"/>
        <v>0</v>
      </c>
      <c r="M75" s="92"/>
      <c r="N75" s="75">
        <v>2124</v>
      </c>
      <c r="O75" s="84"/>
      <c r="P75" s="180">
        <f t="shared" si="31"/>
        <v>0</v>
      </c>
      <c r="Q75" s="110"/>
      <c r="R75" s="75">
        <v>1944</v>
      </c>
      <c r="S75" s="84">
        <v>9.2399999999999996E-2</v>
      </c>
      <c r="T75" s="180">
        <f t="shared" si="32"/>
        <v>89.812799999999996</v>
      </c>
      <c r="U75" s="110"/>
      <c r="V75" s="75">
        <v>1800</v>
      </c>
      <c r="W75" s="146">
        <v>8.4699999999999998E-2</v>
      </c>
      <c r="X75" s="180">
        <f t="shared" si="33"/>
        <v>76.23</v>
      </c>
      <c r="Y75" s="110"/>
      <c r="Z75" s="75">
        <v>1632</v>
      </c>
      <c r="AA75" s="84">
        <v>7.6999999999999999E-2</v>
      </c>
      <c r="AB75" s="180">
        <f t="shared" si="34"/>
        <v>62.832000000000001</v>
      </c>
      <c r="AD75" s="45"/>
    </row>
    <row r="76" spans="1:30" ht="12" customHeight="1" x14ac:dyDescent="0.25">
      <c r="A76" s="186" t="s">
        <v>156</v>
      </c>
      <c r="B76" s="75">
        <v>2448</v>
      </c>
      <c r="C76" s="187"/>
      <c r="D76" s="188">
        <f t="shared" si="28"/>
        <v>0</v>
      </c>
      <c r="F76" s="75">
        <v>2268</v>
      </c>
      <c r="G76" s="189"/>
      <c r="H76" s="188">
        <f t="shared" si="29"/>
        <v>0</v>
      </c>
      <c r="J76" s="75">
        <v>2220</v>
      </c>
      <c r="K76" s="189"/>
      <c r="L76" s="188">
        <f t="shared" si="30"/>
        <v>0</v>
      </c>
      <c r="N76" s="75">
        <v>2124</v>
      </c>
      <c r="O76" s="84"/>
      <c r="P76" s="188">
        <f t="shared" si="31"/>
        <v>0</v>
      </c>
      <c r="R76" s="75">
        <v>1944</v>
      </c>
      <c r="S76" s="112">
        <v>9.5600000000000004E-2</v>
      </c>
      <c r="T76" s="188">
        <f t="shared" si="32"/>
        <v>92.923200000000008</v>
      </c>
      <c r="V76" s="75">
        <v>1800</v>
      </c>
      <c r="W76" s="146">
        <v>8.77E-2</v>
      </c>
      <c r="X76" s="188">
        <f t="shared" si="33"/>
        <v>78.930000000000007</v>
      </c>
      <c r="Z76" s="75">
        <v>1632</v>
      </c>
      <c r="AA76" s="84">
        <v>7.9699999999999993E-2</v>
      </c>
      <c r="AB76" s="188">
        <f t="shared" si="34"/>
        <v>65.035199999999989</v>
      </c>
      <c r="AD76" s="45"/>
    </row>
    <row r="77" spans="1:30" x14ac:dyDescent="0.25">
      <c r="A77" s="78" t="s">
        <v>157</v>
      </c>
      <c r="AD77" s="45"/>
    </row>
    <row r="78" spans="1:30" x14ac:dyDescent="0.25">
      <c r="AD78" s="45"/>
    </row>
    <row r="79" spans="1:30" x14ac:dyDescent="0.25">
      <c r="AD79" s="45"/>
    </row>
    <row r="80" spans="1:30" x14ac:dyDescent="0.25">
      <c r="AD80" s="45"/>
    </row>
    <row r="81" spans="30:30" customFormat="1" x14ac:dyDescent="0.25">
      <c r="AD81" s="45"/>
    </row>
    <row r="82" spans="30:30" customFormat="1" x14ac:dyDescent="0.25">
      <c r="AD82" s="45"/>
    </row>
    <row r="83" spans="30:30" customFormat="1" x14ac:dyDescent="0.25">
      <c r="AD83" s="45"/>
    </row>
  </sheetData>
  <mergeCells count="41">
    <mergeCell ref="A1:AB1"/>
    <mergeCell ref="A2:AB2"/>
    <mergeCell ref="D3:D5"/>
    <mergeCell ref="H3:H5"/>
    <mergeCell ref="L3:L5"/>
    <mergeCell ref="P3:P5"/>
    <mergeCell ref="T3:T5"/>
    <mergeCell ref="X3:X5"/>
    <mergeCell ref="AB3:AB5"/>
    <mergeCell ref="A17:AB17"/>
    <mergeCell ref="D18:D20"/>
    <mergeCell ref="H18:H20"/>
    <mergeCell ref="L18:L20"/>
    <mergeCell ref="P18:P20"/>
    <mergeCell ref="T18:T20"/>
    <mergeCell ref="X18:X20"/>
    <mergeCell ref="AB18:AB20"/>
    <mergeCell ref="A32:AB32"/>
    <mergeCell ref="D33:D35"/>
    <mergeCell ref="H33:H35"/>
    <mergeCell ref="L33:L35"/>
    <mergeCell ref="P33:P35"/>
    <mergeCell ref="T33:T35"/>
    <mergeCell ref="X33:X35"/>
    <mergeCell ref="AB33:AB35"/>
    <mergeCell ref="A47:AB47"/>
    <mergeCell ref="D48:D50"/>
    <mergeCell ref="H48:H50"/>
    <mergeCell ref="L48:L50"/>
    <mergeCell ref="P48:P50"/>
    <mergeCell ref="T48:T50"/>
    <mergeCell ref="X48:X50"/>
    <mergeCell ref="AB48:AB50"/>
    <mergeCell ref="A62:AB62"/>
    <mergeCell ref="D63:D65"/>
    <mergeCell ref="H63:H65"/>
    <mergeCell ref="L63:L65"/>
    <mergeCell ref="P63:P65"/>
    <mergeCell ref="T63:T65"/>
    <mergeCell ref="X63:X65"/>
    <mergeCell ref="AB63:AB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8"/>
  <sheetViews>
    <sheetView workbookViewId="0">
      <selection activeCell="AN35" sqref="AN35"/>
    </sheetView>
  </sheetViews>
  <sheetFormatPr defaultRowHeight="15" x14ac:dyDescent="0.25"/>
  <cols>
    <col min="1" max="1" width="13" style="228" customWidth="1"/>
    <col min="2" max="2" width="6.42578125" style="228" customWidth="1"/>
    <col min="3" max="4" width="6" style="228" customWidth="1"/>
    <col min="5" max="5" width="1" style="228" customWidth="1"/>
    <col min="6" max="7" width="6" style="228" customWidth="1"/>
    <col min="8" max="8" width="1" style="228" customWidth="1"/>
    <col min="9" max="10" width="6" style="228" customWidth="1"/>
    <col min="11" max="11" width="1" style="228" customWidth="1"/>
    <col min="12" max="13" width="6" style="228" customWidth="1"/>
    <col min="14" max="14" width="1" style="228" customWidth="1"/>
    <col min="15" max="16" width="6" style="228" customWidth="1"/>
    <col min="17" max="17" width="1" style="228" customWidth="1"/>
    <col min="18" max="19" width="6" style="228" customWidth="1"/>
    <col min="20" max="20" width="1" style="228" customWidth="1"/>
    <col min="21" max="22" width="6" style="228" customWidth="1"/>
    <col min="23" max="23" width="1" style="228" customWidth="1"/>
    <col min="24" max="25" width="6" style="228" customWidth="1"/>
    <col min="26" max="26" width="1" style="228" customWidth="1"/>
    <col min="27" max="28" width="6" style="228" customWidth="1"/>
    <col min="29" max="29" width="1" style="228" customWidth="1"/>
    <col min="30" max="33" width="6" style="228" customWidth="1"/>
    <col min="34" max="1024" width="10" style="228" customWidth="1"/>
    <col min="1025" max="1025" width="10.28515625" customWidth="1"/>
  </cols>
  <sheetData>
    <row r="1" spans="1:30" ht="23.25" x14ac:dyDescent="0.35">
      <c r="A1" s="226" t="s">
        <v>158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7"/>
      <c r="AD1" s="227"/>
    </row>
    <row r="2" spans="1:30" ht="15.75" x14ac:dyDescent="0.25">
      <c r="A2" s="229"/>
      <c r="B2" s="230" t="s">
        <v>159</v>
      </c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1"/>
      <c r="AB2" s="232"/>
    </row>
    <row r="3" spans="1:30" ht="15.75" x14ac:dyDescent="0.25">
      <c r="A3" s="233"/>
      <c r="C3" s="234" t="s">
        <v>160</v>
      </c>
      <c r="D3" s="234"/>
      <c r="E3" s="235"/>
      <c r="F3" s="234" t="s">
        <v>161</v>
      </c>
      <c r="G3" s="234"/>
      <c r="H3" s="235"/>
      <c r="I3" s="234" t="s">
        <v>162</v>
      </c>
      <c r="J3" s="234"/>
      <c r="K3" s="235"/>
      <c r="L3" s="234" t="s">
        <v>163</v>
      </c>
      <c r="M3" s="234"/>
      <c r="N3" s="235"/>
      <c r="O3" s="234" t="s">
        <v>164</v>
      </c>
      <c r="P3" s="234"/>
      <c r="Q3" s="235"/>
      <c r="R3" s="234" t="s">
        <v>165</v>
      </c>
      <c r="S3" s="234"/>
      <c r="U3" s="234" t="s">
        <v>166</v>
      </c>
      <c r="V3" s="234"/>
      <c r="X3" s="234" t="s">
        <v>167</v>
      </c>
      <c r="Y3" s="234"/>
      <c r="AA3" s="234" t="s">
        <v>168</v>
      </c>
      <c r="AB3" s="234"/>
    </row>
    <row r="4" spans="1:30" x14ac:dyDescent="0.25">
      <c r="A4" s="233"/>
      <c r="B4" s="236"/>
      <c r="C4" s="237" t="s">
        <v>169</v>
      </c>
      <c r="D4" s="237"/>
      <c r="E4" s="235"/>
      <c r="F4" s="237" t="s">
        <v>169</v>
      </c>
      <c r="G4" s="237"/>
      <c r="H4" s="235"/>
      <c r="I4" s="237" t="s">
        <v>169</v>
      </c>
      <c r="J4" s="237"/>
      <c r="K4" s="235"/>
      <c r="L4" s="237" t="s">
        <v>169</v>
      </c>
      <c r="M4" s="237"/>
      <c r="N4" s="235"/>
      <c r="O4" s="237" t="s">
        <v>169</v>
      </c>
      <c r="P4" s="237"/>
      <c r="Q4" s="235"/>
      <c r="R4" s="237" t="s">
        <v>169</v>
      </c>
      <c r="S4" s="237"/>
      <c r="U4" s="237" t="s">
        <v>169</v>
      </c>
      <c r="V4" s="237"/>
      <c r="X4" s="237" t="s">
        <v>169</v>
      </c>
      <c r="Y4" s="237"/>
      <c r="AA4" s="237" t="s">
        <v>169</v>
      </c>
      <c r="AB4" s="237"/>
    </row>
    <row r="5" spans="1:30" x14ac:dyDescent="0.25">
      <c r="A5" s="238" t="s">
        <v>170</v>
      </c>
      <c r="B5" s="239" t="s">
        <v>171</v>
      </c>
      <c r="C5" s="240">
        <v>68.643749999999997</v>
      </c>
      <c r="D5" s="240"/>
      <c r="E5" s="241"/>
      <c r="F5" s="240">
        <v>69.926249999999996</v>
      </c>
      <c r="G5" s="240"/>
      <c r="H5" s="242"/>
      <c r="I5" s="240">
        <v>70.963750000000005</v>
      </c>
      <c r="J5" s="240"/>
      <c r="K5" s="242"/>
      <c r="L5" s="240">
        <v>71.661249999999995</v>
      </c>
      <c r="M5" s="240"/>
      <c r="N5" s="242"/>
      <c r="O5" s="240">
        <v>72.876249999999999</v>
      </c>
      <c r="P5" s="240"/>
      <c r="Q5" s="242"/>
      <c r="R5" s="240">
        <v>74.635000000000005</v>
      </c>
      <c r="S5" s="240"/>
      <c r="T5" s="243"/>
      <c r="U5" s="240">
        <v>75.671250000000001</v>
      </c>
      <c r="V5" s="240"/>
      <c r="W5" s="243"/>
      <c r="X5" s="240">
        <v>77.004999999999995</v>
      </c>
      <c r="Y5" s="240"/>
      <c r="Z5" s="243"/>
      <c r="AA5" s="244">
        <v>78.457499999999996</v>
      </c>
      <c r="AB5" s="244"/>
    </row>
    <row r="6" spans="1:30" x14ac:dyDescent="0.25">
      <c r="A6" s="238" t="s">
        <v>172</v>
      </c>
      <c r="B6" s="239" t="s">
        <v>171</v>
      </c>
      <c r="C6" s="245">
        <v>27.552499999999998</v>
      </c>
      <c r="D6" s="245"/>
      <c r="E6" s="241"/>
      <c r="F6" s="245">
        <v>26.423749999999998</v>
      </c>
      <c r="G6" s="245"/>
      <c r="H6" s="242"/>
      <c r="I6" s="245">
        <v>25.51125</v>
      </c>
      <c r="J6" s="245"/>
      <c r="K6" s="242"/>
      <c r="L6" s="245">
        <v>24.89875</v>
      </c>
      <c r="M6" s="245"/>
      <c r="N6" s="242"/>
      <c r="O6" s="245">
        <v>23.831250000000001</v>
      </c>
      <c r="P6" s="245"/>
      <c r="Q6" s="242"/>
      <c r="R6" s="245">
        <v>22.285</v>
      </c>
      <c r="S6" s="245"/>
      <c r="T6" s="243"/>
      <c r="U6" s="245">
        <v>21.375</v>
      </c>
      <c r="V6" s="245"/>
      <c r="W6" s="243"/>
      <c r="X6" s="245">
        <v>20.202500000000001</v>
      </c>
      <c r="Y6" s="245"/>
      <c r="Z6" s="243"/>
      <c r="AA6" s="246">
        <v>18.927499999999998</v>
      </c>
      <c r="AB6" s="246"/>
    </row>
    <row r="7" spans="1:30" x14ac:dyDescent="0.25">
      <c r="A7" s="238" t="s">
        <v>173</v>
      </c>
      <c r="B7" s="239" t="s">
        <v>171</v>
      </c>
      <c r="C7" s="245">
        <v>3.8050000000000002</v>
      </c>
      <c r="D7" s="245"/>
      <c r="E7" s="241"/>
      <c r="F7" s="245">
        <v>3.65</v>
      </c>
      <c r="G7" s="245"/>
      <c r="H7" s="242"/>
      <c r="I7" s="245">
        <v>3.5249999999999999</v>
      </c>
      <c r="J7" s="245"/>
      <c r="K7" s="242"/>
      <c r="L7" s="245">
        <v>3.44</v>
      </c>
      <c r="M7" s="245"/>
      <c r="N7" s="242"/>
      <c r="O7" s="245">
        <v>3.2925</v>
      </c>
      <c r="P7" s="245"/>
      <c r="Q7" s="242"/>
      <c r="R7" s="245">
        <v>3.08</v>
      </c>
      <c r="S7" s="245"/>
      <c r="T7" s="243"/>
      <c r="U7" s="245">
        <v>2.9537499999999999</v>
      </c>
      <c r="V7" s="245"/>
      <c r="W7" s="243"/>
      <c r="X7" s="245">
        <v>2.7925</v>
      </c>
      <c r="Y7" s="245"/>
      <c r="Z7" s="243"/>
      <c r="AA7" s="246">
        <v>2.6150000000000002</v>
      </c>
      <c r="AB7" s="246"/>
    </row>
    <row r="8" spans="1:30" x14ac:dyDescent="0.25">
      <c r="A8" s="247"/>
      <c r="B8" s="248" t="s">
        <v>174</v>
      </c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</row>
    <row r="9" spans="1:30" x14ac:dyDescent="0.25"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49"/>
      <c r="AB9" s="250"/>
    </row>
    <row r="10" spans="1:30" x14ac:dyDescent="0.25">
      <c r="A10" s="229"/>
      <c r="B10" s="230" t="s">
        <v>175</v>
      </c>
      <c r="C10" s="230"/>
      <c r="D10" s="230"/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230"/>
    </row>
    <row r="11" spans="1:30" ht="15.75" x14ac:dyDescent="0.25">
      <c r="A11" s="233"/>
      <c r="B11" s="251"/>
      <c r="C11" s="234" t="s">
        <v>160</v>
      </c>
      <c r="D11" s="234"/>
      <c r="E11" s="235"/>
      <c r="F11" s="234" t="s">
        <v>161</v>
      </c>
      <c r="G11" s="234"/>
      <c r="H11" s="235"/>
      <c r="I11" s="234" t="s">
        <v>162</v>
      </c>
      <c r="J11" s="234"/>
      <c r="K11" s="235"/>
      <c r="L11" s="234" t="s">
        <v>163</v>
      </c>
      <c r="M11" s="234"/>
      <c r="N11" s="235"/>
      <c r="O11" s="234" t="s">
        <v>164</v>
      </c>
      <c r="P11" s="234"/>
      <c r="Q11" s="235"/>
      <c r="R11" s="234" t="s">
        <v>165</v>
      </c>
      <c r="S11" s="234"/>
      <c r="U11" s="234" t="s">
        <v>166</v>
      </c>
      <c r="V11" s="234"/>
      <c r="X11" s="234" t="s">
        <v>167</v>
      </c>
      <c r="Y11" s="234"/>
      <c r="AA11" s="234" t="s">
        <v>168</v>
      </c>
      <c r="AB11" s="234"/>
    </row>
    <row r="12" spans="1:30" x14ac:dyDescent="0.25">
      <c r="A12" s="233"/>
      <c r="B12" s="236"/>
      <c r="C12" s="237" t="s">
        <v>176</v>
      </c>
      <c r="D12" s="237"/>
      <c r="E12" s="235"/>
      <c r="F12" s="237" t="s">
        <v>176</v>
      </c>
      <c r="G12" s="237"/>
      <c r="H12" s="235"/>
      <c r="I12" s="237" t="s">
        <v>176</v>
      </c>
      <c r="J12" s="237"/>
      <c r="K12" s="235"/>
      <c r="L12" s="237" t="s">
        <v>176</v>
      </c>
      <c r="M12" s="237"/>
      <c r="N12" s="235"/>
      <c r="O12" s="237" t="s">
        <v>176</v>
      </c>
      <c r="P12" s="237"/>
      <c r="Q12" s="235"/>
      <c r="R12" s="237" t="s">
        <v>176</v>
      </c>
      <c r="S12" s="237"/>
      <c r="U12" s="237" t="s">
        <v>176</v>
      </c>
      <c r="V12" s="237"/>
      <c r="X12" s="237" t="s">
        <v>176</v>
      </c>
      <c r="Y12" s="237"/>
      <c r="AA12" s="237" t="s">
        <v>176</v>
      </c>
      <c r="AB12" s="237"/>
    </row>
    <row r="13" spans="1:30" x14ac:dyDescent="0.25">
      <c r="A13" s="238" t="s">
        <v>170</v>
      </c>
      <c r="B13" s="239" t="s">
        <v>171</v>
      </c>
      <c r="C13" s="240">
        <v>67.097499999999997</v>
      </c>
      <c r="D13" s="240"/>
      <c r="E13" s="241"/>
      <c r="F13" s="240">
        <v>68.416250000000005</v>
      </c>
      <c r="G13" s="240"/>
      <c r="H13" s="242"/>
      <c r="I13" s="240">
        <v>69.484999999999999</v>
      </c>
      <c r="J13" s="240"/>
      <c r="K13" s="242"/>
      <c r="L13" s="240">
        <v>70.201250000000002</v>
      </c>
      <c r="M13" s="240"/>
      <c r="N13" s="242"/>
      <c r="O13" s="240">
        <v>71.453749999999999</v>
      </c>
      <c r="P13" s="240"/>
      <c r="Q13" s="242"/>
      <c r="R13" s="240">
        <v>73.272499999999994</v>
      </c>
      <c r="S13" s="240"/>
      <c r="T13" s="243"/>
      <c r="U13" s="240">
        <v>74.341250000000002</v>
      </c>
      <c r="V13" s="240"/>
      <c r="W13" s="243"/>
      <c r="X13" s="240">
        <v>75.727500000000006</v>
      </c>
      <c r="Y13" s="240"/>
      <c r="Z13" s="243"/>
      <c r="AA13" s="244">
        <v>77.233750000000001</v>
      </c>
      <c r="AB13" s="244"/>
    </row>
    <row r="14" spans="1:30" x14ac:dyDescent="0.25">
      <c r="A14" s="238" t="s">
        <v>172</v>
      </c>
      <c r="B14" s="239" t="s">
        <v>171</v>
      </c>
      <c r="C14" s="245">
        <v>26.928750000000001</v>
      </c>
      <c r="D14" s="245"/>
      <c r="E14" s="241"/>
      <c r="F14" s="245">
        <v>25.85</v>
      </c>
      <c r="G14" s="245"/>
      <c r="H14" s="242"/>
      <c r="I14" s="245">
        <v>24.975000000000001</v>
      </c>
      <c r="J14" s="245"/>
      <c r="K14" s="242"/>
      <c r="L14" s="245">
        <v>24.38625</v>
      </c>
      <c r="M14" s="245"/>
      <c r="N14" s="242"/>
      <c r="O14" s="245">
        <v>23.36375</v>
      </c>
      <c r="P14" s="245"/>
      <c r="Q14" s="242"/>
      <c r="R14" s="245">
        <v>21.875</v>
      </c>
      <c r="S14" s="245"/>
      <c r="T14" s="243"/>
      <c r="U14" s="245">
        <v>20.998750000000001</v>
      </c>
      <c r="V14" s="245"/>
      <c r="W14" s="243"/>
      <c r="X14" s="245">
        <v>19.866250000000001</v>
      </c>
      <c r="Y14" s="245"/>
      <c r="Z14" s="243"/>
      <c r="AA14" s="246">
        <v>18.633749999999999</v>
      </c>
      <c r="AB14" s="246"/>
    </row>
    <row r="15" spans="1:30" x14ac:dyDescent="0.25">
      <c r="A15" s="238" t="s">
        <v>173</v>
      </c>
      <c r="B15" s="239" t="s">
        <v>171</v>
      </c>
      <c r="C15" s="245">
        <v>5.9737499999999999</v>
      </c>
      <c r="D15" s="245"/>
      <c r="E15" s="241"/>
      <c r="F15" s="245">
        <v>5.7324999999999999</v>
      </c>
      <c r="G15" s="245"/>
      <c r="H15" s="242"/>
      <c r="I15" s="245">
        <v>5.54</v>
      </c>
      <c r="J15" s="245"/>
      <c r="K15" s="242"/>
      <c r="L15" s="245">
        <v>5.4087500000000004</v>
      </c>
      <c r="M15" s="245"/>
      <c r="N15" s="242"/>
      <c r="O15" s="245">
        <v>5.1837499999999999</v>
      </c>
      <c r="P15" s="245"/>
      <c r="Q15" s="242"/>
      <c r="R15" s="245">
        <v>4.8525</v>
      </c>
      <c r="S15" s="245"/>
      <c r="T15" s="243"/>
      <c r="U15" s="245">
        <v>4.66</v>
      </c>
      <c r="V15" s="245"/>
      <c r="W15" s="243"/>
      <c r="X15" s="245">
        <v>4.40625</v>
      </c>
      <c r="Y15" s="245"/>
      <c r="Z15" s="243"/>
      <c r="AA15" s="246">
        <v>4.1325000000000003</v>
      </c>
      <c r="AB15" s="246"/>
    </row>
    <row r="16" spans="1:30" x14ac:dyDescent="0.25">
      <c r="A16" s="247"/>
      <c r="B16" s="248" t="s">
        <v>177</v>
      </c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</row>
    <row r="17" spans="1:28" x14ac:dyDescent="0.25">
      <c r="AB17" s="252"/>
    </row>
    <row r="18" spans="1:28" x14ac:dyDescent="0.25">
      <c r="A18" s="229"/>
      <c r="B18" s="230" t="s">
        <v>178</v>
      </c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</row>
    <row r="19" spans="1:28" ht="15.75" x14ac:dyDescent="0.25">
      <c r="A19" s="233"/>
      <c r="B19" s="251"/>
      <c r="C19" s="234" t="s">
        <v>160</v>
      </c>
      <c r="D19" s="234"/>
      <c r="E19" s="235"/>
      <c r="F19" s="234" t="s">
        <v>161</v>
      </c>
      <c r="G19" s="234"/>
      <c r="H19" s="235"/>
      <c r="I19" s="234" t="s">
        <v>162</v>
      </c>
      <c r="J19" s="234"/>
      <c r="K19" s="235"/>
      <c r="L19" s="234" t="s">
        <v>163</v>
      </c>
      <c r="M19" s="234"/>
      <c r="N19" s="235"/>
      <c r="O19" s="234" t="s">
        <v>164</v>
      </c>
      <c r="P19" s="234"/>
      <c r="Q19" s="235"/>
      <c r="R19" s="234" t="s">
        <v>165</v>
      </c>
      <c r="S19" s="234"/>
      <c r="U19" s="234" t="s">
        <v>166</v>
      </c>
      <c r="V19" s="234"/>
      <c r="X19" s="234" t="s">
        <v>167</v>
      </c>
      <c r="Y19" s="234"/>
      <c r="AA19" s="234" t="s">
        <v>168</v>
      </c>
      <c r="AB19" s="234"/>
    </row>
    <row r="20" spans="1:28" x14ac:dyDescent="0.25">
      <c r="A20" s="233"/>
      <c r="B20" s="236"/>
      <c r="C20" s="237" t="s">
        <v>179</v>
      </c>
      <c r="D20" s="237"/>
      <c r="E20" s="235"/>
      <c r="F20" s="237" t="s">
        <v>179</v>
      </c>
      <c r="G20" s="237"/>
      <c r="H20" s="235"/>
      <c r="I20" s="237" t="s">
        <v>179</v>
      </c>
      <c r="J20" s="237"/>
      <c r="K20" s="235"/>
      <c r="L20" s="237" t="s">
        <v>179</v>
      </c>
      <c r="M20" s="237"/>
      <c r="N20" s="235"/>
      <c r="O20" s="237" t="s">
        <v>179</v>
      </c>
      <c r="P20" s="237"/>
      <c r="Q20" s="235"/>
      <c r="R20" s="237" t="s">
        <v>179</v>
      </c>
      <c r="S20" s="237"/>
      <c r="U20" s="237" t="s">
        <v>179</v>
      </c>
      <c r="V20" s="237"/>
      <c r="X20" s="237" t="s">
        <v>179</v>
      </c>
      <c r="Y20" s="237"/>
      <c r="AA20" s="237" t="s">
        <v>179</v>
      </c>
      <c r="AB20" s="237"/>
    </row>
    <row r="21" spans="1:28" x14ac:dyDescent="0.25">
      <c r="A21" s="238" t="s">
        <v>170</v>
      </c>
      <c r="B21" s="239" t="s">
        <v>171</v>
      </c>
      <c r="C21" s="240">
        <v>65.622500000000002</v>
      </c>
      <c r="D21" s="240"/>
      <c r="E21" s="241"/>
      <c r="F21" s="240">
        <v>66.808750000000003</v>
      </c>
      <c r="G21" s="240"/>
      <c r="H21" s="242"/>
      <c r="I21" s="240">
        <v>67.902500000000003</v>
      </c>
      <c r="J21" s="240"/>
      <c r="K21" s="242"/>
      <c r="L21" s="240">
        <v>68.641249999999999</v>
      </c>
      <c r="M21" s="240"/>
      <c r="N21" s="242"/>
      <c r="O21" s="240">
        <v>69.930000000000007</v>
      </c>
      <c r="P21" s="240"/>
      <c r="Q21" s="242"/>
      <c r="R21" s="240">
        <v>71.807500000000005</v>
      </c>
      <c r="S21" s="240"/>
      <c r="T21" s="243"/>
      <c r="U21" s="240">
        <v>72.915000000000006</v>
      </c>
      <c r="V21" s="240"/>
      <c r="W21" s="243"/>
      <c r="X21" s="240">
        <v>74.349999999999994</v>
      </c>
      <c r="Y21" s="240"/>
      <c r="Z21" s="243"/>
      <c r="AA21" s="244">
        <v>75.913749999999993</v>
      </c>
      <c r="AB21" s="244"/>
    </row>
    <row r="22" spans="1:28" x14ac:dyDescent="0.25">
      <c r="A22" s="238" t="s">
        <v>172</v>
      </c>
      <c r="B22" s="239" t="s">
        <v>171</v>
      </c>
      <c r="C22" s="245">
        <v>26.14</v>
      </c>
      <c r="D22" s="245"/>
      <c r="E22" s="241"/>
      <c r="F22" s="245">
        <v>25.23875</v>
      </c>
      <c r="G22" s="245"/>
      <c r="H22" s="242"/>
      <c r="I22" s="245">
        <v>24.405000000000001</v>
      </c>
      <c r="J22" s="245"/>
      <c r="K22" s="242"/>
      <c r="L22" s="245">
        <v>23.842500000000001</v>
      </c>
      <c r="M22" s="245"/>
      <c r="N22" s="242"/>
      <c r="O22" s="245">
        <v>22.861249999999998</v>
      </c>
      <c r="P22" s="245"/>
      <c r="Q22" s="242"/>
      <c r="R22" s="245">
        <v>21.436250000000001</v>
      </c>
      <c r="S22" s="245"/>
      <c r="T22" s="243"/>
      <c r="U22" s="245">
        <v>20.594999999999999</v>
      </c>
      <c r="V22" s="245"/>
      <c r="W22" s="243"/>
      <c r="X22" s="245">
        <v>19.50375</v>
      </c>
      <c r="Y22" s="245"/>
      <c r="Z22" s="243"/>
      <c r="AA22" s="246">
        <v>18.3125</v>
      </c>
      <c r="AB22" s="246"/>
    </row>
    <row r="23" spans="1:28" x14ac:dyDescent="0.25">
      <c r="A23" s="238" t="s">
        <v>173</v>
      </c>
      <c r="B23" s="239" t="s">
        <v>171</v>
      </c>
      <c r="C23" s="245">
        <v>8.2387499999999996</v>
      </c>
      <c r="D23" s="245"/>
      <c r="E23" s="241"/>
      <c r="F23" s="245">
        <v>7.9524999999999997</v>
      </c>
      <c r="G23" s="245"/>
      <c r="H23" s="242"/>
      <c r="I23" s="245">
        <v>7.6924999999999999</v>
      </c>
      <c r="J23" s="245"/>
      <c r="K23" s="242"/>
      <c r="L23" s="245">
        <v>7.5149999999999997</v>
      </c>
      <c r="M23" s="245"/>
      <c r="N23" s="242"/>
      <c r="O23" s="245">
        <v>7.2050000000000001</v>
      </c>
      <c r="P23" s="245"/>
      <c r="Q23" s="242"/>
      <c r="R23" s="245">
        <v>6.7562499999999996</v>
      </c>
      <c r="S23" s="245"/>
      <c r="T23" s="243"/>
      <c r="U23" s="245">
        <v>6.49</v>
      </c>
      <c r="V23" s="245"/>
      <c r="W23" s="243"/>
      <c r="X23" s="245">
        <v>6.1462500000000002</v>
      </c>
      <c r="Y23" s="245"/>
      <c r="Z23" s="243"/>
      <c r="AA23" s="246">
        <v>5.7737499999999997</v>
      </c>
      <c r="AB23" s="246"/>
    </row>
    <row r="24" spans="1:28" x14ac:dyDescent="0.25">
      <c r="A24" s="247"/>
      <c r="B24" s="253" t="s">
        <v>180</v>
      </c>
      <c r="C24" s="253"/>
      <c r="D24" s="253"/>
      <c r="E24" s="253"/>
      <c r="F24" s="253"/>
      <c r="G24" s="253"/>
      <c r="H24" s="253"/>
      <c r="I24" s="253"/>
      <c r="J24" s="253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  <c r="AA24" s="253"/>
      <c r="AB24" s="253"/>
    </row>
    <row r="25" spans="1:28" ht="23.25" x14ac:dyDescent="0.25">
      <c r="A25" s="254" t="s">
        <v>158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</row>
    <row r="26" spans="1:28" x14ac:dyDescent="0.25">
      <c r="A26" s="229"/>
      <c r="B26" s="230" t="s">
        <v>181</v>
      </c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</row>
    <row r="27" spans="1:28" ht="15.75" x14ac:dyDescent="0.25">
      <c r="A27" s="233"/>
      <c r="C27" s="234" t="s">
        <v>160</v>
      </c>
      <c r="D27" s="234"/>
      <c r="E27" s="235"/>
      <c r="F27" s="234" t="s">
        <v>161</v>
      </c>
      <c r="G27" s="234"/>
      <c r="H27" s="235"/>
      <c r="I27" s="234" t="s">
        <v>162</v>
      </c>
      <c r="J27" s="234"/>
      <c r="K27" s="235"/>
      <c r="L27" s="234" t="s">
        <v>163</v>
      </c>
      <c r="M27" s="234"/>
      <c r="N27" s="235"/>
      <c r="O27" s="234" t="s">
        <v>164</v>
      </c>
      <c r="P27" s="234"/>
      <c r="Q27" s="235"/>
      <c r="R27" s="234" t="s">
        <v>165</v>
      </c>
      <c r="S27" s="234"/>
      <c r="U27" s="234" t="s">
        <v>166</v>
      </c>
      <c r="V27" s="234"/>
      <c r="X27" s="234" t="s">
        <v>167</v>
      </c>
      <c r="Y27" s="234"/>
      <c r="AA27" s="234" t="s">
        <v>168</v>
      </c>
      <c r="AB27" s="234"/>
    </row>
    <row r="28" spans="1:28" x14ac:dyDescent="0.25">
      <c r="A28" s="233"/>
      <c r="B28" s="255"/>
      <c r="C28" s="237" t="s">
        <v>169</v>
      </c>
      <c r="D28" s="237"/>
      <c r="E28" s="235"/>
      <c r="F28" s="237" t="s">
        <v>169</v>
      </c>
      <c r="G28" s="237"/>
      <c r="H28" s="235"/>
      <c r="I28" s="237" t="s">
        <v>169</v>
      </c>
      <c r="J28" s="237"/>
      <c r="K28" s="235"/>
      <c r="L28" s="237" t="s">
        <v>169</v>
      </c>
      <c r="M28" s="237"/>
      <c r="N28" s="235"/>
      <c r="O28" s="237" t="s">
        <v>169</v>
      </c>
      <c r="P28" s="237"/>
      <c r="Q28" s="235"/>
      <c r="R28" s="237" t="s">
        <v>169</v>
      </c>
      <c r="S28" s="237"/>
      <c r="U28" s="237" t="s">
        <v>169</v>
      </c>
      <c r="V28" s="237"/>
      <c r="X28" s="237" t="s">
        <v>169</v>
      </c>
      <c r="Y28" s="237"/>
      <c r="AA28" s="237" t="s">
        <v>169</v>
      </c>
      <c r="AB28" s="237"/>
    </row>
    <row r="29" spans="1:28" x14ac:dyDescent="0.25">
      <c r="A29" s="238" t="s">
        <v>170</v>
      </c>
      <c r="B29" s="239" t="s">
        <v>171</v>
      </c>
      <c r="C29" s="240">
        <v>77.137500000000003</v>
      </c>
      <c r="D29" s="240"/>
      <c r="E29" s="241"/>
      <c r="F29" s="240">
        <v>78.182249999999996</v>
      </c>
      <c r="G29" s="240"/>
      <c r="H29" s="242"/>
      <c r="I29" s="240">
        <v>79.02</v>
      </c>
      <c r="J29" s="240"/>
      <c r="K29" s="242"/>
      <c r="L29" s="240">
        <v>79.584999999999994</v>
      </c>
      <c r="M29" s="240"/>
      <c r="N29" s="242"/>
      <c r="O29" s="240">
        <v>80.547499999999999</v>
      </c>
      <c r="P29" s="240"/>
      <c r="Q29" s="242"/>
      <c r="R29" s="240">
        <v>81.932500000000005</v>
      </c>
      <c r="S29" s="240"/>
      <c r="T29" s="243"/>
      <c r="U29" s="240">
        <v>82.738749999999996</v>
      </c>
      <c r="V29" s="240"/>
      <c r="W29" s="243"/>
      <c r="X29" s="240">
        <v>83.768749999999997</v>
      </c>
      <c r="Y29" s="240"/>
      <c r="Z29" s="243"/>
      <c r="AA29" s="244">
        <v>84.876249999999999</v>
      </c>
      <c r="AB29" s="244"/>
    </row>
    <row r="30" spans="1:28" x14ac:dyDescent="0.25">
      <c r="A30" s="238" t="s">
        <v>172</v>
      </c>
      <c r="B30" s="239" t="s">
        <v>171</v>
      </c>
      <c r="C30" s="245">
        <v>18.5825</v>
      </c>
      <c r="D30" s="245"/>
      <c r="E30" s="241"/>
      <c r="F30" s="245">
        <v>17.734999999999999</v>
      </c>
      <c r="G30" s="245"/>
      <c r="H30" s="242"/>
      <c r="I30" s="245">
        <v>17.053750000000001</v>
      </c>
      <c r="J30" s="245"/>
      <c r="K30" s="242"/>
      <c r="L30" s="245">
        <v>16.594999999999999</v>
      </c>
      <c r="M30" s="245"/>
      <c r="N30" s="242"/>
      <c r="O30" s="245">
        <v>15.811249999999999</v>
      </c>
      <c r="P30" s="245"/>
      <c r="Q30" s="242"/>
      <c r="R30" s="245">
        <v>14.685</v>
      </c>
      <c r="S30" s="245"/>
      <c r="T30" s="243"/>
      <c r="U30" s="245">
        <v>14.03</v>
      </c>
      <c r="V30" s="245"/>
      <c r="W30" s="243"/>
      <c r="X30" s="245">
        <v>13.19125</v>
      </c>
      <c r="Y30" s="245"/>
      <c r="Z30" s="243"/>
      <c r="AA30" s="246">
        <v>12.2925</v>
      </c>
      <c r="AB30" s="246"/>
    </row>
    <row r="31" spans="1:28" x14ac:dyDescent="0.25">
      <c r="A31" s="238" t="s">
        <v>173</v>
      </c>
      <c r="B31" s="239" t="s">
        <v>171</v>
      </c>
      <c r="C31" s="245">
        <v>4.2787499999999996</v>
      </c>
      <c r="D31" s="245"/>
      <c r="E31" s="241"/>
      <c r="F31" s="245">
        <v>4.0824999999999996</v>
      </c>
      <c r="G31" s="245"/>
      <c r="H31" s="242"/>
      <c r="I31" s="245">
        <v>3.92625</v>
      </c>
      <c r="J31" s="245"/>
      <c r="K31" s="242"/>
      <c r="L31" s="245">
        <v>3.82</v>
      </c>
      <c r="M31" s="245"/>
      <c r="N31" s="242"/>
      <c r="O31" s="245">
        <v>3.6412499999999999</v>
      </c>
      <c r="P31" s="245"/>
      <c r="Q31" s="242"/>
      <c r="R31" s="245">
        <v>3.3824999999999998</v>
      </c>
      <c r="S31" s="245"/>
      <c r="T31" s="243"/>
      <c r="U31" s="245">
        <v>3.2312500000000002</v>
      </c>
      <c r="V31" s="245"/>
      <c r="W31" s="243"/>
      <c r="X31" s="245">
        <v>3.04</v>
      </c>
      <c r="Y31" s="245"/>
      <c r="Z31" s="243"/>
      <c r="AA31" s="246">
        <v>2.8312499999999998</v>
      </c>
      <c r="AB31" s="246"/>
    </row>
    <row r="32" spans="1:28" x14ac:dyDescent="0.25">
      <c r="A32" s="247"/>
      <c r="B32" s="248" t="s">
        <v>174</v>
      </c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</row>
    <row r="33" spans="1:28" x14ac:dyDescent="0.25">
      <c r="A33" s="233"/>
      <c r="AB33" s="252"/>
    </row>
    <row r="34" spans="1:28" x14ac:dyDescent="0.25">
      <c r="A34" s="229"/>
      <c r="B34" s="230" t="s">
        <v>182</v>
      </c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</row>
    <row r="35" spans="1:28" ht="15.75" x14ac:dyDescent="0.25">
      <c r="A35" s="233"/>
      <c r="B35" s="251"/>
      <c r="C35" s="234" t="s">
        <v>160</v>
      </c>
      <c r="D35" s="234"/>
      <c r="E35" s="235"/>
      <c r="F35" s="234" t="s">
        <v>161</v>
      </c>
      <c r="G35" s="234"/>
      <c r="H35" s="235"/>
      <c r="I35" s="234" t="s">
        <v>162</v>
      </c>
      <c r="J35" s="234"/>
      <c r="K35" s="235"/>
      <c r="L35" s="234" t="s">
        <v>163</v>
      </c>
      <c r="M35" s="234"/>
      <c r="N35" s="235"/>
      <c r="O35" s="234" t="s">
        <v>164</v>
      </c>
      <c r="P35" s="234"/>
      <c r="Q35" s="235"/>
      <c r="R35" s="234" t="s">
        <v>165</v>
      </c>
      <c r="S35" s="234"/>
      <c r="U35" s="234" t="s">
        <v>166</v>
      </c>
      <c r="V35" s="234"/>
      <c r="X35" s="234" t="s">
        <v>167</v>
      </c>
      <c r="Y35" s="234"/>
      <c r="AA35" s="234" t="s">
        <v>168</v>
      </c>
      <c r="AB35" s="234"/>
    </row>
    <row r="36" spans="1:28" x14ac:dyDescent="0.25">
      <c r="A36" s="233"/>
      <c r="B36" s="236"/>
      <c r="C36" s="237" t="s">
        <v>176</v>
      </c>
      <c r="D36" s="237"/>
      <c r="E36" s="235"/>
      <c r="F36" s="237" t="s">
        <v>176</v>
      </c>
      <c r="G36" s="237"/>
      <c r="H36" s="235"/>
      <c r="I36" s="237" t="s">
        <v>176</v>
      </c>
      <c r="J36" s="237"/>
      <c r="K36" s="235"/>
      <c r="L36" s="237" t="s">
        <v>176</v>
      </c>
      <c r="M36" s="237"/>
      <c r="N36" s="235"/>
      <c r="O36" s="237" t="s">
        <v>176</v>
      </c>
      <c r="P36" s="237"/>
      <c r="Q36" s="235"/>
      <c r="R36" s="237" t="s">
        <v>176</v>
      </c>
      <c r="S36" s="237"/>
      <c r="U36" s="237" t="s">
        <v>176</v>
      </c>
      <c r="V36" s="237"/>
      <c r="X36" s="237" t="s">
        <v>176</v>
      </c>
      <c r="Y36" s="237"/>
      <c r="AA36" s="237" t="s">
        <v>176</v>
      </c>
      <c r="AB36" s="237"/>
    </row>
    <row r="37" spans="1:28" x14ac:dyDescent="0.25">
      <c r="A37" s="238" t="s">
        <v>170</v>
      </c>
      <c r="B37" s="239" t="s">
        <v>171</v>
      </c>
      <c r="C37" s="240">
        <v>75.19</v>
      </c>
      <c r="D37" s="240"/>
      <c r="E37" s="241"/>
      <c r="F37" s="240">
        <v>76.297499999999999</v>
      </c>
      <c r="G37" s="240"/>
      <c r="H37" s="242"/>
      <c r="I37" s="240">
        <v>77.188749999999999</v>
      </c>
      <c r="J37" s="240"/>
      <c r="K37" s="242"/>
      <c r="L37" s="240">
        <v>77.783749999999998</v>
      </c>
      <c r="M37" s="240"/>
      <c r="N37" s="242"/>
      <c r="O37" s="240">
        <v>78.81</v>
      </c>
      <c r="P37" s="240"/>
      <c r="Q37" s="242"/>
      <c r="R37" s="240">
        <v>80.291250000000005</v>
      </c>
      <c r="S37" s="240"/>
      <c r="T37" s="243"/>
      <c r="U37" s="240">
        <v>81.152500000000003</v>
      </c>
      <c r="V37" s="240"/>
      <c r="W37" s="243"/>
      <c r="X37" s="240">
        <v>82.256249999999994</v>
      </c>
      <c r="Y37" s="240"/>
      <c r="Z37" s="243"/>
      <c r="AA37" s="244">
        <v>83.451250000000002</v>
      </c>
      <c r="AB37" s="244"/>
    </row>
    <row r="38" spans="1:28" x14ac:dyDescent="0.25">
      <c r="A38" s="238" t="s">
        <v>172</v>
      </c>
      <c r="B38" s="239" t="s">
        <v>171</v>
      </c>
      <c r="C38" s="245">
        <v>18.11375</v>
      </c>
      <c r="D38" s="245"/>
      <c r="E38" s="241"/>
      <c r="F38" s="245">
        <v>17.303750000000001</v>
      </c>
      <c r="G38" s="245"/>
      <c r="H38" s="242"/>
      <c r="I38" s="245">
        <v>16.653749999999999</v>
      </c>
      <c r="J38" s="245"/>
      <c r="K38" s="242"/>
      <c r="L38" s="245">
        <v>16.22</v>
      </c>
      <c r="M38" s="245"/>
      <c r="N38" s="242"/>
      <c r="O38" s="245">
        <v>15.47</v>
      </c>
      <c r="P38" s="245"/>
      <c r="Q38" s="242"/>
      <c r="R38" s="245">
        <v>14.39</v>
      </c>
      <c r="S38" s="245"/>
      <c r="T38" s="243"/>
      <c r="U38" s="245">
        <v>13.76</v>
      </c>
      <c r="V38" s="245"/>
      <c r="W38" s="243"/>
      <c r="X38" s="245">
        <v>12.953749999999999</v>
      </c>
      <c r="Y38" s="245"/>
      <c r="Z38" s="243"/>
      <c r="AA38" s="246">
        <v>12.0825</v>
      </c>
      <c r="AB38" s="246"/>
    </row>
    <row r="39" spans="1:28" x14ac:dyDescent="0.25">
      <c r="A39" s="238" t="s">
        <v>173</v>
      </c>
      <c r="B39" s="239" t="s">
        <v>171</v>
      </c>
      <c r="C39" s="245">
        <v>6.69625</v>
      </c>
      <c r="D39" s="245"/>
      <c r="E39" s="241"/>
      <c r="F39" s="245">
        <v>6.3987499999999997</v>
      </c>
      <c r="G39" s="245"/>
      <c r="H39" s="242"/>
      <c r="I39" s="245">
        <v>6.1574999999999998</v>
      </c>
      <c r="J39" s="245"/>
      <c r="K39" s="242"/>
      <c r="L39" s="245">
        <v>5.9962499999999999</v>
      </c>
      <c r="M39" s="245"/>
      <c r="N39" s="242"/>
      <c r="O39" s="245">
        <v>5.72</v>
      </c>
      <c r="P39" s="245"/>
      <c r="Q39" s="242"/>
      <c r="R39" s="245">
        <v>5.3187499999999996</v>
      </c>
      <c r="S39" s="245"/>
      <c r="T39" s="243"/>
      <c r="U39" s="245">
        <v>5.0875000000000004</v>
      </c>
      <c r="V39" s="245"/>
      <c r="W39" s="243"/>
      <c r="X39" s="245">
        <v>4.79</v>
      </c>
      <c r="Y39" s="245"/>
      <c r="Z39" s="243"/>
      <c r="AA39" s="246">
        <v>4.4662499999999996</v>
      </c>
      <c r="AB39" s="246"/>
    </row>
    <row r="40" spans="1:28" x14ac:dyDescent="0.25">
      <c r="A40" s="247"/>
      <c r="B40" s="248" t="s">
        <v>177</v>
      </c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</row>
    <row r="41" spans="1:28" x14ac:dyDescent="0.25">
      <c r="A41" s="233"/>
      <c r="AB41" s="252"/>
    </row>
    <row r="42" spans="1:28" x14ac:dyDescent="0.25">
      <c r="A42" s="229"/>
      <c r="B42" s="230" t="s">
        <v>183</v>
      </c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</row>
    <row r="43" spans="1:28" ht="15.75" x14ac:dyDescent="0.25">
      <c r="A43" s="233"/>
      <c r="B43" s="251"/>
      <c r="C43" s="234" t="s">
        <v>160</v>
      </c>
      <c r="D43" s="234"/>
      <c r="E43" s="235"/>
      <c r="F43" s="234" t="s">
        <v>161</v>
      </c>
      <c r="G43" s="234"/>
      <c r="H43" s="235"/>
      <c r="I43" s="234" t="s">
        <v>162</v>
      </c>
      <c r="J43" s="234"/>
      <c r="K43" s="235"/>
      <c r="L43" s="234" t="s">
        <v>163</v>
      </c>
      <c r="M43" s="234"/>
      <c r="N43" s="235"/>
      <c r="O43" s="234" t="s">
        <v>164</v>
      </c>
      <c r="P43" s="234"/>
      <c r="Q43" s="235"/>
      <c r="R43" s="234" t="s">
        <v>165</v>
      </c>
      <c r="S43" s="234"/>
      <c r="U43" s="234" t="s">
        <v>166</v>
      </c>
      <c r="V43" s="234"/>
      <c r="X43" s="234" t="s">
        <v>167</v>
      </c>
      <c r="Y43" s="234"/>
      <c r="AA43" s="234" t="s">
        <v>168</v>
      </c>
      <c r="AB43" s="234"/>
    </row>
    <row r="44" spans="1:28" x14ac:dyDescent="0.25">
      <c r="A44" s="233"/>
      <c r="B44" s="236"/>
      <c r="C44" s="237" t="s">
        <v>179</v>
      </c>
      <c r="D44" s="237"/>
      <c r="E44" s="235"/>
      <c r="F44" s="237" t="s">
        <v>179</v>
      </c>
      <c r="G44" s="237"/>
      <c r="H44" s="235"/>
      <c r="I44" s="237" t="s">
        <v>179</v>
      </c>
      <c r="J44" s="237"/>
      <c r="K44" s="235"/>
      <c r="L44" s="237" t="s">
        <v>179</v>
      </c>
      <c r="M44" s="237"/>
      <c r="N44" s="235"/>
      <c r="O44" s="237" t="s">
        <v>179</v>
      </c>
      <c r="P44" s="237"/>
      <c r="Q44" s="235"/>
      <c r="R44" s="237" t="s">
        <v>179</v>
      </c>
      <c r="S44" s="237"/>
      <c r="U44" s="237" t="s">
        <v>179</v>
      </c>
      <c r="V44" s="237"/>
      <c r="X44" s="237" t="s">
        <v>179</v>
      </c>
      <c r="Y44" s="237"/>
      <c r="AA44" s="237" t="s">
        <v>179</v>
      </c>
      <c r="AB44" s="237"/>
    </row>
    <row r="45" spans="1:28" x14ac:dyDescent="0.25">
      <c r="A45" s="238" t="s">
        <v>170</v>
      </c>
      <c r="B45" s="239" t="s">
        <v>171</v>
      </c>
      <c r="C45" s="240">
        <v>73.132499999999993</v>
      </c>
      <c r="D45" s="240"/>
      <c r="E45" s="241"/>
      <c r="F45" s="240">
        <v>74.3</v>
      </c>
      <c r="G45" s="240"/>
      <c r="H45" s="242"/>
      <c r="I45" s="240">
        <v>75.240750000000006</v>
      </c>
      <c r="J45" s="240"/>
      <c r="K45" s="242"/>
      <c r="L45" s="240">
        <v>75.873750000000001</v>
      </c>
      <c r="M45" s="240"/>
      <c r="N45" s="242"/>
      <c r="O45" s="240">
        <v>76.961250000000007</v>
      </c>
      <c r="P45" s="240"/>
      <c r="Q45" s="242"/>
      <c r="R45" s="240">
        <v>78.536249999999995</v>
      </c>
      <c r="S45" s="240"/>
      <c r="T45" s="243"/>
      <c r="U45" s="240">
        <v>79.454999999999998</v>
      </c>
      <c r="V45" s="240"/>
      <c r="W45" s="243"/>
      <c r="X45" s="240">
        <v>80.636250000000004</v>
      </c>
      <c r="Y45" s="240"/>
      <c r="Z45" s="243"/>
      <c r="AA45" s="244">
        <v>81.908749999999998</v>
      </c>
      <c r="AB45" s="244"/>
    </row>
    <row r="46" spans="1:28" x14ac:dyDescent="0.25">
      <c r="A46" s="238" t="s">
        <v>172</v>
      </c>
      <c r="B46" s="239" t="s">
        <v>171</v>
      </c>
      <c r="C46" s="245">
        <v>17.614999999999998</v>
      </c>
      <c r="D46" s="245"/>
      <c r="E46" s="241"/>
      <c r="F46" s="245">
        <v>16.8475</v>
      </c>
      <c r="G46" s="245"/>
      <c r="H46" s="242"/>
      <c r="I46" s="245">
        <v>16.231249999999999</v>
      </c>
      <c r="J46" s="245"/>
      <c r="K46" s="242"/>
      <c r="L46" s="245">
        <v>15.817500000000001</v>
      </c>
      <c r="M46" s="245"/>
      <c r="N46" s="242"/>
      <c r="O46" s="245">
        <v>15.105</v>
      </c>
      <c r="P46" s="245"/>
      <c r="Q46" s="242"/>
      <c r="R46" s="245">
        <v>14.0725</v>
      </c>
      <c r="S46" s="245"/>
      <c r="T46" s="243"/>
      <c r="U46" s="245">
        <v>13.47</v>
      </c>
      <c r="V46" s="245"/>
      <c r="W46" s="243"/>
      <c r="X46" s="245">
        <v>12.696249999999999</v>
      </c>
      <c r="Y46" s="245"/>
      <c r="Z46" s="243"/>
      <c r="AA46" s="246">
        <v>11.86125</v>
      </c>
      <c r="AB46" s="246"/>
    </row>
    <row r="47" spans="1:28" x14ac:dyDescent="0.25">
      <c r="A47" s="238" t="s">
        <v>173</v>
      </c>
      <c r="B47" s="239" t="s">
        <v>171</v>
      </c>
      <c r="C47" s="245">
        <v>9.2524999999999995</v>
      </c>
      <c r="D47" s="245"/>
      <c r="E47" s="241"/>
      <c r="F47" s="245">
        <v>8.8524999999999991</v>
      </c>
      <c r="G47" s="245"/>
      <c r="H47" s="242"/>
      <c r="I47" s="245">
        <v>8.5274999999999999</v>
      </c>
      <c r="J47" s="245"/>
      <c r="K47" s="242"/>
      <c r="L47" s="245">
        <v>8.3087499999999999</v>
      </c>
      <c r="M47" s="245"/>
      <c r="N47" s="242"/>
      <c r="O47" s="245">
        <v>7.9337499999999999</v>
      </c>
      <c r="P47" s="245"/>
      <c r="Q47" s="242"/>
      <c r="R47" s="245">
        <v>7.3912500000000003</v>
      </c>
      <c r="S47" s="245"/>
      <c r="T47" s="243"/>
      <c r="U47" s="245">
        <v>7.0750000000000002</v>
      </c>
      <c r="V47" s="245"/>
      <c r="W47" s="243"/>
      <c r="X47" s="245">
        <v>6.6675000000000004</v>
      </c>
      <c r="Y47" s="245"/>
      <c r="Z47" s="243"/>
      <c r="AA47" s="246">
        <v>6.23</v>
      </c>
      <c r="AB47" s="246"/>
    </row>
    <row r="48" spans="1:28" x14ac:dyDescent="0.25">
      <c r="A48" s="247"/>
      <c r="B48" s="248" t="s">
        <v>180</v>
      </c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</row>
  </sheetData>
  <mergeCells count="284">
    <mergeCell ref="AA47:AB47"/>
    <mergeCell ref="B48:AB48"/>
    <mergeCell ref="X46:Y46"/>
    <mergeCell ref="AA46:AB46"/>
    <mergeCell ref="C47:D47"/>
    <mergeCell ref="F47:G47"/>
    <mergeCell ref="I47:J47"/>
    <mergeCell ref="L47:M47"/>
    <mergeCell ref="O47:P47"/>
    <mergeCell ref="R47:S47"/>
    <mergeCell ref="U47:V47"/>
    <mergeCell ref="X47:Y47"/>
    <mergeCell ref="U45:V45"/>
    <mergeCell ref="X45:Y45"/>
    <mergeCell ref="AA45:AB45"/>
    <mergeCell ref="C46:D46"/>
    <mergeCell ref="F46:G46"/>
    <mergeCell ref="I46:J46"/>
    <mergeCell ref="L46:M46"/>
    <mergeCell ref="O46:P46"/>
    <mergeCell ref="R46:S46"/>
    <mergeCell ref="U46:V46"/>
    <mergeCell ref="C45:D45"/>
    <mergeCell ref="F45:G45"/>
    <mergeCell ref="I45:J45"/>
    <mergeCell ref="L45:M45"/>
    <mergeCell ref="O45:P45"/>
    <mergeCell ref="R45:S45"/>
    <mergeCell ref="AA43:AB43"/>
    <mergeCell ref="C44:D44"/>
    <mergeCell ref="F44:G44"/>
    <mergeCell ref="I44:J44"/>
    <mergeCell ref="L44:M44"/>
    <mergeCell ref="O44:P44"/>
    <mergeCell ref="R44:S44"/>
    <mergeCell ref="U44:V44"/>
    <mergeCell ref="X44:Y44"/>
    <mergeCell ref="AA44:AB44"/>
    <mergeCell ref="B40:AB40"/>
    <mergeCell ref="B42:AB42"/>
    <mergeCell ref="C43:D43"/>
    <mergeCell ref="F43:G43"/>
    <mergeCell ref="I43:J43"/>
    <mergeCell ref="L43:M43"/>
    <mergeCell ref="O43:P43"/>
    <mergeCell ref="R43:S43"/>
    <mergeCell ref="U43:V43"/>
    <mergeCell ref="X43:Y43"/>
    <mergeCell ref="AA38:AB38"/>
    <mergeCell ref="C39:D39"/>
    <mergeCell ref="F39:G39"/>
    <mergeCell ref="I39:J39"/>
    <mergeCell ref="L39:M39"/>
    <mergeCell ref="O39:P39"/>
    <mergeCell ref="R39:S39"/>
    <mergeCell ref="U39:V39"/>
    <mergeCell ref="X39:Y39"/>
    <mergeCell ref="AA39:AB39"/>
    <mergeCell ref="X37:Y37"/>
    <mergeCell ref="AA37:AB37"/>
    <mergeCell ref="C38:D38"/>
    <mergeCell ref="F38:G38"/>
    <mergeCell ref="I38:J38"/>
    <mergeCell ref="L38:M38"/>
    <mergeCell ref="O38:P38"/>
    <mergeCell ref="R38:S38"/>
    <mergeCell ref="U38:V38"/>
    <mergeCell ref="X38:Y38"/>
    <mergeCell ref="U36:V36"/>
    <mergeCell ref="X36:Y36"/>
    <mergeCell ref="AA36:AB36"/>
    <mergeCell ref="C37:D37"/>
    <mergeCell ref="F37:G37"/>
    <mergeCell ref="I37:J37"/>
    <mergeCell ref="L37:M37"/>
    <mergeCell ref="O37:P37"/>
    <mergeCell ref="R37:S37"/>
    <mergeCell ref="U37:V37"/>
    <mergeCell ref="R35:S35"/>
    <mergeCell ref="U35:V35"/>
    <mergeCell ref="X35:Y35"/>
    <mergeCell ref="AA35:AB35"/>
    <mergeCell ref="C36:D36"/>
    <mergeCell ref="F36:G36"/>
    <mergeCell ref="I36:J36"/>
    <mergeCell ref="L36:M36"/>
    <mergeCell ref="O36:P36"/>
    <mergeCell ref="R36:S36"/>
    <mergeCell ref="U31:V31"/>
    <mergeCell ref="X31:Y31"/>
    <mergeCell ref="AA31:AB31"/>
    <mergeCell ref="B32:AB32"/>
    <mergeCell ref="B34:AB34"/>
    <mergeCell ref="C35:D35"/>
    <mergeCell ref="F35:G35"/>
    <mergeCell ref="I35:J35"/>
    <mergeCell ref="L35:M35"/>
    <mergeCell ref="O35:P35"/>
    <mergeCell ref="C31:D31"/>
    <mergeCell ref="F31:G31"/>
    <mergeCell ref="I31:J31"/>
    <mergeCell ref="L31:M31"/>
    <mergeCell ref="O31:P31"/>
    <mergeCell ref="R31:S31"/>
    <mergeCell ref="AA29:AB29"/>
    <mergeCell ref="C30:D30"/>
    <mergeCell ref="F30:G30"/>
    <mergeCell ref="I30:J30"/>
    <mergeCell ref="L30:M30"/>
    <mergeCell ref="O30:P30"/>
    <mergeCell ref="R30:S30"/>
    <mergeCell ref="U30:V30"/>
    <mergeCell ref="X30:Y30"/>
    <mergeCell ref="AA30:AB30"/>
    <mergeCell ref="X28:Y28"/>
    <mergeCell ref="AA28:AB28"/>
    <mergeCell ref="C29:D29"/>
    <mergeCell ref="F29:G29"/>
    <mergeCell ref="I29:J29"/>
    <mergeCell ref="L29:M29"/>
    <mergeCell ref="O29:P29"/>
    <mergeCell ref="R29:S29"/>
    <mergeCell ref="U29:V29"/>
    <mergeCell ref="X29:Y29"/>
    <mergeCell ref="U27:V27"/>
    <mergeCell ref="X27:Y27"/>
    <mergeCell ref="AA27:AB27"/>
    <mergeCell ref="C28:D28"/>
    <mergeCell ref="F28:G28"/>
    <mergeCell ref="I28:J28"/>
    <mergeCell ref="L28:M28"/>
    <mergeCell ref="O28:P28"/>
    <mergeCell ref="R28:S28"/>
    <mergeCell ref="U28:V28"/>
    <mergeCell ref="C27:D27"/>
    <mergeCell ref="F27:G27"/>
    <mergeCell ref="I27:J27"/>
    <mergeCell ref="L27:M27"/>
    <mergeCell ref="O27:P27"/>
    <mergeCell ref="R27:S27"/>
    <mergeCell ref="U23:V23"/>
    <mergeCell ref="X23:Y23"/>
    <mergeCell ref="AA23:AB23"/>
    <mergeCell ref="B24:AB24"/>
    <mergeCell ref="A25:AB25"/>
    <mergeCell ref="B26:AB26"/>
    <mergeCell ref="C23:D23"/>
    <mergeCell ref="F23:G23"/>
    <mergeCell ref="I23:J23"/>
    <mergeCell ref="L23:M23"/>
    <mergeCell ref="O23:P23"/>
    <mergeCell ref="R23:S23"/>
    <mergeCell ref="AA21:AB21"/>
    <mergeCell ref="C22:D22"/>
    <mergeCell ref="F22:G22"/>
    <mergeCell ref="I22:J22"/>
    <mergeCell ref="L22:M22"/>
    <mergeCell ref="O22:P22"/>
    <mergeCell ref="R22:S22"/>
    <mergeCell ref="U22:V22"/>
    <mergeCell ref="X22:Y22"/>
    <mergeCell ref="AA22:AB22"/>
    <mergeCell ref="X20:Y20"/>
    <mergeCell ref="AA20:AB20"/>
    <mergeCell ref="C21:D21"/>
    <mergeCell ref="F21:G21"/>
    <mergeCell ref="I21:J21"/>
    <mergeCell ref="L21:M21"/>
    <mergeCell ref="O21:P21"/>
    <mergeCell ref="R21:S21"/>
    <mergeCell ref="U21:V21"/>
    <mergeCell ref="X21:Y21"/>
    <mergeCell ref="U19:V19"/>
    <mergeCell ref="X19:Y19"/>
    <mergeCell ref="AA19:AB19"/>
    <mergeCell ref="C20:D20"/>
    <mergeCell ref="F20:G20"/>
    <mergeCell ref="I20:J20"/>
    <mergeCell ref="L20:M20"/>
    <mergeCell ref="O20:P20"/>
    <mergeCell ref="R20:S20"/>
    <mergeCell ref="U20:V20"/>
    <mergeCell ref="X15:Y15"/>
    <mergeCell ref="AA15:AB15"/>
    <mergeCell ref="B16:AB16"/>
    <mergeCell ref="B18:AB18"/>
    <mergeCell ref="C19:D19"/>
    <mergeCell ref="F19:G19"/>
    <mergeCell ref="I19:J19"/>
    <mergeCell ref="L19:M19"/>
    <mergeCell ref="O19:P19"/>
    <mergeCell ref="R19:S19"/>
    <mergeCell ref="U14:V14"/>
    <mergeCell ref="X14:Y14"/>
    <mergeCell ref="AA14:AB14"/>
    <mergeCell ref="C15:D15"/>
    <mergeCell ref="F15:G15"/>
    <mergeCell ref="I15:J15"/>
    <mergeCell ref="L15:M15"/>
    <mergeCell ref="O15:P15"/>
    <mergeCell ref="R15:S15"/>
    <mergeCell ref="U15:V15"/>
    <mergeCell ref="C14:D14"/>
    <mergeCell ref="F14:G14"/>
    <mergeCell ref="I14:J14"/>
    <mergeCell ref="L14:M14"/>
    <mergeCell ref="O14:P14"/>
    <mergeCell ref="R14:S14"/>
    <mergeCell ref="AA12:AB12"/>
    <mergeCell ref="C13:D13"/>
    <mergeCell ref="F13:G13"/>
    <mergeCell ref="I13:J13"/>
    <mergeCell ref="L13:M13"/>
    <mergeCell ref="O13:P13"/>
    <mergeCell ref="R13:S13"/>
    <mergeCell ref="U13:V13"/>
    <mergeCell ref="X13:Y13"/>
    <mergeCell ref="AA13:AB13"/>
    <mergeCell ref="X11:Y11"/>
    <mergeCell ref="AA11:AB11"/>
    <mergeCell ref="C12:D12"/>
    <mergeCell ref="F12:G12"/>
    <mergeCell ref="I12:J12"/>
    <mergeCell ref="L12:M12"/>
    <mergeCell ref="O12:P12"/>
    <mergeCell ref="R12:S12"/>
    <mergeCell ref="U12:V12"/>
    <mergeCell ref="X12:Y12"/>
    <mergeCell ref="AA7:AB7"/>
    <mergeCell ref="B8:AB8"/>
    <mergeCell ref="B10:AB10"/>
    <mergeCell ref="C11:D11"/>
    <mergeCell ref="F11:G11"/>
    <mergeCell ref="I11:J11"/>
    <mergeCell ref="L11:M11"/>
    <mergeCell ref="O11:P11"/>
    <mergeCell ref="R11:S11"/>
    <mergeCell ref="U11:V11"/>
    <mergeCell ref="X6:Y6"/>
    <mergeCell ref="AA6:AB6"/>
    <mergeCell ref="C7:D7"/>
    <mergeCell ref="F7:G7"/>
    <mergeCell ref="I7:J7"/>
    <mergeCell ref="L7:M7"/>
    <mergeCell ref="O7:P7"/>
    <mergeCell ref="R7:S7"/>
    <mergeCell ref="U7:V7"/>
    <mergeCell ref="X7:Y7"/>
    <mergeCell ref="U5:V5"/>
    <mergeCell ref="X5:Y5"/>
    <mergeCell ref="AA5:AB5"/>
    <mergeCell ref="C6:D6"/>
    <mergeCell ref="F6:G6"/>
    <mergeCell ref="I6:J6"/>
    <mergeCell ref="L6:M6"/>
    <mergeCell ref="O6:P6"/>
    <mergeCell ref="R6:S6"/>
    <mergeCell ref="U6:V6"/>
    <mergeCell ref="C5:D5"/>
    <mergeCell ref="F5:G5"/>
    <mergeCell ref="I5:J5"/>
    <mergeCell ref="L5:M5"/>
    <mergeCell ref="O5:P5"/>
    <mergeCell ref="R5:S5"/>
    <mergeCell ref="AA3:AB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1:AB1"/>
    <mergeCell ref="B2:Z2"/>
    <mergeCell ref="C3:D3"/>
    <mergeCell ref="F3:G3"/>
    <mergeCell ref="I3:J3"/>
    <mergeCell ref="L3:M3"/>
    <mergeCell ref="O3:P3"/>
    <mergeCell ref="R3:S3"/>
    <mergeCell ref="U3:V3"/>
    <mergeCell ref="X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62"/>
  <sheetViews>
    <sheetView workbookViewId="0">
      <selection activeCell="P37" sqref="A1:XFD1048576"/>
    </sheetView>
  </sheetViews>
  <sheetFormatPr defaultRowHeight="15" x14ac:dyDescent="0.25"/>
  <cols>
    <col min="1" max="1" width="11.7109375" style="228" customWidth="1"/>
    <col min="2" max="5" width="5.42578125" style="228" customWidth="1"/>
    <col min="6" max="6" width="0.7109375" style="228" customWidth="1"/>
    <col min="7" max="10" width="5.42578125" style="228" customWidth="1"/>
    <col min="11" max="11" width="0.7109375" style="228" customWidth="1"/>
    <col min="12" max="15" width="5.42578125" style="228" customWidth="1"/>
    <col min="16" max="16" width="0.7109375" style="228" customWidth="1"/>
    <col min="17" max="20" width="5.42578125" style="228" customWidth="1"/>
    <col min="21" max="21" width="0.7109375" style="228" customWidth="1"/>
    <col min="22" max="25" width="5.42578125" style="228" customWidth="1"/>
    <col min="26" max="26" width="0.7109375" style="228" customWidth="1"/>
    <col min="27" max="57" width="5.42578125" style="228" customWidth="1"/>
    <col min="58" max="1024" width="10" style="228" customWidth="1"/>
    <col min="1025" max="1025" width="10.28515625" customWidth="1"/>
  </cols>
  <sheetData>
    <row r="1" spans="1:29" x14ac:dyDescent="0.25">
      <c r="A1" s="256" t="s">
        <v>159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7"/>
      <c r="AA1" s="257"/>
      <c r="AB1" s="257"/>
      <c r="AC1" s="257"/>
    </row>
    <row r="2" spans="1:29" ht="13.5" customHeight="1" x14ac:dyDescent="0.25">
      <c r="A2" s="233"/>
      <c r="B2" s="258" t="s">
        <v>184</v>
      </c>
      <c r="C2" s="258"/>
      <c r="D2" s="258"/>
      <c r="E2" s="258"/>
      <c r="F2" s="257"/>
      <c r="G2" s="258" t="s">
        <v>185</v>
      </c>
      <c r="H2" s="258"/>
      <c r="I2" s="258"/>
      <c r="J2" s="258"/>
      <c r="K2" s="257"/>
      <c r="L2" s="258" t="s">
        <v>186</v>
      </c>
      <c r="M2" s="258"/>
      <c r="N2" s="258"/>
      <c r="O2" s="258"/>
      <c r="P2" s="257"/>
      <c r="Q2" s="258" t="s">
        <v>187</v>
      </c>
      <c r="R2" s="258"/>
      <c r="S2" s="258"/>
      <c r="T2" s="258"/>
      <c r="U2" s="257"/>
      <c r="V2" s="258" t="s">
        <v>188</v>
      </c>
      <c r="W2" s="258"/>
      <c r="X2" s="258"/>
      <c r="Y2" s="258"/>
      <c r="Z2" s="257"/>
      <c r="AA2" s="257"/>
      <c r="AB2" s="257"/>
      <c r="AC2" s="257"/>
    </row>
    <row r="3" spans="1:29" ht="13.5" customHeight="1" x14ac:dyDescent="0.25">
      <c r="A3" s="233"/>
      <c r="B3" s="259" t="s">
        <v>169</v>
      </c>
      <c r="C3" s="259"/>
      <c r="D3" s="259"/>
      <c r="E3" s="259"/>
      <c r="F3" s="257"/>
      <c r="G3" s="259" t="s">
        <v>169</v>
      </c>
      <c r="H3" s="259"/>
      <c r="I3" s="259"/>
      <c r="J3" s="259"/>
      <c r="K3" s="257"/>
      <c r="L3" s="259" t="s">
        <v>169</v>
      </c>
      <c r="M3" s="259"/>
      <c r="N3" s="259"/>
      <c r="O3" s="259"/>
      <c r="P3" s="257"/>
      <c r="Q3" s="259" t="s">
        <v>169</v>
      </c>
      <c r="R3" s="259"/>
      <c r="S3" s="259"/>
      <c r="T3" s="259"/>
      <c r="U3" s="257"/>
      <c r="V3" s="259" t="s">
        <v>169</v>
      </c>
      <c r="W3" s="259"/>
      <c r="X3" s="259"/>
      <c r="Y3" s="259"/>
      <c r="Z3" s="257"/>
      <c r="AA3" s="257"/>
      <c r="AB3" s="257"/>
      <c r="AC3" s="257"/>
    </row>
    <row r="4" spans="1:29" ht="13.5" customHeight="1" x14ac:dyDescent="0.25">
      <c r="A4" s="233"/>
      <c r="B4" s="260" t="s">
        <v>189</v>
      </c>
      <c r="C4" s="260" t="s">
        <v>190</v>
      </c>
      <c r="D4" s="260" t="s">
        <v>191</v>
      </c>
      <c r="E4" s="260" t="s">
        <v>192</v>
      </c>
      <c r="F4" s="257"/>
      <c r="G4" s="260" t="s">
        <v>189</v>
      </c>
      <c r="H4" s="260" t="s">
        <v>190</v>
      </c>
      <c r="I4" s="260" t="s">
        <v>191</v>
      </c>
      <c r="J4" s="260" t="s">
        <v>192</v>
      </c>
      <c r="K4" s="257"/>
      <c r="L4" s="260" t="s">
        <v>189</v>
      </c>
      <c r="M4" s="260" t="s">
        <v>190</v>
      </c>
      <c r="N4" s="260" t="s">
        <v>191</v>
      </c>
      <c r="O4" s="260" t="s">
        <v>192</v>
      </c>
      <c r="P4" s="257"/>
      <c r="Q4" s="260" t="s">
        <v>189</v>
      </c>
      <c r="R4" s="260" t="s">
        <v>190</v>
      </c>
      <c r="S4" s="260" t="s">
        <v>191</v>
      </c>
      <c r="T4" s="260" t="s">
        <v>192</v>
      </c>
      <c r="U4" s="257"/>
      <c r="V4" s="260" t="s">
        <v>189</v>
      </c>
      <c r="W4" s="260" t="s">
        <v>190</v>
      </c>
      <c r="X4" s="260" t="s">
        <v>191</v>
      </c>
      <c r="Y4" s="260" t="s">
        <v>192</v>
      </c>
      <c r="Z4" s="257"/>
      <c r="AA4" s="257"/>
      <c r="AB4" s="257"/>
      <c r="AC4" s="257"/>
    </row>
    <row r="5" spans="1:29" ht="9.75" customHeight="1" x14ac:dyDescent="0.25">
      <c r="A5" s="261" t="s">
        <v>193</v>
      </c>
      <c r="B5" s="262" t="s">
        <v>194</v>
      </c>
      <c r="C5" s="263">
        <v>71.010000000000005</v>
      </c>
      <c r="D5" s="263">
        <v>25.47</v>
      </c>
      <c r="E5" s="264">
        <v>3.52</v>
      </c>
      <c r="F5" s="265"/>
      <c r="G5" s="262" t="s">
        <v>195</v>
      </c>
      <c r="H5" s="263">
        <v>72.239999999999995</v>
      </c>
      <c r="I5" s="263">
        <v>24.39</v>
      </c>
      <c r="J5" s="264">
        <v>3.37</v>
      </c>
      <c r="K5" s="265"/>
      <c r="L5" s="262" t="s">
        <v>196</v>
      </c>
      <c r="M5" s="263">
        <v>73.23</v>
      </c>
      <c r="N5" s="263">
        <v>23.52</v>
      </c>
      <c r="O5" s="264">
        <v>3.25</v>
      </c>
      <c r="P5" s="265"/>
      <c r="Q5" s="262" t="s">
        <v>197</v>
      </c>
      <c r="R5" s="263">
        <v>73.89</v>
      </c>
      <c r="S5" s="263">
        <v>22.94</v>
      </c>
      <c r="T5" s="264">
        <v>3.17</v>
      </c>
      <c r="U5" s="265"/>
      <c r="V5" s="262" t="s">
        <v>198</v>
      </c>
      <c r="W5" s="263">
        <v>75.05</v>
      </c>
      <c r="X5" s="263">
        <v>21.92</v>
      </c>
      <c r="Y5" s="264">
        <v>3.03</v>
      </c>
      <c r="Z5" s="266"/>
      <c r="AA5" s="266"/>
      <c r="AB5" s="266"/>
      <c r="AC5" s="266"/>
    </row>
    <row r="6" spans="1:29" ht="9.75" customHeight="1" x14ac:dyDescent="0.25">
      <c r="A6" s="261" t="s">
        <v>199</v>
      </c>
      <c r="B6" s="262" t="s">
        <v>195</v>
      </c>
      <c r="C6" s="263">
        <v>70.39</v>
      </c>
      <c r="D6" s="263">
        <v>26.02</v>
      </c>
      <c r="E6" s="264">
        <v>3.59</v>
      </c>
      <c r="F6" s="265"/>
      <c r="G6" s="262" t="s">
        <v>196</v>
      </c>
      <c r="H6" s="263">
        <v>71.64</v>
      </c>
      <c r="I6" s="263">
        <v>24.92</v>
      </c>
      <c r="J6" s="264">
        <v>3.44</v>
      </c>
      <c r="K6" s="265"/>
      <c r="L6" s="262" t="s">
        <v>197</v>
      </c>
      <c r="M6" s="263">
        <v>72.64</v>
      </c>
      <c r="N6" s="263">
        <v>24.04</v>
      </c>
      <c r="O6" s="264">
        <v>3.32</v>
      </c>
      <c r="P6" s="265"/>
      <c r="Q6" s="262" t="s">
        <v>198</v>
      </c>
      <c r="R6" s="263">
        <v>73.31</v>
      </c>
      <c r="S6" s="263">
        <v>23.45</v>
      </c>
      <c r="T6" s="264">
        <v>3.24</v>
      </c>
      <c r="U6" s="265"/>
      <c r="V6" s="262" t="s">
        <v>200</v>
      </c>
      <c r="W6" s="263">
        <v>74.48</v>
      </c>
      <c r="X6" s="263">
        <v>22.42</v>
      </c>
      <c r="Y6" s="264">
        <v>3.1</v>
      </c>
      <c r="Z6" s="266"/>
      <c r="AA6" s="266"/>
      <c r="AB6" s="266"/>
      <c r="AC6" s="266"/>
    </row>
    <row r="7" spans="1:29" ht="9.75" customHeight="1" x14ac:dyDescent="0.25">
      <c r="A7" s="261" t="s">
        <v>201</v>
      </c>
      <c r="B7" s="262" t="s">
        <v>196</v>
      </c>
      <c r="C7" s="263">
        <v>69.75</v>
      </c>
      <c r="D7" s="263">
        <v>26.58</v>
      </c>
      <c r="E7" s="264">
        <v>3.67</v>
      </c>
      <c r="F7" s="265"/>
      <c r="G7" s="262" t="s">
        <v>197</v>
      </c>
      <c r="H7" s="263">
        <v>71.010000000000005</v>
      </c>
      <c r="I7" s="263">
        <v>25.47</v>
      </c>
      <c r="J7" s="264">
        <v>3.52</v>
      </c>
      <c r="K7" s="265"/>
      <c r="L7" s="262" t="s">
        <v>198</v>
      </c>
      <c r="M7" s="263">
        <v>72.02</v>
      </c>
      <c r="N7" s="263">
        <v>24.58</v>
      </c>
      <c r="O7" s="264">
        <v>3.4</v>
      </c>
      <c r="P7" s="265"/>
      <c r="Q7" s="262" t="s">
        <v>200</v>
      </c>
      <c r="R7" s="263">
        <v>72.709999999999994</v>
      </c>
      <c r="S7" s="263">
        <v>23.98</v>
      </c>
      <c r="T7" s="264">
        <v>3.31</v>
      </c>
      <c r="U7" s="265"/>
      <c r="V7" s="262" t="s">
        <v>202</v>
      </c>
      <c r="W7" s="263">
        <v>73.89</v>
      </c>
      <c r="X7" s="263">
        <v>22.94</v>
      </c>
      <c r="Y7" s="264">
        <v>3.17</v>
      </c>
      <c r="Z7" s="266"/>
      <c r="AA7" s="266"/>
      <c r="AB7" s="266"/>
      <c r="AC7" s="266"/>
    </row>
    <row r="8" spans="1:29" ht="9.75" customHeight="1" x14ac:dyDescent="0.25">
      <c r="A8" s="261" t="s">
        <v>203</v>
      </c>
      <c r="B8" s="262" t="s">
        <v>197</v>
      </c>
      <c r="C8" s="263">
        <v>69.08</v>
      </c>
      <c r="D8" s="263">
        <v>27.17</v>
      </c>
      <c r="E8" s="264">
        <v>3.75</v>
      </c>
      <c r="F8" s="265"/>
      <c r="G8" s="262" t="s">
        <v>198</v>
      </c>
      <c r="H8" s="263">
        <v>70.349999999999994</v>
      </c>
      <c r="I8" s="263">
        <v>26.05</v>
      </c>
      <c r="J8" s="264">
        <v>3.6</v>
      </c>
      <c r="K8" s="265"/>
      <c r="L8" s="262" t="s">
        <v>200</v>
      </c>
      <c r="M8" s="263">
        <v>71.38</v>
      </c>
      <c r="N8" s="263">
        <v>25.15</v>
      </c>
      <c r="O8" s="264">
        <v>3.47</v>
      </c>
      <c r="P8" s="265"/>
      <c r="Q8" s="262" t="s">
        <v>202</v>
      </c>
      <c r="R8" s="263">
        <v>72.069999999999993</v>
      </c>
      <c r="S8" s="263">
        <v>24.54</v>
      </c>
      <c r="T8" s="264">
        <v>3.39</v>
      </c>
      <c r="U8" s="265"/>
      <c r="V8" s="262" t="s">
        <v>204</v>
      </c>
      <c r="W8" s="263">
        <v>73.28</v>
      </c>
      <c r="X8" s="263">
        <v>23.48</v>
      </c>
      <c r="Y8" s="264">
        <v>3.24</v>
      </c>
      <c r="Z8" s="266"/>
      <c r="AA8" s="266"/>
      <c r="AB8" s="266"/>
      <c r="AC8" s="266"/>
    </row>
    <row r="9" spans="1:29" ht="9.75" customHeight="1" x14ac:dyDescent="0.25">
      <c r="A9" s="261" t="s">
        <v>205</v>
      </c>
      <c r="B9" s="262" t="s">
        <v>198</v>
      </c>
      <c r="C9" s="263">
        <v>68.37</v>
      </c>
      <c r="D9" s="263">
        <v>27.79</v>
      </c>
      <c r="E9" s="264">
        <v>3.84</v>
      </c>
      <c r="F9" s="265"/>
      <c r="G9" s="262" t="s">
        <v>200</v>
      </c>
      <c r="H9" s="263">
        <v>69.66</v>
      </c>
      <c r="I9" s="263">
        <v>26.66</v>
      </c>
      <c r="J9" s="264">
        <v>3.68</v>
      </c>
      <c r="K9" s="267"/>
      <c r="L9" s="262" t="s">
        <v>202</v>
      </c>
      <c r="M9" s="263">
        <v>70.709999999999994</v>
      </c>
      <c r="N9" s="263">
        <v>25.73</v>
      </c>
      <c r="O9" s="264">
        <v>3.56</v>
      </c>
      <c r="P9" s="265"/>
      <c r="Q9" s="262" t="s">
        <v>204</v>
      </c>
      <c r="R9" s="263">
        <v>71.41</v>
      </c>
      <c r="S9" s="263">
        <v>25.12</v>
      </c>
      <c r="T9" s="264">
        <v>3.47</v>
      </c>
      <c r="U9" s="265"/>
      <c r="V9" s="262" t="s">
        <v>206</v>
      </c>
      <c r="W9" s="263">
        <v>72.63</v>
      </c>
      <c r="X9" s="263">
        <v>24.05</v>
      </c>
      <c r="Y9" s="264">
        <v>3.32</v>
      </c>
      <c r="Z9" s="266"/>
      <c r="AA9" s="266"/>
      <c r="AB9" s="266"/>
      <c r="AC9" s="266"/>
    </row>
    <row r="10" spans="1:29" ht="9.75" customHeight="1" x14ac:dyDescent="0.25">
      <c r="A10" s="261" t="s">
        <v>207</v>
      </c>
      <c r="B10" s="262" t="s">
        <v>200</v>
      </c>
      <c r="C10" s="263">
        <v>67.63</v>
      </c>
      <c r="D10" s="263">
        <v>28.44</v>
      </c>
      <c r="E10" s="264">
        <v>3.93</v>
      </c>
      <c r="F10" s="265"/>
      <c r="G10" s="262" t="s">
        <v>202</v>
      </c>
      <c r="H10" s="263">
        <v>68.94</v>
      </c>
      <c r="I10" s="263">
        <v>27.29</v>
      </c>
      <c r="J10" s="264">
        <v>3.77</v>
      </c>
      <c r="K10" s="265"/>
      <c r="L10" s="262" t="s">
        <v>204</v>
      </c>
      <c r="M10" s="263">
        <v>70</v>
      </c>
      <c r="N10" s="263">
        <v>26.36</v>
      </c>
      <c r="O10" s="264">
        <v>3.64</v>
      </c>
      <c r="P10" s="265"/>
      <c r="Q10" s="262" t="s">
        <v>206</v>
      </c>
      <c r="R10" s="263">
        <v>70.709999999999994</v>
      </c>
      <c r="S10" s="263">
        <v>25.73</v>
      </c>
      <c r="T10" s="264">
        <v>3.56</v>
      </c>
      <c r="U10" s="265"/>
      <c r="V10" s="262" t="s">
        <v>208</v>
      </c>
      <c r="W10" s="263">
        <v>71.95</v>
      </c>
      <c r="X10" s="263">
        <v>24.64</v>
      </c>
      <c r="Y10" s="264">
        <v>3.41</v>
      </c>
      <c r="Z10" s="266"/>
      <c r="AA10" s="266"/>
      <c r="AB10" s="266"/>
      <c r="AC10" s="266"/>
    </row>
    <row r="11" spans="1:29" ht="9.75" customHeight="1" x14ac:dyDescent="0.25">
      <c r="A11" s="261" t="s">
        <v>209</v>
      </c>
      <c r="B11" s="262" t="s">
        <v>202</v>
      </c>
      <c r="C11" s="263">
        <v>66.86</v>
      </c>
      <c r="D11" s="263">
        <v>29.12</v>
      </c>
      <c r="E11" s="264">
        <v>4.0199999999999996</v>
      </c>
      <c r="F11" s="265"/>
      <c r="G11" s="262" t="s">
        <v>204</v>
      </c>
      <c r="H11" s="263">
        <v>68.180000000000007</v>
      </c>
      <c r="I11" s="263">
        <v>27.96</v>
      </c>
      <c r="J11" s="264">
        <v>3.86</v>
      </c>
      <c r="K11" s="265"/>
      <c r="L11" s="262" t="s">
        <v>206</v>
      </c>
      <c r="M11" s="263">
        <v>69.260000000000005</v>
      </c>
      <c r="N11" s="263">
        <v>27.01</v>
      </c>
      <c r="O11" s="264">
        <v>3.73</v>
      </c>
      <c r="P11" s="265"/>
      <c r="Q11" s="262" t="s">
        <v>208</v>
      </c>
      <c r="R11" s="263">
        <v>69.98</v>
      </c>
      <c r="S11" s="263">
        <v>26.38</v>
      </c>
      <c r="T11" s="264">
        <v>3.64</v>
      </c>
      <c r="U11" s="265"/>
      <c r="V11" s="262" t="s">
        <v>210</v>
      </c>
      <c r="W11" s="263">
        <v>71.239999999999995</v>
      </c>
      <c r="X11" s="263">
        <v>25.27</v>
      </c>
      <c r="Y11" s="264">
        <v>3.49</v>
      </c>
      <c r="Z11" s="266"/>
      <c r="AA11" s="266"/>
      <c r="AB11" s="266"/>
      <c r="AC11" s="266"/>
    </row>
    <row r="12" spans="1:29" ht="9.75" customHeight="1" x14ac:dyDescent="0.25">
      <c r="A12" s="261" t="s">
        <v>211</v>
      </c>
      <c r="B12" s="262" t="s">
        <v>204</v>
      </c>
      <c r="C12" s="263">
        <v>66.06</v>
      </c>
      <c r="D12" s="263">
        <v>29.83</v>
      </c>
      <c r="E12" s="264">
        <v>4.12</v>
      </c>
      <c r="F12" s="265"/>
      <c r="G12" s="262" t="s">
        <v>206</v>
      </c>
      <c r="H12" s="263">
        <v>67.39</v>
      </c>
      <c r="I12" s="263">
        <v>28.65</v>
      </c>
      <c r="J12" s="264">
        <v>3.96</v>
      </c>
      <c r="K12" s="265"/>
      <c r="L12" s="262" t="s">
        <v>208</v>
      </c>
      <c r="M12" s="263">
        <v>68.47</v>
      </c>
      <c r="N12" s="263">
        <v>27.7</v>
      </c>
      <c r="O12" s="264">
        <v>3.83</v>
      </c>
      <c r="P12" s="265"/>
      <c r="Q12" s="262" t="s">
        <v>210</v>
      </c>
      <c r="R12" s="263">
        <v>69.209999999999994</v>
      </c>
      <c r="S12" s="263">
        <v>27.05</v>
      </c>
      <c r="T12" s="264">
        <v>3.74</v>
      </c>
      <c r="U12" s="265"/>
      <c r="V12" s="262" t="s">
        <v>212</v>
      </c>
      <c r="W12" s="263">
        <v>70.489999999999995</v>
      </c>
      <c r="X12" s="263">
        <v>25.93</v>
      </c>
      <c r="Y12" s="264">
        <v>3.58</v>
      </c>
      <c r="Z12" s="266"/>
      <c r="AA12" s="266"/>
      <c r="AB12" s="266"/>
      <c r="AC12" s="266"/>
    </row>
    <row r="13" spans="1:29" ht="13.5" customHeight="1" x14ac:dyDescent="0.25">
      <c r="A13" s="268" t="s">
        <v>213</v>
      </c>
      <c r="B13" s="266"/>
      <c r="C13" s="264">
        <f>(C5+C6+C7+C8+C9+C10+C11+C12)/(8)</f>
        <v>68.643750000000011</v>
      </c>
      <c r="D13" s="264">
        <f>(D5+D6+D7+D8+D9+D10+D11+D12)/(8)</f>
        <v>27.552500000000002</v>
      </c>
      <c r="E13" s="264">
        <f>(E5+E6+E7+E8+E9+E10+E11+E12)/(8)</f>
        <v>3.8049999999999997</v>
      </c>
      <c r="F13" s="266"/>
      <c r="G13" s="266"/>
      <c r="H13" s="264">
        <f>(H5+H6+H7+H8+H9+H10+H11+H12)/(8)</f>
        <v>69.926249999999996</v>
      </c>
      <c r="I13" s="264">
        <f>(I5+I6+I7+I8+I9+I10+I11+I12)/(8)</f>
        <v>26.423750000000002</v>
      </c>
      <c r="J13" s="264">
        <f>(J5+J6+J7+J8+J9+J10+J11+J12)/(8)</f>
        <v>3.65</v>
      </c>
      <c r="K13" s="266"/>
      <c r="L13" s="266"/>
      <c r="M13" s="264">
        <f>(M5+M6+M7+M8+M9+M10+M11+M12)/(8)</f>
        <v>70.96374999999999</v>
      </c>
      <c r="N13" s="264">
        <f>(N5+N6+N7+N8+N9+N10+N11+N12)/(8)</f>
        <v>25.511249999999997</v>
      </c>
      <c r="O13" s="264">
        <f>(O5+O6+O7+O8+O9+O10+O11+O12)/(8)</f>
        <v>3.5250000000000004</v>
      </c>
      <c r="P13" s="266"/>
      <c r="Q13" s="266"/>
      <c r="R13" s="264">
        <f>(R5+R6+R7+R8+R9+R10+R11+R12)/(8)</f>
        <v>71.661249999999995</v>
      </c>
      <c r="S13" s="264">
        <f>(S5+S6+S7+S8+S9+S10+S11+S12)/(8)</f>
        <v>24.89875</v>
      </c>
      <c r="T13" s="264">
        <f>(T5+T6+T7+T8+T9+T10+T11+T12)/(8)</f>
        <v>3.4400000000000004</v>
      </c>
      <c r="U13" s="266"/>
      <c r="V13" s="266"/>
      <c r="W13" s="264">
        <f>(W5+W6+W7+W8+W9+W10+W11+W12)/(8)</f>
        <v>72.876249999999999</v>
      </c>
      <c r="X13" s="264">
        <f>(X5+X6+X7+X8+X9+X10+X11+X12)/(8)</f>
        <v>23.831250000000001</v>
      </c>
      <c r="Y13" s="264">
        <f>(Y5+Y6+Y7+Y8+Y9+Y10+Y11+Y12)/(8)</f>
        <v>3.2925000000000004</v>
      </c>
      <c r="Z13" s="266"/>
      <c r="AA13" s="266"/>
      <c r="AB13" s="266"/>
      <c r="AC13" s="266"/>
    </row>
    <row r="14" spans="1:29" ht="3" customHeight="1" x14ac:dyDescent="0.25">
      <c r="A14" s="233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9"/>
      <c r="Z14" s="266"/>
      <c r="AA14" s="266"/>
      <c r="AB14" s="266"/>
      <c r="AC14" s="266"/>
    </row>
    <row r="15" spans="1:29" ht="13.5" customHeight="1" x14ac:dyDescent="0.25">
      <c r="A15" s="233"/>
      <c r="B15" s="258" t="s">
        <v>165</v>
      </c>
      <c r="C15" s="258"/>
      <c r="D15" s="258"/>
      <c r="E15" s="258"/>
      <c r="F15" s="266"/>
      <c r="G15" s="258" t="s">
        <v>166</v>
      </c>
      <c r="H15" s="258"/>
      <c r="I15" s="258"/>
      <c r="J15" s="258"/>
      <c r="K15" s="266"/>
      <c r="L15" s="258" t="s">
        <v>167</v>
      </c>
      <c r="M15" s="258"/>
      <c r="N15" s="258"/>
      <c r="O15" s="258"/>
      <c r="P15" s="266"/>
      <c r="Q15" s="258" t="s">
        <v>168</v>
      </c>
      <c r="R15" s="258"/>
      <c r="S15" s="258"/>
      <c r="T15" s="258"/>
      <c r="U15" s="266"/>
      <c r="V15" s="266"/>
      <c r="W15" s="266"/>
      <c r="X15" s="266"/>
      <c r="Y15" s="269"/>
      <c r="Z15" s="266"/>
      <c r="AA15" s="266"/>
      <c r="AB15" s="266"/>
      <c r="AC15" s="266"/>
    </row>
    <row r="16" spans="1:29" ht="13.5" customHeight="1" x14ac:dyDescent="0.25">
      <c r="A16" s="233"/>
      <c r="B16" s="259" t="s">
        <v>169</v>
      </c>
      <c r="C16" s="259"/>
      <c r="D16" s="259"/>
      <c r="E16" s="259"/>
      <c r="F16" s="266"/>
      <c r="G16" s="259" t="s">
        <v>169</v>
      </c>
      <c r="H16" s="259"/>
      <c r="I16" s="259"/>
      <c r="J16" s="259"/>
      <c r="K16" s="266"/>
      <c r="L16" s="259" t="s">
        <v>169</v>
      </c>
      <c r="M16" s="259"/>
      <c r="N16" s="259"/>
      <c r="O16" s="259"/>
      <c r="P16" s="266"/>
      <c r="Q16" s="259" t="s">
        <v>169</v>
      </c>
      <c r="R16" s="259"/>
      <c r="S16" s="259"/>
      <c r="T16" s="259"/>
      <c r="U16" s="266"/>
      <c r="V16" s="266"/>
      <c r="W16" s="266"/>
      <c r="X16" s="266"/>
      <c r="Y16" s="269"/>
      <c r="Z16" s="266"/>
      <c r="AA16" s="266"/>
      <c r="AB16" s="266"/>
      <c r="AC16" s="266"/>
    </row>
    <row r="17" spans="1:29" ht="13.5" customHeight="1" x14ac:dyDescent="0.25">
      <c r="A17" s="233"/>
      <c r="B17" s="260" t="s">
        <v>189</v>
      </c>
      <c r="C17" s="260" t="s">
        <v>190</v>
      </c>
      <c r="D17" s="260" t="s">
        <v>191</v>
      </c>
      <c r="E17" s="260" t="s">
        <v>192</v>
      </c>
      <c r="F17" s="266"/>
      <c r="G17" s="260" t="s">
        <v>189</v>
      </c>
      <c r="H17" s="260" t="s">
        <v>190</v>
      </c>
      <c r="I17" s="260" t="s">
        <v>191</v>
      </c>
      <c r="J17" s="260" t="s">
        <v>192</v>
      </c>
      <c r="K17" s="266"/>
      <c r="L17" s="260" t="s">
        <v>189</v>
      </c>
      <c r="M17" s="260" t="s">
        <v>190</v>
      </c>
      <c r="N17" s="260" t="s">
        <v>191</v>
      </c>
      <c r="O17" s="260" t="s">
        <v>192</v>
      </c>
      <c r="P17" s="266"/>
      <c r="Q17" s="260" t="s">
        <v>189</v>
      </c>
      <c r="R17" s="260" t="s">
        <v>190</v>
      </c>
      <c r="S17" s="260" t="s">
        <v>191</v>
      </c>
      <c r="T17" s="260" t="s">
        <v>192</v>
      </c>
      <c r="U17" s="266"/>
      <c r="V17" s="266" t="s">
        <v>214</v>
      </c>
      <c r="W17" s="266"/>
      <c r="X17" s="266"/>
      <c r="Y17" s="269"/>
      <c r="Z17" s="266"/>
      <c r="AA17" s="266"/>
      <c r="AB17" s="266"/>
      <c r="AC17" s="266"/>
    </row>
    <row r="18" spans="1:29" ht="9.75" customHeight="1" x14ac:dyDescent="0.25">
      <c r="A18" s="261" t="s">
        <v>193</v>
      </c>
      <c r="B18" s="262" t="s">
        <v>200</v>
      </c>
      <c r="C18" s="263">
        <v>76.709999999999994</v>
      </c>
      <c r="D18" s="263">
        <v>20.46</v>
      </c>
      <c r="E18" s="264">
        <v>2.83</v>
      </c>
      <c r="F18" s="265"/>
      <c r="G18" s="262" t="s">
        <v>202</v>
      </c>
      <c r="H18" s="263">
        <v>77.69</v>
      </c>
      <c r="I18" s="263">
        <v>19.600000000000001</v>
      </c>
      <c r="J18" s="264">
        <v>2.71</v>
      </c>
      <c r="K18" s="265"/>
      <c r="L18" s="262" t="s">
        <v>204</v>
      </c>
      <c r="M18" s="263">
        <v>78.94</v>
      </c>
      <c r="N18" s="263">
        <v>18.5</v>
      </c>
      <c r="O18" s="264">
        <v>2.56</v>
      </c>
      <c r="P18" s="265"/>
      <c r="Q18" s="262" t="s">
        <v>206</v>
      </c>
      <c r="R18" s="263">
        <v>80.31</v>
      </c>
      <c r="S18" s="263">
        <v>17.3</v>
      </c>
      <c r="T18" s="264">
        <v>2.39</v>
      </c>
      <c r="U18" s="265"/>
      <c r="V18" s="270" t="s">
        <v>215</v>
      </c>
      <c r="W18" s="270"/>
      <c r="X18" s="270"/>
      <c r="Y18" s="271"/>
      <c r="Z18" s="266"/>
      <c r="AA18" s="266"/>
      <c r="AB18" s="266"/>
      <c r="AC18" s="266"/>
    </row>
    <row r="19" spans="1:29" ht="9.75" customHeight="1" x14ac:dyDescent="0.25">
      <c r="A19" s="261" t="s">
        <v>199</v>
      </c>
      <c r="B19" s="262" t="s">
        <v>202</v>
      </c>
      <c r="C19" s="263">
        <v>76.180000000000007</v>
      </c>
      <c r="D19" s="263">
        <v>20.93</v>
      </c>
      <c r="E19" s="264">
        <v>2.89</v>
      </c>
      <c r="F19" s="265"/>
      <c r="G19" s="262" t="s">
        <v>204</v>
      </c>
      <c r="H19" s="263">
        <v>77.17</v>
      </c>
      <c r="I19" s="263">
        <v>20.059999999999999</v>
      </c>
      <c r="J19" s="264">
        <v>2.77</v>
      </c>
      <c r="K19" s="265"/>
      <c r="L19" s="262" t="s">
        <v>206</v>
      </c>
      <c r="M19" s="263">
        <v>78.44</v>
      </c>
      <c r="N19" s="263">
        <v>18.940000000000001</v>
      </c>
      <c r="O19" s="264">
        <v>2.62</v>
      </c>
      <c r="P19" s="265"/>
      <c r="Q19" s="262" t="s">
        <v>208</v>
      </c>
      <c r="R19" s="263">
        <v>79.83</v>
      </c>
      <c r="S19" s="263">
        <v>17.72</v>
      </c>
      <c r="T19" s="264">
        <v>2.4500000000000002</v>
      </c>
      <c r="U19" s="265"/>
      <c r="V19" s="265"/>
      <c r="W19" s="265"/>
      <c r="X19" s="265"/>
      <c r="Y19" s="271"/>
      <c r="Z19" s="266"/>
      <c r="AA19" s="266"/>
      <c r="AB19" s="266"/>
      <c r="AC19" s="266"/>
    </row>
    <row r="20" spans="1:29" ht="9.75" customHeight="1" x14ac:dyDescent="0.25">
      <c r="A20" s="261" t="s">
        <v>201</v>
      </c>
      <c r="B20" s="262" t="s">
        <v>204</v>
      </c>
      <c r="C20" s="263">
        <v>75.61</v>
      </c>
      <c r="D20" s="263">
        <v>21.43</v>
      </c>
      <c r="E20" s="264">
        <v>2.96</v>
      </c>
      <c r="F20" s="265"/>
      <c r="G20" s="262" t="s">
        <v>206</v>
      </c>
      <c r="H20" s="263">
        <v>76.62</v>
      </c>
      <c r="I20" s="263">
        <v>20.54</v>
      </c>
      <c r="J20" s="264">
        <v>2.84</v>
      </c>
      <c r="K20" s="265"/>
      <c r="L20" s="262" t="s">
        <v>208</v>
      </c>
      <c r="M20" s="263">
        <v>77.92</v>
      </c>
      <c r="N20" s="263">
        <v>19.399999999999999</v>
      </c>
      <c r="O20" s="264">
        <v>2.68</v>
      </c>
      <c r="P20" s="265"/>
      <c r="Q20" s="262" t="s">
        <v>210</v>
      </c>
      <c r="R20" s="263">
        <v>79.33</v>
      </c>
      <c r="S20" s="263">
        <v>18.16</v>
      </c>
      <c r="T20" s="264">
        <v>2.5099999999999998</v>
      </c>
      <c r="U20" s="265"/>
      <c r="V20" s="270" t="s">
        <v>216</v>
      </c>
      <c r="W20" s="270"/>
      <c r="X20" s="270"/>
      <c r="Y20" s="271"/>
      <c r="Z20" s="266"/>
      <c r="AA20" s="266"/>
      <c r="AB20" s="266"/>
      <c r="AC20" s="266"/>
    </row>
    <row r="21" spans="1:29" ht="9.75" customHeight="1" x14ac:dyDescent="0.25">
      <c r="A21" s="261" t="s">
        <v>203</v>
      </c>
      <c r="B21" s="262" t="s">
        <v>206</v>
      </c>
      <c r="C21" s="263">
        <v>75.02</v>
      </c>
      <c r="D21" s="263">
        <v>21.95</v>
      </c>
      <c r="E21" s="264">
        <v>3.03</v>
      </c>
      <c r="F21" s="265"/>
      <c r="G21" s="262" t="s">
        <v>208</v>
      </c>
      <c r="H21" s="263">
        <v>76.040000000000006</v>
      </c>
      <c r="I21" s="263">
        <v>21.05</v>
      </c>
      <c r="J21" s="264">
        <v>2.91</v>
      </c>
      <c r="K21" s="265"/>
      <c r="L21" s="262" t="s">
        <v>210</v>
      </c>
      <c r="M21" s="263">
        <v>77.37</v>
      </c>
      <c r="N21" s="263">
        <v>19.88</v>
      </c>
      <c r="O21" s="264">
        <v>2.75</v>
      </c>
      <c r="P21" s="265"/>
      <c r="Q21" s="262" t="s">
        <v>212</v>
      </c>
      <c r="R21" s="263">
        <v>78.81</v>
      </c>
      <c r="S21" s="263">
        <v>18.62</v>
      </c>
      <c r="T21" s="264">
        <v>2.57</v>
      </c>
      <c r="U21" s="265"/>
      <c r="V21" s="265"/>
      <c r="W21" s="265"/>
      <c r="X21" s="265"/>
      <c r="Y21" s="271"/>
      <c r="Z21" s="266"/>
      <c r="AA21" s="266"/>
      <c r="AB21" s="266"/>
      <c r="AC21" s="266"/>
    </row>
    <row r="22" spans="1:29" ht="9.75" customHeight="1" x14ac:dyDescent="0.25">
      <c r="A22" s="261" t="s">
        <v>205</v>
      </c>
      <c r="B22" s="262" t="s">
        <v>208</v>
      </c>
      <c r="C22" s="263">
        <v>74.400000000000006</v>
      </c>
      <c r="D22" s="263">
        <v>22.49</v>
      </c>
      <c r="E22" s="264">
        <v>3.11</v>
      </c>
      <c r="F22" s="265"/>
      <c r="G22" s="262" t="s">
        <v>210</v>
      </c>
      <c r="H22" s="263">
        <v>75.45</v>
      </c>
      <c r="I22" s="263">
        <v>21.57</v>
      </c>
      <c r="J22" s="264">
        <v>2.98</v>
      </c>
      <c r="K22" s="265"/>
      <c r="L22" s="262" t="s">
        <v>212</v>
      </c>
      <c r="M22" s="263">
        <v>76.790000000000006</v>
      </c>
      <c r="N22" s="263">
        <v>20.39</v>
      </c>
      <c r="O22" s="264">
        <v>2.82</v>
      </c>
      <c r="P22" s="265"/>
      <c r="Q22" s="262" t="s">
        <v>217</v>
      </c>
      <c r="R22" s="263">
        <v>78.25</v>
      </c>
      <c r="S22" s="263">
        <v>19.11</v>
      </c>
      <c r="T22" s="264">
        <v>2.64</v>
      </c>
      <c r="U22" s="265"/>
      <c r="V22" s="265"/>
      <c r="W22" s="265"/>
      <c r="X22" s="265"/>
      <c r="Y22" s="271"/>
      <c r="Z22" s="266"/>
      <c r="AA22" s="266"/>
      <c r="AB22" s="266"/>
      <c r="AC22" s="266"/>
    </row>
    <row r="23" spans="1:29" ht="9.75" customHeight="1" x14ac:dyDescent="0.25">
      <c r="A23" s="261" t="s">
        <v>207</v>
      </c>
      <c r="B23" s="262" t="s">
        <v>210</v>
      </c>
      <c r="C23" s="263">
        <v>73.75</v>
      </c>
      <c r="D23" s="263">
        <v>23.06</v>
      </c>
      <c r="E23" s="264">
        <v>3.19</v>
      </c>
      <c r="F23" s="265"/>
      <c r="G23" s="262" t="s">
        <v>212</v>
      </c>
      <c r="H23" s="263">
        <v>74.81</v>
      </c>
      <c r="I23" s="263">
        <v>22.13</v>
      </c>
      <c r="J23" s="264">
        <v>3.06</v>
      </c>
      <c r="K23" s="265"/>
      <c r="L23" s="262" t="s">
        <v>217</v>
      </c>
      <c r="M23" s="263">
        <v>76.180000000000007</v>
      </c>
      <c r="N23" s="263">
        <v>20.93</v>
      </c>
      <c r="O23" s="264">
        <v>2.89</v>
      </c>
      <c r="P23" s="265"/>
      <c r="Q23" s="262" t="s">
        <v>218</v>
      </c>
      <c r="R23" s="263">
        <v>77.67</v>
      </c>
      <c r="S23" s="263">
        <v>19.62</v>
      </c>
      <c r="T23" s="264">
        <v>2.71</v>
      </c>
      <c r="U23" s="265"/>
      <c r="V23" s="265"/>
      <c r="W23" s="265"/>
      <c r="X23" s="265"/>
      <c r="Y23" s="271"/>
      <c r="Z23" s="266"/>
      <c r="AA23" s="266"/>
      <c r="AB23" s="266"/>
      <c r="AC23" s="266"/>
    </row>
    <row r="24" spans="1:29" ht="9.75" customHeight="1" x14ac:dyDescent="0.25">
      <c r="A24" s="261" t="s">
        <v>209</v>
      </c>
      <c r="B24" s="262" t="s">
        <v>212</v>
      </c>
      <c r="C24" s="263">
        <v>73.069999999999993</v>
      </c>
      <c r="D24" s="263">
        <v>23.66</v>
      </c>
      <c r="E24" s="264">
        <v>3.27</v>
      </c>
      <c r="F24" s="265"/>
      <c r="G24" s="262" t="s">
        <v>217</v>
      </c>
      <c r="H24" s="263">
        <v>74.14</v>
      </c>
      <c r="I24" s="263">
        <v>22.72</v>
      </c>
      <c r="J24" s="264">
        <v>3.14</v>
      </c>
      <c r="K24" s="265"/>
      <c r="L24" s="262" t="s">
        <v>218</v>
      </c>
      <c r="M24" s="263">
        <v>75.540000000000006</v>
      </c>
      <c r="N24" s="263">
        <v>21.49</v>
      </c>
      <c r="O24" s="264">
        <v>2.97</v>
      </c>
      <c r="P24" s="265"/>
      <c r="Q24" s="262" t="s">
        <v>219</v>
      </c>
      <c r="R24" s="263">
        <v>77.05</v>
      </c>
      <c r="S24" s="263">
        <v>20.16</v>
      </c>
      <c r="T24" s="264">
        <v>2.79</v>
      </c>
      <c r="U24" s="265"/>
      <c r="V24" s="265"/>
      <c r="W24" s="265"/>
      <c r="X24" s="265"/>
      <c r="Y24" s="271"/>
      <c r="Z24" s="266"/>
      <c r="AA24" s="266"/>
      <c r="AB24" s="266"/>
      <c r="AC24" s="266"/>
    </row>
    <row r="25" spans="1:29" ht="9.75" customHeight="1" x14ac:dyDescent="0.25">
      <c r="A25" s="261" t="s">
        <v>211</v>
      </c>
      <c r="B25" s="262" t="s">
        <v>217</v>
      </c>
      <c r="C25" s="263">
        <v>72.34</v>
      </c>
      <c r="D25" s="263">
        <v>24.3</v>
      </c>
      <c r="E25" s="264">
        <v>3.36</v>
      </c>
      <c r="F25" s="265"/>
      <c r="G25" s="262" t="s">
        <v>218</v>
      </c>
      <c r="H25" s="263">
        <v>73.45</v>
      </c>
      <c r="I25" s="263">
        <v>23.33</v>
      </c>
      <c r="J25" s="264">
        <v>3.22</v>
      </c>
      <c r="K25" s="265"/>
      <c r="L25" s="262" t="s">
        <v>219</v>
      </c>
      <c r="M25" s="263">
        <v>74.86</v>
      </c>
      <c r="N25" s="263">
        <v>22.09</v>
      </c>
      <c r="O25" s="264">
        <v>3.05</v>
      </c>
      <c r="P25" s="265"/>
      <c r="Q25" s="262" t="s">
        <v>220</v>
      </c>
      <c r="R25" s="263">
        <v>76.41</v>
      </c>
      <c r="S25" s="263">
        <v>20.73</v>
      </c>
      <c r="T25" s="264">
        <v>2.86</v>
      </c>
      <c r="U25" s="265"/>
      <c r="V25" s="265"/>
      <c r="W25" s="265"/>
      <c r="X25" s="265"/>
      <c r="Y25" s="271"/>
      <c r="Z25" s="266"/>
      <c r="AA25" s="266"/>
      <c r="AB25" s="266"/>
      <c r="AC25" s="266"/>
    </row>
    <row r="26" spans="1:29" ht="13.5" customHeight="1" x14ac:dyDescent="0.25">
      <c r="A26" s="268" t="s">
        <v>213</v>
      </c>
      <c r="B26" s="266"/>
      <c r="C26" s="264">
        <f>(C18+C19+C20+C21+C22+C23+C24+C25)/(8)</f>
        <v>74.635000000000005</v>
      </c>
      <c r="D26" s="264">
        <f>(D18+D19+D20+D21+D22+D23+D24+D25)/(8)</f>
        <v>22.285</v>
      </c>
      <c r="E26" s="264">
        <f>(E18+E19+E20+E21+E22+E23+E24+E25)/(8)</f>
        <v>3.0799999999999996</v>
      </c>
      <c r="F26" s="266"/>
      <c r="G26" s="266"/>
      <c r="H26" s="264">
        <f>(H18+H19+H20+H21+H22+H23+H24+H25)/(8)</f>
        <v>75.671250000000015</v>
      </c>
      <c r="I26" s="264">
        <f>(I18+I19+I20+I21+I22+I23+I24+I25)/(8)</f>
        <v>21.375</v>
      </c>
      <c r="J26" s="264">
        <f>(J18+J19+J20+J21+J22+J23+J24+J25)/(8)</f>
        <v>2.9537499999999999</v>
      </c>
      <c r="K26" s="266"/>
      <c r="L26" s="266"/>
      <c r="M26" s="264">
        <f>(M18+M19+M20+M21+M22+M23+M24+M25)/(8)</f>
        <v>77.00500000000001</v>
      </c>
      <c r="N26" s="264">
        <f>(N18+N19+N20+N21+N22+N23+N24+N25)/(8)</f>
        <v>20.202500000000001</v>
      </c>
      <c r="O26" s="264">
        <f>(O18+O19+O20+O21+O22+O23+O24+O25)/(8)</f>
        <v>2.7925</v>
      </c>
      <c r="P26" s="266"/>
      <c r="Q26" s="266"/>
      <c r="R26" s="264">
        <f>(R18+R19+R20+R21+R22+R23+R24+R25)/(8)</f>
        <v>78.457499999999996</v>
      </c>
      <c r="S26" s="264">
        <f>(S18+S19+S20+S21+S22+S23+S24+S25)/(8)</f>
        <v>18.927499999999998</v>
      </c>
      <c r="T26" s="264">
        <f>(T18+T19+T20+T21+T22+T23+T24+T25)/(8)</f>
        <v>2.6149999999999998</v>
      </c>
      <c r="U26" s="266"/>
      <c r="V26" s="266"/>
      <c r="W26" s="266"/>
      <c r="X26" s="266"/>
      <c r="Y26" s="269"/>
      <c r="Z26" s="266"/>
      <c r="AA26" s="266"/>
      <c r="AB26" s="266"/>
      <c r="AC26" s="266"/>
    </row>
    <row r="27" spans="1:29" ht="4.5" customHeight="1" x14ac:dyDescent="0.25">
      <c r="A27" s="247"/>
      <c r="B27" s="272"/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3"/>
      <c r="Z27" s="266"/>
      <c r="AA27" s="266"/>
      <c r="AB27" s="266"/>
      <c r="AC27" s="266"/>
    </row>
    <row r="28" spans="1:29" ht="6" customHeight="1" x14ac:dyDescent="0.25"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</row>
    <row r="29" spans="1:29" x14ac:dyDescent="0.25">
      <c r="A29" s="256" t="s">
        <v>175</v>
      </c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66"/>
      <c r="AA29" s="266"/>
      <c r="AB29" s="266"/>
      <c r="AC29" s="266"/>
    </row>
    <row r="30" spans="1:29" ht="13.5" customHeight="1" x14ac:dyDescent="0.25">
      <c r="A30" s="233"/>
      <c r="B30" s="258" t="s">
        <v>184</v>
      </c>
      <c r="C30" s="258"/>
      <c r="D30" s="258"/>
      <c r="E30" s="258"/>
      <c r="F30" s="266"/>
      <c r="G30" s="258" t="s">
        <v>185</v>
      </c>
      <c r="H30" s="258"/>
      <c r="I30" s="258"/>
      <c r="J30" s="258"/>
      <c r="K30" s="257"/>
      <c r="L30" s="258" t="s">
        <v>186</v>
      </c>
      <c r="M30" s="258"/>
      <c r="N30" s="258"/>
      <c r="O30" s="258"/>
      <c r="P30" s="257"/>
      <c r="Q30" s="258" t="s">
        <v>187</v>
      </c>
      <c r="R30" s="258"/>
      <c r="S30" s="258"/>
      <c r="T30" s="258"/>
      <c r="U30" s="257"/>
      <c r="V30" s="258" t="s">
        <v>188</v>
      </c>
      <c r="W30" s="258"/>
      <c r="X30" s="258"/>
      <c r="Y30" s="258"/>
      <c r="Z30" s="266"/>
      <c r="AA30" s="266"/>
      <c r="AB30" s="266"/>
      <c r="AC30" s="266"/>
    </row>
    <row r="31" spans="1:29" ht="13.5" customHeight="1" x14ac:dyDescent="0.25">
      <c r="A31" s="233"/>
      <c r="B31" s="259" t="s">
        <v>176</v>
      </c>
      <c r="C31" s="259"/>
      <c r="D31" s="259"/>
      <c r="E31" s="259"/>
      <c r="F31" s="266"/>
      <c r="G31" s="259" t="s">
        <v>176</v>
      </c>
      <c r="H31" s="259"/>
      <c r="I31" s="259"/>
      <c r="J31" s="259"/>
      <c r="K31" s="257"/>
      <c r="L31" s="259" t="s">
        <v>176</v>
      </c>
      <c r="M31" s="259"/>
      <c r="N31" s="259"/>
      <c r="O31" s="259"/>
      <c r="P31" s="257"/>
      <c r="Q31" s="259" t="s">
        <v>176</v>
      </c>
      <c r="R31" s="259"/>
      <c r="S31" s="259"/>
      <c r="T31" s="259"/>
      <c r="U31" s="257"/>
      <c r="V31" s="259" t="s">
        <v>176</v>
      </c>
      <c r="W31" s="259"/>
      <c r="X31" s="259"/>
      <c r="Y31" s="259"/>
      <c r="Z31" s="266"/>
      <c r="AA31" s="266"/>
      <c r="AB31" s="266"/>
      <c r="AC31" s="266"/>
    </row>
    <row r="32" spans="1:29" ht="13.5" customHeight="1" x14ac:dyDescent="0.25">
      <c r="A32" s="233"/>
      <c r="B32" s="260" t="s">
        <v>189</v>
      </c>
      <c r="C32" s="260" t="s">
        <v>190</v>
      </c>
      <c r="D32" s="260" t="s">
        <v>191</v>
      </c>
      <c r="E32" s="260" t="s">
        <v>192</v>
      </c>
      <c r="F32" s="266"/>
      <c r="G32" s="260" t="s">
        <v>189</v>
      </c>
      <c r="H32" s="260" t="s">
        <v>190</v>
      </c>
      <c r="I32" s="260" t="s">
        <v>191</v>
      </c>
      <c r="J32" s="260" t="s">
        <v>192</v>
      </c>
      <c r="K32" s="257"/>
      <c r="L32" s="260" t="s">
        <v>189</v>
      </c>
      <c r="M32" s="260" t="s">
        <v>190</v>
      </c>
      <c r="N32" s="260" t="s">
        <v>191</v>
      </c>
      <c r="O32" s="260" t="s">
        <v>192</v>
      </c>
      <c r="P32" s="257"/>
      <c r="Q32" s="260" t="s">
        <v>189</v>
      </c>
      <c r="R32" s="260" t="s">
        <v>190</v>
      </c>
      <c r="S32" s="260" t="s">
        <v>191</v>
      </c>
      <c r="T32" s="260" t="s">
        <v>192</v>
      </c>
      <c r="U32" s="257"/>
      <c r="V32" s="260" t="s">
        <v>189</v>
      </c>
      <c r="W32" s="260" t="s">
        <v>190</v>
      </c>
      <c r="X32" s="260" t="s">
        <v>191</v>
      </c>
      <c r="Y32" s="260" t="s">
        <v>192</v>
      </c>
      <c r="Z32" s="266"/>
      <c r="AA32" s="266"/>
      <c r="AB32" s="266"/>
      <c r="AC32" s="266"/>
    </row>
    <row r="33" spans="1:29" ht="9.75" customHeight="1" x14ac:dyDescent="0.25">
      <c r="A33" s="261" t="s">
        <v>193</v>
      </c>
      <c r="B33" s="262" t="s">
        <v>195</v>
      </c>
      <c r="C33" s="263">
        <v>69.53</v>
      </c>
      <c r="D33" s="263">
        <v>24.94</v>
      </c>
      <c r="E33" s="264">
        <v>5.53</v>
      </c>
      <c r="F33" s="265"/>
      <c r="G33" s="262" t="s">
        <v>196</v>
      </c>
      <c r="H33" s="263">
        <v>70.8</v>
      </c>
      <c r="I33" s="263">
        <v>23.9</v>
      </c>
      <c r="J33" s="264">
        <v>5.3</v>
      </c>
      <c r="K33" s="265"/>
      <c r="L33" s="262" t="s">
        <v>197</v>
      </c>
      <c r="M33" s="263">
        <v>71.819999999999993</v>
      </c>
      <c r="N33" s="263">
        <v>23.06</v>
      </c>
      <c r="O33" s="264">
        <v>5.12</v>
      </c>
      <c r="P33" s="265"/>
      <c r="Q33" s="262" t="s">
        <v>198</v>
      </c>
      <c r="R33" s="263">
        <v>72.5</v>
      </c>
      <c r="S33" s="263">
        <v>22.5</v>
      </c>
      <c r="T33" s="264">
        <v>4.99</v>
      </c>
      <c r="U33" s="265"/>
      <c r="V33" s="262" t="s">
        <v>200</v>
      </c>
      <c r="W33" s="263">
        <v>73.7</v>
      </c>
      <c r="X33" s="263">
        <v>21.52</v>
      </c>
      <c r="Y33" s="264">
        <v>4.78</v>
      </c>
      <c r="Z33" s="266"/>
      <c r="AA33" s="266"/>
      <c r="AB33" s="266"/>
      <c r="AC33" s="266"/>
    </row>
    <row r="34" spans="1:29" ht="9.75" customHeight="1" x14ac:dyDescent="0.25">
      <c r="A34" s="261" t="s">
        <v>199</v>
      </c>
      <c r="B34" s="262" t="s">
        <v>196</v>
      </c>
      <c r="C34" s="263">
        <v>68.89</v>
      </c>
      <c r="D34" s="263">
        <v>25.46</v>
      </c>
      <c r="E34" s="264">
        <v>5.65</v>
      </c>
      <c r="F34" s="265"/>
      <c r="G34" s="262" t="s">
        <v>197</v>
      </c>
      <c r="H34" s="263">
        <v>70.17</v>
      </c>
      <c r="I34" s="263">
        <v>24.41</v>
      </c>
      <c r="J34" s="264">
        <v>5.41</v>
      </c>
      <c r="K34" s="265"/>
      <c r="L34" s="262" t="s">
        <v>198</v>
      </c>
      <c r="M34" s="263">
        <v>71.209999999999994</v>
      </c>
      <c r="N34" s="263">
        <v>23.56</v>
      </c>
      <c r="O34" s="264">
        <v>5.23</v>
      </c>
      <c r="P34" s="265"/>
      <c r="Q34" s="262" t="s">
        <v>200</v>
      </c>
      <c r="R34" s="263">
        <v>71.900000000000006</v>
      </c>
      <c r="S34" s="263">
        <v>22.99</v>
      </c>
      <c r="T34" s="264">
        <v>5.0999999999999996</v>
      </c>
      <c r="U34" s="265"/>
      <c r="V34" s="262" t="s">
        <v>202</v>
      </c>
      <c r="W34" s="263">
        <v>73.11</v>
      </c>
      <c r="X34" s="263">
        <v>22.01</v>
      </c>
      <c r="Y34" s="264">
        <v>4.88</v>
      </c>
      <c r="Z34" s="266"/>
      <c r="AA34" s="266"/>
      <c r="AB34" s="266"/>
      <c r="AC34" s="266"/>
    </row>
    <row r="35" spans="1:29" ht="9.75" customHeight="1" x14ac:dyDescent="0.25">
      <c r="A35" s="261" t="s">
        <v>201</v>
      </c>
      <c r="B35" s="262" t="s">
        <v>197</v>
      </c>
      <c r="C35" s="263">
        <v>68.23</v>
      </c>
      <c r="D35" s="263">
        <v>26</v>
      </c>
      <c r="E35" s="264">
        <v>5.77</v>
      </c>
      <c r="F35" s="265"/>
      <c r="G35" s="262" t="s">
        <v>198</v>
      </c>
      <c r="H35" s="263">
        <v>69.53</v>
      </c>
      <c r="I35" s="263">
        <v>24.94</v>
      </c>
      <c r="J35" s="264">
        <v>5.53</v>
      </c>
      <c r="K35" s="265"/>
      <c r="L35" s="262" t="s">
        <v>200</v>
      </c>
      <c r="M35" s="263">
        <v>70.58</v>
      </c>
      <c r="N35" s="263">
        <v>24.08</v>
      </c>
      <c r="O35" s="264">
        <v>5.34</v>
      </c>
      <c r="P35" s="265"/>
      <c r="Q35" s="262" t="s">
        <v>202</v>
      </c>
      <c r="R35" s="263">
        <v>71.28</v>
      </c>
      <c r="S35" s="263">
        <v>23.51</v>
      </c>
      <c r="T35" s="264">
        <v>5.21</v>
      </c>
      <c r="U35" s="265"/>
      <c r="V35" s="262" t="s">
        <v>204</v>
      </c>
      <c r="W35" s="263">
        <v>72.5</v>
      </c>
      <c r="X35" s="263">
        <v>22.5</v>
      </c>
      <c r="Y35" s="264">
        <v>4.99</v>
      </c>
      <c r="Z35" s="266"/>
      <c r="AA35" s="266"/>
      <c r="AB35" s="266"/>
      <c r="AC35" s="266"/>
    </row>
    <row r="36" spans="1:29" ht="9.75" customHeight="1" x14ac:dyDescent="0.25">
      <c r="A36" s="261" t="s">
        <v>203</v>
      </c>
      <c r="B36" s="262" t="s">
        <v>198</v>
      </c>
      <c r="C36" s="263">
        <v>67.540000000000006</v>
      </c>
      <c r="D36" s="263">
        <v>26.57</v>
      </c>
      <c r="E36" s="264">
        <v>5.89</v>
      </c>
      <c r="F36" s="265"/>
      <c r="G36" s="262" t="s">
        <v>200</v>
      </c>
      <c r="H36" s="263">
        <v>68.849999999999994</v>
      </c>
      <c r="I36" s="263">
        <v>25.5</v>
      </c>
      <c r="J36" s="264">
        <v>5.65</v>
      </c>
      <c r="K36" s="265"/>
      <c r="L36" s="262" t="s">
        <v>202</v>
      </c>
      <c r="M36" s="263">
        <v>69.91</v>
      </c>
      <c r="N36" s="263">
        <v>24.63</v>
      </c>
      <c r="O36" s="264">
        <v>5.46</v>
      </c>
      <c r="P36" s="265"/>
      <c r="Q36" s="262" t="s">
        <v>204</v>
      </c>
      <c r="R36" s="263">
        <v>70.62</v>
      </c>
      <c r="S36" s="263">
        <v>24.04</v>
      </c>
      <c r="T36" s="264">
        <v>5.33</v>
      </c>
      <c r="U36" s="265"/>
      <c r="V36" s="262" t="s">
        <v>206</v>
      </c>
      <c r="W36" s="263">
        <v>71.87</v>
      </c>
      <c r="X36" s="263">
        <v>23.03</v>
      </c>
      <c r="Y36" s="264">
        <v>5.1100000000000003</v>
      </c>
      <c r="Z36" s="266"/>
      <c r="AA36" s="266"/>
      <c r="AB36" s="266"/>
      <c r="AC36" s="266"/>
    </row>
    <row r="37" spans="1:29" ht="9.75" customHeight="1" x14ac:dyDescent="0.25">
      <c r="A37" s="261" t="s">
        <v>205</v>
      </c>
      <c r="B37" s="262" t="s">
        <v>200</v>
      </c>
      <c r="C37" s="263">
        <v>66.819999999999993</v>
      </c>
      <c r="D37" s="263">
        <v>27.16</v>
      </c>
      <c r="E37" s="264">
        <v>6.02</v>
      </c>
      <c r="F37" s="265"/>
      <c r="G37" s="262" t="s">
        <v>202</v>
      </c>
      <c r="H37" s="263">
        <v>68.14</v>
      </c>
      <c r="I37" s="263">
        <v>26.08</v>
      </c>
      <c r="J37" s="264">
        <v>5.78</v>
      </c>
      <c r="K37" s="267"/>
      <c r="L37" s="262" t="s">
        <v>204</v>
      </c>
      <c r="M37" s="263">
        <v>69.209999999999994</v>
      </c>
      <c r="N37" s="263">
        <v>25.2</v>
      </c>
      <c r="O37" s="264">
        <v>5.59</v>
      </c>
      <c r="P37" s="265"/>
      <c r="Q37" s="262" t="s">
        <v>206</v>
      </c>
      <c r="R37" s="263">
        <v>69.94</v>
      </c>
      <c r="S37" s="263">
        <v>24.6</v>
      </c>
      <c r="T37" s="264">
        <v>5.46</v>
      </c>
      <c r="U37" s="265"/>
      <c r="V37" s="262" t="s">
        <v>208</v>
      </c>
      <c r="W37" s="263">
        <v>71.2</v>
      </c>
      <c r="X37" s="263">
        <v>23.57</v>
      </c>
      <c r="Y37" s="264">
        <v>5.23</v>
      </c>
      <c r="Z37" s="266"/>
      <c r="AA37" s="266"/>
      <c r="AB37" s="266"/>
      <c r="AC37" s="266"/>
    </row>
    <row r="38" spans="1:29" ht="9.75" customHeight="1" x14ac:dyDescent="0.25">
      <c r="A38" s="261" t="s">
        <v>207</v>
      </c>
      <c r="B38" s="262" t="s">
        <v>202</v>
      </c>
      <c r="C38" s="263">
        <v>66.06</v>
      </c>
      <c r="D38" s="263">
        <v>27.78</v>
      </c>
      <c r="E38" s="264">
        <v>6.16</v>
      </c>
      <c r="F38" s="265"/>
      <c r="G38" s="262" t="s">
        <v>204</v>
      </c>
      <c r="H38" s="263">
        <v>67.400000000000006</v>
      </c>
      <c r="I38" s="263">
        <v>26.68</v>
      </c>
      <c r="J38" s="264">
        <v>5.92</v>
      </c>
      <c r="K38" s="265"/>
      <c r="L38" s="262" t="s">
        <v>206</v>
      </c>
      <c r="M38" s="263">
        <v>68.489999999999995</v>
      </c>
      <c r="N38" s="263">
        <v>25.79</v>
      </c>
      <c r="O38" s="264">
        <v>5.72</v>
      </c>
      <c r="P38" s="265"/>
      <c r="Q38" s="262" t="s">
        <v>208</v>
      </c>
      <c r="R38" s="263">
        <v>69.22</v>
      </c>
      <c r="S38" s="263">
        <v>25.19</v>
      </c>
      <c r="T38" s="264">
        <v>5.59</v>
      </c>
      <c r="U38" s="265"/>
      <c r="V38" s="262" t="s">
        <v>210</v>
      </c>
      <c r="W38" s="263">
        <v>70.5</v>
      </c>
      <c r="X38" s="263">
        <v>24.15</v>
      </c>
      <c r="Y38" s="264">
        <v>5.36</v>
      </c>
      <c r="Z38" s="266"/>
      <c r="AA38" s="266"/>
      <c r="AB38" s="266"/>
      <c r="AC38" s="266"/>
    </row>
    <row r="39" spans="1:29" ht="9.75" customHeight="1" x14ac:dyDescent="0.25">
      <c r="A39" s="261" t="s">
        <v>209</v>
      </c>
      <c r="B39" s="262" t="s">
        <v>204</v>
      </c>
      <c r="C39" s="263">
        <v>65.27</v>
      </c>
      <c r="D39" s="263">
        <v>28.42</v>
      </c>
      <c r="E39" s="264">
        <v>6.31</v>
      </c>
      <c r="F39" s="265"/>
      <c r="G39" s="262" t="s">
        <v>206</v>
      </c>
      <c r="H39" s="263">
        <v>66.63</v>
      </c>
      <c r="I39" s="263">
        <v>27.31</v>
      </c>
      <c r="J39" s="264">
        <v>6.06</v>
      </c>
      <c r="K39" s="265"/>
      <c r="L39" s="262" t="s">
        <v>208</v>
      </c>
      <c r="M39" s="263">
        <v>67.73</v>
      </c>
      <c r="N39" s="263">
        <v>26.41</v>
      </c>
      <c r="O39" s="264">
        <v>5.86</v>
      </c>
      <c r="P39" s="265"/>
      <c r="Q39" s="262" t="s">
        <v>210</v>
      </c>
      <c r="R39" s="263">
        <v>68.47</v>
      </c>
      <c r="S39" s="263">
        <v>25.81</v>
      </c>
      <c r="T39" s="264">
        <v>5.72</v>
      </c>
      <c r="U39" s="265"/>
      <c r="V39" s="262" t="s">
        <v>212</v>
      </c>
      <c r="W39" s="263">
        <v>69.760000000000005</v>
      </c>
      <c r="X39" s="263">
        <v>24.75</v>
      </c>
      <c r="Y39" s="264">
        <v>5.49</v>
      </c>
      <c r="Z39" s="266"/>
      <c r="AA39" s="266"/>
      <c r="AB39" s="266"/>
      <c r="AC39" s="266"/>
    </row>
    <row r="40" spans="1:29" ht="9.75" customHeight="1" x14ac:dyDescent="0.25">
      <c r="A40" s="261" t="s">
        <v>211</v>
      </c>
      <c r="B40" s="262" t="s">
        <v>206</v>
      </c>
      <c r="C40" s="263">
        <v>64.44</v>
      </c>
      <c r="D40" s="263">
        <v>29.1</v>
      </c>
      <c r="E40" s="264">
        <v>6.46</v>
      </c>
      <c r="F40" s="265"/>
      <c r="G40" s="262" t="s">
        <v>208</v>
      </c>
      <c r="H40" s="263">
        <v>65.81</v>
      </c>
      <c r="I40" s="263">
        <v>27.98</v>
      </c>
      <c r="J40" s="264">
        <v>6.21</v>
      </c>
      <c r="K40" s="265"/>
      <c r="L40" s="262" t="s">
        <v>210</v>
      </c>
      <c r="M40" s="263">
        <v>66.930000000000007</v>
      </c>
      <c r="N40" s="263">
        <v>27.07</v>
      </c>
      <c r="O40" s="264">
        <v>6</v>
      </c>
      <c r="P40" s="265"/>
      <c r="Q40" s="262" t="s">
        <v>212</v>
      </c>
      <c r="R40" s="263">
        <v>67.680000000000007</v>
      </c>
      <c r="S40" s="263">
        <v>26.45</v>
      </c>
      <c r="T40" s="264">
        <v>5.87</v>
      </c>
      <c r="U40" s="265"/>
      <c r="V40" s="262" t="s">
        <v>217</v>
      </c>
      <c r="W40" s="263">
        <v>68.989999999999995</v>
      </c>
      <c r="X40" s="263">
        <v>25.38</v>
      </c>
      <c r="Y40" s="264">
        <v>5.63</v>
      </c>
      <c r="Z40" s="266"/>
      <c r="AA40" s="266"/>
      <c r="AB40" s="266"/>
      <c r="AC40" s="266"/>
    </row>
    <row r="41" spans="1:29" ht="13.5" customHeight="1" x14ac:dyDescent="0.25">
      <c r="A41" s="268" t="s">
        <v>213</v>
      </c>
      <c r="B41" s="266"/>
      <c r="C41" s="264">
        <f>(C33+C34+C35+C36+C37+C38+C39+C40)/(8)</f>
        <v>67.097499999999997</v>
      </c>
      <c r="D41" s="264">
        <f>(D33+D34+D35+D36+D37+D38+D39+D40)/(8)</f>
        <v>26.928749999999997</v>
      </c>
      <c r="E41" s="264">
        <f>(E33+E34+E35+E36+E37+E38+E39+E40)/(8)</f>
        <v>5.9737499999999999</v>
      </c>
      <c r="F41" s="266"/>
      <c r="G41" s="266"/>
      <c r="H41" s="264">
        <f>(H33+H34+H35+H36+H37+H38+H39+H40)/(8)</f>
        <v>68.416249999999991</v>
      </c>
      <c r="I41" s="264">
        <f>(I33+I34+I35+I36+I37+I38+I39+I40)/(8)</f>
        <v>25.849999999999998</v>
      </c>
      <c r="J41" s="264">
        <f>(J33+J34+J35+J36+J37+J38+J39+J40)/(8)</f>
        <v>5.7325000000000008</v>
      </c>
      <c r="K41" s="266"/>
      <c r="L41" s="266"/>
      <c r="M41" s="264">
        <f>(M33+M34+M35+M36+M37+M38+M39+M40)/(8)</f>
        <v>69.484999999999999</v>
      </c>
      <c r="N41" s="264">
        <f>(N33+N34+N35+N36+N37+N38+N39+N40)/(8)</f>
        <v>24.974999999999998</v>
      </c>
      <c r="O41" s="264">
        <f>(O33+O34+O35+O36+O37+O38+O39+O40)/(8)</f>
        <v>5.54</v>
      </c>
      <c r="P41" s="266"/>
      <c r="Q41" s="266"/>
      <c r="R41" s="264">
        <f>(R33+R34+R35+R36+R37+R38+R39+R40)/(8)</f>
        <v>70.201250000000016</v>
      </c>
      <c r="S41" s="264">
        <f>(S33+S34+S35+S36+S37+S38+S39+S40)/(8)</f>
        <v>24.386249999999997</v>
      </c>
      <c r="T41" s="264">
        <f>(T33+T34+T35+T36+T37+T38+T39+T40)/(8)</f>
        <v>5.4087500000000004</v>
      </c>
      <c r="U41" s="266"/>
      <c r="V41" s="266"/>
      <c r="W41" s="264">
        <f>(W33+W34+W35+W36+W37+W38+W39+W40)/(8)</f>
        <v>71.453749999999999</v>
      </c>
      <c r="X41" s="264">
        <f>(X33+X34+X35+X36+X37+X38+X39+X40)/(8)</f>
        <v>23.36375</v>
      </c>
      <c r="Y41" s="264">
        <f>(Y33+Y34+Y35+Y36+Y37+Y38+Y39+Y40)/(8)</f>
        <v>5.1837500000000007</v>
      </c>
      <c r="Z41" s="266"/>
      <c r="AA41" s="266"/>
      <c r="AB41" s="266"/>
      <c r="AC41" s="266"/>
    </row>
    <row r="42" spans="1:29" ht="3" customHeight="1" x14ac:dyDescent="0.25">
      <c r="A42" s="233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9"/>
      <c r="Z42" s="266"/>
      <c r="AA42" s="266"/>
      <c r="AB42" s="266"/>
      <c r="AC42" s="266"/>
    </row>
    <row r="43" spans="1:29" ht="13.5" customHeight="1" x14ac:dyDescent="0.25">
      <c r="A43" s="233"/>
      <c r="B43" s="258" t="s">
        <v>165</v>
      </c>
      <c r="C43" s="258"/>
      <c r="D43" s="258"/>
      <c r="E43" s="258"/>
      <c r="F43" s="266"/>
      <c r="G43" s="258" t="s">
        <v>166</v>
      </c>
      <c r="H43" s="258"/>
      <c r="I43" s="258"/>
      <c r="J43" s="258"/>
      <c r="K43" s="266"/>
      <c r="L43" s="258" t="s">
        <v>167</v>
      </c>
      <c r="M43" s="258"/>
      <c r="N43" s="258"/>
      <c r="O43" s="258"/>
      <c r="P43" s="266"/>
      <c r="Q43" s="258" t="s">
        <v>168</v>
      </c>
      <c r="R43" s="258"/>
      <c r="S43" s="258"/>
      <c r="T43" s="258"/>
      <c r="U43" s="266"/>
      <c r="V43" s="266"/>
      <c r="W43" s="266"/>
      <c r="X43" s="266"/>
      <c r="Y43" s="269"/>
      <c r="Z43" s="266"/>
      <c r="AA43" s="266"/>
      <c r="AB43" s="266"/>
      <c r="AC43" s="266"/>
    </row>
    <row r="44" spans="1:29" ht="13.5" customHeight="1" x14ac:dyDescent="0.25">
      <c r="A44" s="233"/>
      <c r="B44" s="259" t="s">
        <v>176</v>
      </c>
      <c r="C44" s="259"/>
      <c r="D44" s="259"/>
      <c r="E44" s="259"/>
      <c r="F44" s="266"/>
      <c r="G44" s="259" t="s">
        <v>176</v>
      </c>
      <c r="H44" s="259"/>
      <c r="I44" s="259"/>
      <c r="J44" s="259"/>
      <c r="K44" s="266"/>
      <c r="L44" s="259" t="s">
        <v>176</v>
      </c>
      <c r="M44" s="259"/>
      <c r="N44" s="259"/>
      <c r="O44" s="259"/>
      <c r="P44" s="266"/>
      <c r="Q44" s="259" t="s">
        <v>176</v>
      </c>
      <c r="R44" s="259"/>
      <c r="S44" s="259"/>
      <c r="T44" s="259"/>
      <c r="U44" s="266"/>
      <c r="V44" s="266"/>
      <c r="W44" s="266"/>
      <c r="X44" s="266"/>
      <c r="Y44" s="269"/>
      <c r="Z44" s="266"/>
      <c r="AA44" s="266"/>
      <c r="AB44" s="266"/>
      <c r="AC44" s="266"/>
    </row>
    <row r="45" spans="1:29" ht="13.5" customHeight="1" x14ac:dyDescent="0.25">
      <c r="A45" s="233"/>
      <c r="B45" s="260" t="s">
        <v>189</v>
      </c>
      <c r="C45" s="260" t="s">
        <v>190</v>
      </c>
      <c r="D45" s="260" t="s">
        <v>191</v>
      </c>
      <c r="E45" s="260" t="s">
        <v>192</v>
      </c>
      <c r="F45" s="266"/>
      <c r="G45" s="260" t="s">
        <v>189</v>
      </c>
      <c r="H45" s="260" t="s">
        <v>190</v>
      </c>
      <c r="I45" s="260" t="s">
        <v>191</v>
      </c>
      <c r="J45" s="260" t="s">
        <v>192</v>
      </c>
      <c r="K45" s="266"/>
      <c r="L45" s="260" t="s">
        <v>189</v>
      </c>
      <c r="M45" s="260" t="s">
        <v>190</v>
      </c>
      <c r="N45" s="260" t="s">
        <v>191</v>
      </c>
      <c r="O45" s="260" t="s">
        <v>192</v>
      </c>
      <c r="P45" s="266"/>
      <c r="Q45" s="260" t="s">
        <v>189</v>
      </c>
      <c r="R45" s="260" t="s">
        <v>190</v>
      </c>
      <c r="S45" s="260" t="s">
        <v>191</v>
      </c>
      <c r="T45" s="260" t="s">
        <v>192</v>
      </c>
      <c r="U45" s="266"/>
      <c r="V45" s="266" t="s">
        <v>214</v>
      </c>
      <c r="W45" s="266"/>
      <c r="X45" s="266"/>
      <c r="Y45" s="269"/>
      <c r="Z45" s="266"/>
      <c r="AA45" s="266"/>
      <c r="AB45" s="266"/>
      <c r="AC45" s="266"/>
    </row>
    <row r="46" spans="1:29" ht="9.75" customHeight="1" x14ac:dyDescent="0.25">
      <c r="A46" s="261" t="s">
        <v>193</v>
      </c>
      <c r="B46" s="262" t="s">
        <v>202</v>
      </c>
      <c r="C46" s="263">
        <v>75.42</v>
      </c>
      <c r="D46" s="263">
        <v>20.12</v>
      </c>
      <c r="E46" s="264">
        <v>4.46</v>
      </c>
      <c r="F46" s="265"/>
      <c r="G46" s="262" t="s">
        <v>204</v>
      </c>
      <c r="H46" s="263">
        <v>76.430000000000007</v>
      </c>
      <c r="I46" s="263">
        <v>19.29</v>
      </c>
      <c r="J46" s="264">
        <v>4.28</v>
      </c>
      <c r="K46" s="265"/>
      <c r="L46" s="262" t="s">
        <v>206</v>
      </c>
      <c r="M46" s="263">
        <v>77.739999999999995</v>
      </c>
      <c r="N46" s="263">
        <v>18.22</v>
      </c>
      <c r="O46" s="264">
        <v>4.04</v>
      </c>
      <c r="P46" s="265"/>
      <c r="Q46" s="262" t="s">
        <v>208</v>
      </c>
      <c r="R46" s="263">
        <v>79.16</v>
      </c>
      <c r="S46" s="263">
        <v>17.059999999999999</v>
      </c>
      <c r="T46" s="264">
        <v>3.78</v>
      </c>
      <c r="U46" s="265"/>
      <c r="V46" s="270" t="s">
        <v>215</v>
      </c>
      <c r="W46" s="270"/>
      <c r="X46" s="270"/>
      <c r="Y46" s="271"/>
      <c r="Z46" s="266"/>
      <c r="AA46" s="266"/>
      <c r="AB46" s="266"/>
      <c r="AC46" s="266"/>
    </row>
    <row r="47" spans="1:29" ht="9.75" customHeight="1" x14ac:dyDescent="0.25">
      <c r="A47" s="261" t="s">
        <v>199</v>
      </c>
      <c r="B47" s="262" t="s">
        <v>204</v>
      </c>
      <c r="C47" s="263">
        <v>74.87</v>
      </c>
      <c r="D47" s="263">
        <v>20.57</v>
      </c>
      <c r="E47" s="264">
        <v>4.5599999999999996</v>
      </c>
      <c r="F47" s="265"/>
      <c r="G47" s="262" t="s">
        <v>206</v>
      </c>
      <c r="H47" s="263">
        <v>75.89</v>
      </c>
      <c r="I47" s="263">
        <v>19.73</v>
      </c>
      <c r="J47" s="264">
        <v>4.38</v>
      </c>
      <c r="K47" s="265"/>
      <c r="L47" s="262" t="s">
        <v>208</v>
      </c>
      <c r="M47" s="263">
        <v>77.22</v>
      </c>
      <c r="N47" s="263">
        <v>18.64</v>
      </c>
      <c r="O47" s="264">
        <v>4.1399999999999997</v>
      </c>
      <c r="P47" s="265"/>
      <c r="Q47" s="262" t="s">
        <v>210</v>
      </c>
      <c r="R47" s="263">
        <v>78.67</v>
      </c>
      <c r="S47" s="263">
        <v>17.46</v>
      </c>
      <c r="T47" s="264">
        <v>3.87</v>
      </c>
      <c r="U47" s="265"/>
      <c r="V47" s="265"/>
      <c r="W47" s="265"/>
      <c r="X47" s="265"/>
      <c r="Y47" s="271"/>
      <c r="Z47" s="266"/>
      <c r="AA47" s="266"/>
      <c r="AB47" s="266"/>
      <c r="AC47" s="266"/>
    </row>
    <row r="48" spans="1:29" ht="9.75" customHeight="1" x14ac:dyDescent="0.25">
      <c r="A48" s="261" t="s">
        <v>201</v>
      </c>
      <c r="B48" s="262" t="s">
        <v>206</v>
      </c>
      <c r="C48" s="263">
        <v>74.28</v>
      </c>
      <c r="D48" s="263">
        <v>21.05</v>
      </c>
      <c r="E48" s="264">
        <v>4.67</v>
      </c>
      <c r="F48" s="265"/>
      <c r="G48" s="262" t="s">
        <v>208</v>
      </c>
      <c r="H48" s="263">
        <v>75.33</v>
      </c>
      <c r="I48" s="263">
        <v>20.190000000000001</v>
      </c>
      <c r="J48" s="264">
        <v>4.4800000000000004</v>
      </c>
      <c r="K48" s="265"/>
      <c r="L48" s="262" t="s">
        <v>210</v>
      </c>
      <c r="M48" s="263">
        <v>76.680000000000007</v>
      </c>
      <c r="N48" s="263">
        <v>19.09</v>
      </c>
      <c r="O48" s="264">
        <v>4.2300000000000004</v>
      </c>
      <c r="P48" s="265"/>
      <c r="Q48" s="262" t="s">
        <v>212</v>
      </c>
      <c r="R48" s="263">
        <v>78.14</v>
      </c>
      <c r="S48" s="263">
        <v>17.89</v>
      </c>
      <c r="T48" s="264">
        <v>3.97</v>
      </c>
      <c r="U48" s="265"/>
      <c r="V48" s="270" t="s">
        <v>221</v>
      </c>
      <c r="W48" s="270"/>
      <c r="X48" s="270"/>
      <c r="Y48" s="271"/>
      <c r="Z48" s="266"/>
      <c r="AA48" s="266"/>
      <c r="AB48" s="266"/>
      <c r="AC48" s="266"/>
    </row>
    <row r="49" spans="1:29" ht="9.75" customHeight="1" x14ac:dyDescent="0.25">
      <c r="A49" s="261" t="s">
        <v>203</v>
      </c>
      <c r="B49" s="262" t="s">
        <v>208</v>
      </c>
      <c r="C49" s="263">
        <v>73.67</v>
      </c>
      <c r="D49" s="263">
        <v>21.55</v>
      </c>
      <c r="E49" s="264">
        <v>4.78</v>
      </c>
      <c r="F49" s="265"/>
      <c r="G49" s="262" t="s">
        <v>210</v>
      </c>
      <c r="H49" s="263">
        <v>74.73</v>
      </c>
      <c r="I49" s="263">
        <v>20.68</v>
      </c>
      <c r="J49" s="264">
        <v>4.59</v>
      </c>
      <c r="K49" s="265"/>
      <c r="L49" s="262" t="s">
        <v>212</v>
      </c>
      <c r="M49" s="263">
        <v>76.099999999999994</v>
      </c>
      <c r="N49" s="263">
        <v>19.559999999999999</v>
      </c>
      <c r="O49" s="264">
        <v>4.34</v>
      </c>
      <c r="P49" s="265"/>
      <c r="Q49" s="262" t="s">
        <v>217</v>
      </c>
      <c r="R49" s="263">
        <v>77.59</v>
      </c>
      <c r="S49" s="263">
        <v>18.34</v>
      </c>
      <c r="T49" s="264">
        <v>4.07</v>
      </c>
      <c r="U49" s="265"/>
      <c r="V49" s="265"/>
      <c r="W49" s="265"/>
      <c r="X49" s="265"/>
      <c r="Y49" s="271"/>
      <c r="Z49" s="266"/>
      <c r="AA49" s="266"/>
      <c r="AB49" s="266"/>
      <c r="AC49" s="266"/>
    </row>
    <row r="50" spans="1:29" ht="9.75" customHeight="1" x14ac:dyDescent="0.25">
      <c r="A50" s="261" t="s">
        <v>205</v>
      </c>
      <c r="B50" s="262" t="s">
        <v>210</v>
      </c>
      <c r="C50" s="263">
        <v>73.03</v>
      </c>
      <c r="D50" s="263">
        <v>22.07</v>
      </c>
      <c r="E50" s="264">
        <v>4.9000000000000004</v>
      </c>
      <c r="F50" s="265"/>
      <c r="G50" s="262" t="s">
        <v>212</v>
      </c>
      <c r="H50" s="263">
        <v>74.11</v>
      </c>
      <c r="I50" s="263">
        <v>21.19</v>
      </c>
      <c r="J50" s="264">
        <v>4.7</v>
      </c>
      <c r="K50" s="265"/>
      <c r="L50" s="262" t="s">
        <v>217</v>
      </c>
      <c r="M50" s="263">
        <v>75.5</v>
      </c>
      <c r="N50" s="263">
        <v>20.05</v>
      </c>
      <c r="O50" s="264">
        <v>4.45</v>
      </c>
      <c r="P50" s="265"/>
      <c r="Q50" s="262" t="s">
        <v>218</v>
      </c>
      <c r="R50" s="263">
        <v>77.02</v>
      </c>
      <c r="S50" s="263">
        <v>18.809999999999999</v>
      </c>
      <c r="T50" s="264">
        <v>4.17</v>
      </c>
      <c r="U50" s="265"/>
      <c r="V50" s="265"/>
      <c r="W50" s="265"/>
      <c r="X50" s="265"/>
      <c r="Y50" s="271"/>
      <c r="Z50" s="266"/>
      <c r="AA50" s="266"/>
      <c r="AB50" s="266"/>
      <c r="AC50" s="266"/>
    </row>
    <row r="51" spans="1:29" ht="9.75" customHeight="1" x14ac:dyDescent="0.25">
      <c r="A51" s="261" t="s">
        <v>207</v>
      </c>
      <c r="B51" s="262" t="s">
        <v>212</v>
      </c>
      <c r="C51" s="263">
        <v>72.36</v>
      </c>
      <c r="D51" s="263">
        <v>22.62</v>
      </c>
      <c r="E51" s="264">
        <v>5.0199999999999996</v>
      </c>
      <c r="F51" s="265"/>
      <c r="G51" s="262" t="s">
        <v>217</v>
      </c>
      <c r="H51" s="263">
        <v>73.45</v>
      </c>
      <c r="I51" s="263">
        <v>21.73</v>
      </c>
      <c r="J51" s="264">
        <v>4.82</v>
      </c>
      <c r="K51" s="265"/>
      <c r="L51" s="262" t="s">
        <v>218</v>
      </c>
      <c r="M51" s="263">
        <v>74.87</v>
      </c>
      <c r="N51" s="263">
        <v>20.57</v>
      </c>
      <c r="O51" s="264">
        <v>4.5599999999999996</v>
      </c>
      <c r="P51" s="265"/>
      <c r="Q51" s="262" t="s">
        <v>219</v>
      </c>
      <c r="R51" s="263">
        <v>76.42</v>
      </c>
      <c r="S51" s="263">
        <v>19.3</v>
      </c>
      <c r="T51" s="264">
        <v>4.28</v>
      </c>
      <c r="U51" s="265"/>
      <c r="V51" s="265"/>
      <c r="W51" s="265"/>
      <c r="X51" s="265"/>
      <c r="Y51" s="271"/>
      <c r="Z51" s="266"/>
      <c r="AA51" s="266"/>
      <c r="AB51" s="266"/>
      <c r="AC51" s="266"/>
    </row>
    <row r="52" spans="1:29" ht="9.75" customHeight="1" x14ac:dyDescent="0.25">
      <c r="A52" s="261" t="s">
        <v>209</v>
      </c>
      <c r="B52" s="262" t="s">
        <v>217</v>
      </c>
      <c r="C52" s="263">
        <v>71.650000000000006</v>
      </c>
      <c r="D52" s="263">
        <v>23.2</v>
      </c>
      <c r="E52" s="264">
        <v>5.15</v>
      </c>
      <c r="F52" s="265"/>
      <c r="G52" s="262" t="s">
        <v>218</v>
      </c>
      <c r="H52" s="263">
        <v>72.760000000000005</v>
      </c>
      <c r="I52" s="263">
        <v>22.29</v>
      </c>
      <c r="J52" s="264">
        <v>4.95</v>
      </c>
      <c r="K52" s="265"/>
      <c r="L52" s="262" t="s">
        <v>219</v>
      </c>
      <c r="M52" s="263">
        <v>74.209999999999994</v>
      </c>
      <c r="N52" s="263">
        <v>21.11</v>
      </c>
      <c r="O52" s="264">
        <v>4.68</v>
      </c>
      <c r="P52" s="265"/>
      <c r="Q52" s="262" t="s">
        <v>220</v>
      </c>
      <c r="R52" s="263">
        <v>75.77</v>
      </c>
      <c r="S52" s="263">
        <v>19.829999999999998</v>
      </c>
      <c r="T52" s="264">
        <v>4.4000000000000004</v>
      </c>
      <c r="U52" s="265"/>
      <c r="V52" s="265"/>
      <c r="W52" s="265"/>
      <c r="X52" s="265"/>
      <c r="Y52" s="271"/>
      <c r="Z52" s="266"/>
      <c r="AA52" s="266"/>
      <c r="AB52" s="266"/>
      <c r="AC52" s="266"/>
    </row>
    <row r="53" spans="1:29" ht="9.75" customHeight="1" x14ac:dyDescent="0.25">
      <c r="A53" s="261" t="s">
        <v>211</v>
      </c>
      <c r="B53" s="262" t="s">
        <v>218</v>
      </c>
      <c r="C53" s="263">
        <v>70.900000000000006</v>
      </c>
      <c r="D53" s="263">
        <v>23.82</v>
      </c>
      <c r="E53" s="264">
        <v>5.28</v>
      </c>
      <c r="F53" s="265"/>
      <c r="G53" s="262" t="s">
        <v>219</v>
      </c>
      <c r="H53" s="263">
        <v>72.03</v>
      </c>
      <c r="I53" s="263">
        <v>22.89</v>
      </c>
      <c r="J53" s="264">
        <v>5.08</v>
      </c>
      <c r="K53" s="265"/>
      <c r="L53" s="262" t="s">
        <v>220</v>
      </c>
      <c r="M53" s="263">
        <v>73.5</v>
      </c>
      <c r="N53" s="263">
        <v>21.69</v>
      </c>
      <c r="O53" s="264">
        <v>4.8099999999999996</v>
      </c>
      <c r="P53" s="265"/>
      <c r="Q53" s="262" t="s">
        <v>222</v>
      </c>
      <c r="R53" s="263">
        <v>75.099999999999994</v>
      </c>
      <c r="S53" s="263">
        <v>20.38</v>
      </c>
      <c r="T53" s="264">
        <v>4.5199999999999996</v>
      </c>
      <c r="U53" s="265"/>
      <c r="V53" s="265"/>
      <c r="W53" s="265"/>
      <c r="X53" s="265"/>
      <c r="Y53" s="271"/>
      <c r="Z53" s="266"/>
      <c r="AA53" s="266"/>
      <c r="AB53" s="266"/>
      <c r="AC53" s="266"/>
    </row>
    <row r="54" spans="1:29" ht="13.5" customHeight="1" x14ac:dyDescent="0.25">
      <c r="A54" s="268" t="s">
        <v>213</v>
      </c>
      <c r="B54" s="266"/>
      <c r="C54" s="264">
        <f>(C46+C47+C48+C49+C50+C51+C52+C53)/(8)</f>
        <v>73.272499999999994</v>
      </c>
      <c r="D54" s="264">
        <f>(D46+D47+D48+D49+D50+D51+D52+D53)/(8)</f>
        <v>21.874999999999996</v>
      </c>
      <c r="E54" s="264">
        <f>(E46+E47+E48+E49+E50+E51+E52+E53)/(8)</f>
        <v>4.8525</v>
      </c>
      <c r="F54" s="266"/>
      <c r="G54" s="266"/>
      <c r="H54" s="264">
        <f>(H46+H47+H48+H49+H50+H51+H52+H53)/(8)</f>
        <v>74.341250000000002</v>
      </c>
      <c r="I54" s="264">
        <f>(I46+I47+I48+I49+I50+I51+I52+I53)/(8)</f>
        <v>20.998750000000001</v>
      </c>
      <c r="J54" s="264">
        <f>(J46+J47+J48+J49+J50+J51+J52+J53)/(8)</f>
        <v>4.66</v>
      </c>
      <c r="K54" s="266"/>
      <c r="L54" s="266"/>
      <c r="M54" s="264">
        <f>(M46+M47+M48+M49+M50+M51+M52+M53)/(8)</f>
        <v>75.727500000000006</v>
      </c>
      <c r="N54" s="264">
        <f>(N46+N47+N48+N49+N50+N51+N52+N53)/(8)</f>
        <v>19.866250000000001</v>
      </c>
      <c r="O54" s="264">
        <f>(O46+O47+O48+O49+O50+O51+O52+O53)/(8)</f>
        <v>4.40625</v>
      </c>
      <c r="P54" s="266"/>
      <c r="Q54" s="266"/>
      <c r="R54" s="264">
        <f>(R46+R47+R48+R49+R50+R51+R52+R53)/(8)</f>
        <v>77.233750000000001</v>
      </c>
      <c r="S54" s="264">
        <f>(S46+S47+S48+S49+S50+S51+S52+S53)/(8)</f>
        <v>18.633749999999999</v>
      </c>
      <c r="T54" s="264">
        <f>(T46+T47+T48+T49+T50+T51+T52+T53)/(8)</f>
        <v>4.1325000000000003</v>
      </c>
      <c r="U54" s="266"/>
      <c r="V54" s="266"/>
      <c r="W54" s="266"/>
      <c r="X54" s="266"/>
      <c r="Y54" s="269"/>
      <c r="Z54" s="266"/>
      <c r="AA54" s="266"/>
      <c r="AB54" s="266"/>
      <c r="AC54" s="266"/>
    </row>
    <row r="55" spans="1:29" ht="3" customHeight="1" x14ac:dyDescent="0.25">
      <c r="A55" s="247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3"/>
      <c r="Z55" s="266"/>
      <c r="AA55" s="266"/>
      <c r="AB55" s="266"/>
      <c r="AC55" s="266"/>
    </row>
    <row r="56" spans="1:29" ht="6" customHeight="1" x14ac:dyDescent="0.25">
      <c r="B56" s="266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</row>
    <row r="57" spans="1:29" x14ac:dyDescent="0.25">
      <c r="A57" s="256" t="s">
        <v>178</v>
      </c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66"/>
      <c r="AA57" s="266"/>
      <c r="AB57" s="266"/>
      <c r="AC57" s="266"/>
    </row>
    <row r="58" spans="1:29" ht="13.5" customHeight="1" x14ac:dyDescent="0.25">
      <c r="A58" s="233"/>
      <c r="B58" s="258" t="s">
        <v>184</v>
      </c>
      <c r="C58" s="258"/>
      <c r="D58" s="258"/>
      <c r="E58" s="258"/>
      <c r="F58" s="266"/>
      <c r="G58" s="258" t="s">
        <v>185</v>
      </c>
      <c r="H58" s="258"/>
      <c r="I58" s="258"/>
      <c r="J58" s="258"/>
      <c r="K58" s="257"/>
      <c r="L58" s="258" t="s">
        <v>186</v>
      </c>
      <c r="M58" s="258"/>
      <c r="N58" s="258"/>
      <c r="O58" s="258"/>
      <c r="P58" s="257"/>
      <c r="Q58" s="258" t="s">
        <v>187</v>
      </c>
      <c r="R58" s="258"/>
      <c r="S58" s="258"/>
      <c r="T58" s="258"/>
      <c r="U58" s="257"/>
      <c r="V58" s="258" t="s">
        <v>188</v>
      </c>
      <c r="W58" s="258"/>
      <c r="X58" s="258"/>
      <c r="Y58" s="258"/>
      <c r="Z58" s="266"/>
      <c r="AA58" s="266"/>
      <c r="AB58" s="266"/>
      <c r="AC58" s="266"/>
    </row>
    <row r="59" spans="1:29" ht="13.5" customHeight="1" x14ac:dyDescent="0.25">
      <c r="A59" s="233"/>
      <c r="B59" s="259" t="s">
        <v>179</v>
      </c>
      <c r="C59" s="259"/>
      <c r="D59" s="259"/>
      <c r="E59" s="259"/>
      <c r="F59" s="266"/>
      <c r="G59" s="259" t="s">
        <v>179</v>
      </c>
      <c r="H59" s="259"/>
      <c r="I59" s="259"/>
      <c r="J59" s="259"/>
      <c r="K59" s="257"/>
      <c r="L59" s="259" t="s">
        <v>179</v>
      </c>
      <c r="M59" s="259"/>
      <c r="N59" s="259"/>
      <c r="O59" s="259"/>
      <c r="P59" s="257"/>
      <c r="Q59" s="259" t="s">
        <v>179</v>
      </c>
      <c r="R59" s="259"/>
      <c r="S59" s="259"/>
      <c r="T59" s="259"/>
      <c r="U59" s="257"/>
      <c r="V59" s="259" t="s">
        <v>179</v>
      </c>
      <c r="W59" s="259"/>
      <c r="X59" s="259"/>
      <c r="Y59" s="259"/>
      <c r="Z59" s="266"/>
      <c r="AA59" s="266"/>
      <c r="AB59" s="266"/>
      <c r="AC59" s="266"/>
    </row>
    <row r="60" spans="1:29" ht="13.5" customHeight="1" x14ac:dyDescent="0.25">
      <c r="A60" s="233"/>
      <c r="B60" s="260" t="s">
        <v>189</v>
      </c>
      <c r="C60" s="260" t="s">
        <v>190</v>
      </c>
      <c r="D60" s="260" t="s">
        <v>191</v>
      </c>
      <c r="E60" s="260" t="s">
        <v>192</v>
      </c>
      <c r="F60" s="266"/>
      <c r="G60" s="260" t="s">
        <v>189</v>
      </c>
      <c r="H60" s="260" t="s">
        <v>190</v>
      </c>
      <c r="I60" s="260" t="s">
        <v>191</v>
      </c>
      <c r="J60" s="260" t="s">
        <v>192</v>
      </c>
      <c r="K60" s="257"/>
      <c r="L60" s="260" t="s">
        <v>189</v>
      </c>
      <c r="M60" s="260" t="s">
        <v>190</v>
      </c>
      <c r="N60" s="260" t="s">
        <v>191</v>
      </c>
      <c r="O60" s="260" t="s">
        <v>192</v>
      </c>
      <c r="P60" s="257"/>
      <c r="Q60" s="260" t="s">
        <v>189</v>
      </c>
      <c r="R60" s="260" t="s">
        <v>190</v>
      </c>
      <c r="S60" s="260" t="s">
        <v>191</v>
      </c>
      <c r="T60" s="260" t="s">
        <v>192</v>
      </c>
      <c r="U60" s="257"/>
      <c r="V60" s="260" t="s">
        <v>189</v>
      </c>
      <c r="W60" s="260" t="s">
        <v>190</v>
      </c>
      <c r="X60" s="260" t="s">
        <v>191</v>
      </c>
      <c r="Y60" s="260" t="s">
        <v>192</v>
      </c>
      <c r="Z60" s="266"/>
      <c r="AA60" s="266"/>
      <c r="AB60" s="266"/>
      <c r="AC60" s="266"/>
    </row>
    <row r="61" spans="1:29" ht="9.75" customHeight="1" x14ac:dyDescent="0.25">
      <c r="A61" s="261" t="s">
        <v>193</v>
      </c>
      <c r="B61" s="262" t="s">
        <v>196</v>
      </c>
      <c r="C61" s="263">
        <v>67.95</v>
      </c>
      <c r="D61" s="263">
        <v>24.37</v>
      </c>
      <c r="E61" s="264">
        <v>7.68</v>
      </c>
      <c r="F61" s="265"/>
      <c r="G61" s="262" t="s">
        <v>197</v>
      </c>
      <c r="H61" s="263">
        <v>69.25</v>
      </c>
      <c r="I61" s="263">
        <v>23.38</v>
      </c>
      <c r="J61" s="264">
        <v>7.37</v>
      </c>
      <c r="K61" s="265"/>
      <c r="L61" s="262" t="s">
        <v>198</v>
      </c>
      <c r="M61" s="263">
        <v>70.3</v>
      </c>
      <c r="N61" s="263">
        <v>22.58</v>
      </c>
      <c r="O61" s="264">
        <v>7.12</v>
      </c>
      <c r="P61" s="265"/>
      <c r="Q61" s="262" t="s">
        <v>200</v>
      </c>
      <c r="R61" s="263">
        <v>71.010000000000005</v>
      </c>
      <c r="S61" s="263">
        <v>22.04</v>
      </c>
      <c r="T61" s="264">
        <v>6.95</v>
      </c>
      <c r="U61" s="265"/>
      <c r="V61" s="262" t="s">
        <v>202</v>
      </c>
      <c r="W61" s="263">
        <v>72.239999999999995</v>
      </c>
      <c r="X61" s="263">
        <v>21.1</v>
      </c>
      <c r="Y61" s="264">
        <v>6.65</v>
      </c>
      <c r="Z61" s="266"/>
      <c r="AA61" s="266"/>
      <c r="AB61" s="266"/>
      <c r="AC61" s="266"/>
    </row>
    <row r="62" spans="1:29" ht="9.75" customHeight="1" x14ac:dyDescent="0.25">
      <c r="A62" s="261" t="s">
        <v>199</v>
      </c>
      <c r="B62" s="262" t="s">
        <v>197</v>
      </c>
      <c r="C62" s="263">
        <v>67.3</v>
      </c>
      <c r="D62" s="263">
        <v>24.87</v>
      </c>
      <c r="E62" s="264">
        <v>7.84</v>
      </c>
      <c r="F62" s="265"/>
      <c r="G62" s="262" t="s">
        <v>198</v>
      </c>
      <c r="H62" s="263">
        <v>68.61</v>
      </c>
      <c r="I62" s="263">
        <v>23.87</v>
      </c>
      <c r="J62" s="264">
        <v>7.52</v>
      </c>
      <c r="K62" s="265"/>
      <c r="L62" s="262" t="s">
        <v>200</v>
      </c>
      <c r="M62" s="263">
        <v>69.67</v>
      </c>
      <c r="N62" s="263">
        <v>23.06</v>
      </c>
      <c r="O62" s="264">
        <v>7.27</v>
      </c>
      <c r="P62" s="265"/>
      <c r="Q62" s="262" t="s">
        <v>202</v>
      </c>
      <c r="R62" s="263">
        <v>70.39</v>
      </c>
      <c r="S62" s="263">
        <v>22.51</v>
      </c>
      <c r="T62" s="264">
        <v>7.09</v>
      </c>
      <c r="U62" s="265"/>
      <c r="V62" s="262" t="s">
        <v>204</v>
      </c>
      <c r="W62" s="263">
        <v>71.64</v>
      </c>
      <c r="X62" s="263">
        <v>21.56</v>
      </c>
      <c r="Y62" s="264">
        <v>6.8</v>
      </c>
      <c r="Z62" s="266"/>
      <c r="AA62" s="266"/>
      <c r="AB62" s="266"/>
      <c r="AC62" s="266"/>
    </row>
    <row r="63" spans="1:29" ht="9.75" customHeight="1" x14ac:dyDescent="0.25">
      <c r="A63" s="261" t="s">
        <v>201</v>
      </c>
      <c r="B63" s="262" t="s">
        <v>198</v>
      </c>
      <c r="C63" s="263">
        <v>67.95</v>
      </c>
      <c r="D63" s="263">
        <v>24.37</v>
      </c>
      <c r="E63" s="264">
        <v>7.68</v>
      </c>
      <c r="F63" s="265"/>
      <c r="G63" s="262" t="s">
        <v>200</v>
      </c>
      <c r="H63" s="263">
        <v>67.95</v>
      </c>
      <c r="I63" s="263">
        <v>24.37</v>
      </c>
      <c r="J63" s="264">
        <v>7.68</v>
      </c>
      <c r="K63" s="265"/>
      <c r="L63" s="262" t="s">
        <v>202</v>
      </c>
      <c r="M63" s="263">
        <v>69.03</v>
      </c>
      <c r="N63" s="263">
        <v>23.55</v>
      </c>
      <c r="O63" s="264">
        <v>7.42</v>
      </c>
      <c r="P63" s="265"/>
      <c r="Q63" s="262" t="s">
        <v>204</v>
      </c>
      <c r="R63" s="263">
        <v>69.75</v>
      </c>
      <c r="S63" s="263">
        <v>23</v>
      </c>
      <c r="T63" s="264">
        <v>7.25</v>
      </c>
      <c r="U63" s="265"/>
      <c r="V63" s="262" t="s">
        <v>206</v>
      </c>
      <c r="W63" s="263">
        <v>71.010000000000005</v>
      </c>
      <c r="X63" s="263">
        <v>22.04</v>
      </c>
      <c r="Y63" s="264">
        <v>6.95</v>
      </c>
      <c r="Z63" s="266"/>
      <c r="AA63" s="266"/>
      <c r="AB63" s="266"/>
      <c r="AC63" s="266"/>
    </row>
    <row r="64" spans="1:29" ht="9.75" customHeight="1" x14ac:dyDescent="0.25">
      <c r="A64" s="261" t="s">
        <v>203</v>
      </c>
      <c r="B64" s="262" t="s">
        <v>200</v>
      </c>
      <c r="C64" s="263">
        <v>65.91</v>
      </c>
      <c r="D64" s="263">
        <v>25.92</v>
      </c>
      <c r="E64" s="264">
        <v>8.17</v>
      </c>
      <c r="F64" s="265"/>
      <c r="G64" s="262" t="s">
        <v>202</v>
      </c>
      <c r="H64" s="263">
        <v>67.25</v>
      </c>
      <c r="I64" s="263">
        <v>24.9</v>
      </c>
      <c r="J64" s="264">
        <v>7.85</v>
      </c>
      <c r="K64" s="265"/>
      <c r="L64" s="262" t="s">
        <v>204</v>
      </c>
      <c r="M64" s="263">
        <v>68.34</v>
      </c>
      <c r="N64" s="263">
        <v>24.07</v>
      </c>
      <c r="O64" s="264">
        <v>7.59</v>
      </c>
      <c r="P64" s="265"/>
      <c r="Q64" s="262" t="s">
        <v>206</v>
      </c>
      <c r="R64" s="263">
        <v>69.069999999999993</v>
      </c>
      <c r="S64" s="263">
        <v>23.51</v>
      </c>
      <c r="T64" s="264">
        <v>7.41</v>
      </c>
      <c r="U64" s="265"/>
      <c r="V64" s="262" t="s">
        <v>208</v>
      </c>
      <c r="W64" s="263">
        <v>70.349999999999994</v>
      </c>
      <c r="X64" s="263">
        <v>22.54</v>
      </c>
      <c r="Y64" s="264">
        <v>7.1</v>
      </c>
      <c r="Z64" s="266"/>
      <c r="AA64" s="266"/>
      <c r="AB64" s="266"/>
      <c r="AC64" s="266"/>
    </row>
    <row r="65" spans="1:29" ht="9.75" customHeight="1" x14ac:dyDescent="0.25">
      <c r="A65" s="261" t="s">
        <v>205</v>
      </c>
      <c r="B65" s="262" t="s">
        <v>202</v>
      </c>
      <c r="C65" s="263">
        <v>65.16</v>
      </c>
      <c r="D65" s="263">
        <v>26.49</v>
      </c>
      <c r="E65" s="264">
        <v>8.35</v>
      </c>
      <c r="F65" s="265"/>
      <c r="G65" s="262" t="s">
        <v>204</v>
      </c>
      <c r="H65" s="263">
        <v>66.53</v>
      </c>
      <c r="I65" s="263">
        <v>25.45</v>
      </c>
      <c r="J65" s="264">
        <v>8.02</v>
      </c>
      <c r="K65" s="267"/>
      <c r="L65" s="262" t="s">
        <v>206</v>
      </c>
      <c r="M65" s="263">
        <v>67.62</v>
      </c>
      <c r="N65" s="263">
        <v>24.62</v>
      </c>
      <c r="O65" s="264">
        <v>7.76</v>
      </c>
      <c r="P65" s="265"/>
      <c r="Q65" s="262" t="s">
        <v>208</v>
      </c>
      <c r="R65" s="263">
        <v>68.37</v>
      </c>
      <c r="S65" s="263">
        <v>24.05</v>
      </c>
      <c r="T65" s="264">
        <v>7.58</v>
      </c>
      <c r="U65" s="265"/>
      <c r="V65" s="262" t="s">
        <v>210</v>
      </c>
      <c r="W65" s="263">
        <v>69.67</v>
      </c>
      <c r="X65" s="263">
        <v>23.06</v>
      </c>
      <c r="Y65" s="264">
        <v>7.27</v>
      </c>
      <c r="Z65" s="266"/>
      <c r="AA65" s="266"/>
      <c r="AB65" s="266"/>
      <c r="AC65" s="266"/>
    </row>
    <row r="66" spans="1:29" ht="9.75" customHeight="1" x14ac:dyDescent="0.25">
      <c r="A66" s="261" t="s">
        <v>207</v>
      </c>
      <c r="B66" s="262" t="s">
        <v>204</v>
      </c>
      <c r="C66" s="263">
        <v>64.39</v>
      </c>
      <c r="D66" s="263">
        <v>27.08</v>
      </c>
      <c r="E66" s="264">
        <v>8.5299999999999994</v>
      </c>
      <c r="F66" s="265"/>
      <c r="G66" s="262" t="s">
        <v>206</v>
      </c>
      <c r="H66" s="263">
        <v>65.77</v>
      </c>
      <c r="I66" s="263">
        <v>26.03</v>
      </c>
      <c r="J66" s="264">
        <v>8.1999999999999993</v>
      </c>
      <c r="K66" s="265"/>
      <c r="L66" s="262" t="s">
        <v>208</v>
      </c>
      <c r="M66" s="263">
        <v>66.88</v>
      </c>
      <c r="N66" s="263">
        <v>25.18</v>
      </c>
      <c r="O66" s="264">
        <v>7.94</v>
      </c>
      <c r="P66" s="265"/>
      <c r="Q66" s="262" t="s">
        <v>210</v>
      </c>
      <c r="R66" s="263">
        <v>67.63</v>
      </c>
      <c r="S66" s="263">
        <v>24.61</v>
      </c>
      <c r="T66" s="264">
        <v>7.76</v>
      </c>
      <c r="U66" s="265"/>
      <c r="V66" s="262" t="s">
        <v>212</v>
      </c>
      <c r="W66" s="263">
        <v>68.95</v>
      </c>
      <c r="X66" s="263">
        <v>23.61</v>
      </c>
      <c r="Y66" s="264">
        <v>7.44</v>
      </c>
      <c r="Z66" s="266"/>
      <c r="AA66" s="266"/>
      <c r="AB66" s="266"/>
      <c r="AC66" s="266"/>
    </row>
    <row r="67" spans="1:29" ht="9.75" customHeight="1" x14ac:dyDescent="0.25">
      <c r="A67" s="261" t="s">
        <v>209</v>
      </c>
      <c r="B67" s="262" t="s">
        <v>206</v>
      </c>
      <c r="C67" s="263">
        <v>63.58</v>
      </c>
      <c r="D67" s="263">
        <v>27.69</v>
      </c>
      <c r="E67" s="264">
        <v>8.73</v>
      </c>
      <c r="F67" s="265"/>
      <c r="G67" s="262" t="s">
        <v>208</v>
      </c>
      <c r="H67" s="263">
        <v>64.97</v>
      </c>
      <c r="I67" s="263">
        <v>26.64</v>
      </c>
      <c r="J67" s="264">
        <v>8.39</v>
      </c>
      <c r="K67" s="265"/>
      <c r="L67" s="262" t="s">
        <v>210</v>
      </c>
      <c r="M67" s="263">
        <v>66.099999999999994</v>
      </c>
      <c r="N67" s="263">
        <v>25.78</v>
      </c>
      <c r="O67" s="264">
        <v>8.1199999999999992</v>
      </c>
      <c r="P67" s="265"/>
      <c r="Q67" s="262" t="s">
        <v>212</v>
      </c>
      <c r="R67" s="263">
        <v>66.86</v>
      </c>
      <c r="S67" s="263">
        <v>25.2</v>
      </c>
      <c r="T67" s="264">
        <v>7.94</v>
      </c>
      <c r="U67" s="265"/>
      <c r="V67" s="262" t="s">
        <v>217</v>
      </c>
      <c r="W67" s="263">
        <v>68.19</v>
      </c>
      <c r="X67" s="263">
        <v>24.19</v>
      </c>
      <c r="Y67" s="264">
        <v>7.62</v>
      </c>
      <c r="Z67" s="266"/>
      <c r="AA67" s="266"/>
      <c r="AB67" s="266"/>
      <c r="AC67" s="266"/>
    </row>
    <row r="68" spans="1:29" ht="9.75" customHeight="1" x14ac:dyDescent="0.25">
      <c r="A68" s="261" t="s">
        <v>211</v>
      </c>
      <c r="B68" s="262" t="s">
        <v>208</v>
      </c>
      <c r="C68" s="263">
        <v>62.74</v>
      </c>
      <c r="D68" s="263">
        <v>28.33</v>
      </c>
      <c r="E68" s="264">
        <v>8.93</v>
      </c>
      <c r="F68" s="265"/>
      <c r="G68" s="262" t="s">
        <v>210</v>
      </c>
      <c r="H68" s="263">
        <v>64.14</v>
      </c>
      <c r="I68" s="263">
        <v>27.27</v>
      </c>
      <c r="J68" s="264">
        <v>8.59</v>
      </c>
      <c r="K68" s="265"/>
      <c r="L68" s="262" t="s">
        <v>212</v>
      </c>
      <c r="M68" s="263">
        <v>65.28</v>
      </c>
      <c r="N68" s="263">
        <v>26.4</v>
      </c>
      <c r="O68" s="264">
        <v>8.32</v>
      </c>
      <c r="P68" s="265"/>
      <c r="Q68" s="262" t="s">
        <v>217</v>
      </c>
      <c r="R68" s="263">
        <v>66.05</v>
      </c>
      <c r="S68" s="263">
        <v>25.82</v>
      </c>
      <c r="T68" s="264">
        <v>8.14</v>
      </c>
      <c r="U68" s="265"/>
      <c r="V68" s="262" t="s">
        <v>218</v>
      </c>
      <c r="W68" s="263">
        <v>67.39</v>
      </c>
      <c r="X68" s="263">
        <v>24.79</v>
      </c>
      <c r="Y68" s="264">
        <v>7.81</v>
      </c>
      <c r="Z68" s="266"/>
      <c r="AA68" s="266"/>
      <c r="AB68" s="266"/>
      <c r="AC68" s="266"/>
    </row>
    <row r="69" spans="1:29" ht="13.5" customHeight="1" x14ac:dyDescent="0.25">
      <c r="A69" s="268" t="s">
        <v>213</v>
      </c>
      <c r="B69" s="266"/>
      <c r="C69" s="264">
        <f>(C61+C62+C63+C64+C65+C66+C67+C68)/(8)</f>
        <v>65.622499999999988</v>
      </c>
      <c r="D69" s="264">
        <f>(D61+D62+D63+D64+D65+D66+D67+D68)/(8)</f>
        <v>26.14</v>
      </c>
      <c r="E69" s="264">
        <f>(E61+E62+E63+E64+E65+E66+E67+E68)/(8)</f>
        <v>8.2387499999999996</v>
      </c>
      <c r="F69" s="266"/>
      <c r="G69" s="266"/>
      <c r="H69" s="264">
        <f>(H61+H62+H63+H64+H65+H66+H67+H68)/(8)</f>
        <v>66.808750000000003</v>
      </c>
      <c r="I69" s="264">
        <f>(I61+I62+I63+I64+I65+I66+I67+I68)/(8)</f>
        <v>25.23875</v>
      </c>
      <c r="J69" s="264">
        <f>(J61+J62+J63+J64+J65+J66+J67+J68)/(8)</f>
        <v>7.9525000000000006</v>
      </c>
      <c r="K69" s="266"/>
      <c r="L69" s="266"/>
      <c r="M69" s="264">
        <f>(M61+M62+M63+M64+M65+M66+M67+M68)/(8)</f>
        <v>67.902500000000003</v>
      </c>
      <c r="N69" s="264">
        <f>(N61+N62+N63+N64+N65+N66+N67+N68)/(8)</f>
        <v>24.405000000000001</v>
      </c>
      <c r="O69" s="264">
        <f>(O61+O62+O63+O64+O65+O66+O67+O68)/(8)</f>
        <v>7.6924999999999999</v>
      </c>
      <c r="P69" s="266"/>
      <c r="Q69" s="274"/>
      <c r="R69" s="264">
        <f>(R61+R62+R63+R64+R65+R66+R67+R68)/(8)</f>
        <v>68.641249999999999</v>
      </c>
      <c r="S69" s="264">
        <f>(S61+S62+S63+S64+S65+S66+S67+S68)/(8)</f>
        <v>23.842499999999998</v>
      </c>
      <c r="T69" s="264">
        <f>(T61+T62+T63+T64+T65+T66+T67+T68)/(8)</f>
        <v>7.5149999999999997</v>
      </c>
      <c r="U69" s="266"/>
      <c r="V69" s="266"/>
      <c r="W69" s="264">
        <f>(W61+W62+W63+W64+W65+W66+W67+W68)/(8)</f>
        <v>69.930000000000007</v>
      </c>
      <c r="X69" s="264">
        <f>(X61+X62+X63+X64+X65+X66+X67+X68)/(8)</f>
        <v>22.861249999999995</v>
      </c>
      <c r="Y69" s="264">
        <f>(Y61+Y62+Y63+Y64+Y65+Y66+Y67+Y68)/(8)</f>
        <v>7.2049999999999992</v>
      </c>
      <c r="Z69" s="266"/>
      <c r="AA69" s="266"/>
      <c r="AB69" s="266"/>
      <c r="AC69" s="266"/>
    </row>
    <row r="70" spans="1:29" ht="3" customHeight="1" x14ac:dyDescent="0.25">
      <c r="A70" s="233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9"/>
      <c r="Z70" s="266"/>
      <c r="AA70" s="266"/>
      <c r="AB70" s="266"/>
      <c r="AC70" s="266"/>
    </row>
    <row r="71" spans="1:29" ht="13.5" customHeight="1" x14ac:dyDescent="0.25">
      <c r="A71" s="233"/>
      <c r="B71" s="258" t="s">
        <v>165</v>
      </c>
      <c r="C71" s="258"/>
      <c r="D71" s="258"/>
      <c r="E71" s="258"/>
      <c r="F71" s="266"/>
      <c r="G71" s="258" t="s">
        <v>166</v>
      </c>
      <c r="H71" s="258"/>
      <c r="I71" s="258"/>
      <c r="J71" s="258"/>
      <c r="K71" s="266"/>
      <c r="L71" s="258" t="s">
        <v>167</v>
      </c>
      <c r="M71" s="258"/>
      <c r="N71" s="258"/>
      <c r="O71" s="258"/>
      <c r="P71" s="266"/>
      <c r="Q71" s="258" t="s">
        <v>168</v>
      </c>
      <c r="R71" s="258"/>
      <c r="S71" s="258"/>
      <c r="T71" s="258"/>
      <c r="U71" s="266"/>
      <c r="V71" s="266"/>
      <c r="W71" s="266"/>
      <c r="X71" s="266"/>
      <c r="Y71" s="269"/>
      <c r="Z71" s="266"/>
      <c r="AA71" s="266"/>
      <c r="AB71" s="266"/>
      <c r="AC71" s="266"/>
    </row>
    <row r="72" spans="1:29" ht="13.5" customHeight="1" x14ac:dyDescent="0.25">
      <c r="A72" s="233"/>
      <c r="B72" s="259" t="s">
        <v>179</v>
      </c>
      <c r="C72" s="259"/>
      <c r="D72" s="259"/>
      <c r="E72" s="259"/>
      <c r="F72" s="266"/>
      <c r="G72" s="259" t="s">
        <v>179</v>
      </c>
      <c r="H72" s="259"/>
      <c r="I72" s="259"/>
      <c r="J72" s="259"/>
      <c r="K72" s="266"/>
      <c r="L72" s="259" t="s">
        <v>179</v>
      </c>
      <c r="M72" s="259"/>
      <c r="N72" s="259"/>
      <c r="O72" s="259"/>
      <c r="P72" s="266"/>
      <c r="Q72" s="259" t="s">
        <v>179</v>
      </c>
      <c r="R72" s="259"/>
      <c r="S72" s="259"/>
      <c r="T72" s="259"/>
      <c r="U72" s="266"/>
      <c r="V72" s="266"/>
      <c r="W72" s="266"/>
      <c r="X72" s="266"/>
      <c r="Y72" s="269"/>
      <c r="Z72" s="266"/>
      <c r="AA72" s="266"/>
      <c r="AB72" s="266"/>
      <c r="AC72" s="266"/>
    </row>
    <row r="73" spans="1:29" ht="13.5" customHeight="1" x14ac:dyDescent="0.25">
      <c r="A73" s="233"/>
      <c r="B73" s="260" t="s">
        <v>189</v>
      </c>
      <c r="C73" s="260" t="s">
        <v>190</v>
      </c>
      <c r="D73" s="260" t="s">
        <v>191</v>
      </c>
      <c r="E73" s="260" t="s">
        <v>192</v>
      </c>
      <c r="F73" s="266"/>
      <c r="G73" s="260" t="s">
        <v>189</v>
      </c>
      <c r="H73" s="260" t="s">
        <v>190</v>
      </c>
      <c r="I73" s="260" t="s">
        <v>191</v>
      </c>
      <c r="J73" s="260" t="s">
        <v>192</v>
      </c>
      <c r="K73" s="266"/>
      <c r="L73" s="260" t="s">
        <v>189</v>
      </c>
      <c r="M73" s="260" t="s">
        <v>190</v>
      </c>
      <c r="N73" s="260" t="s">
        <v>191</v>
      </c>
      <c r="O73" s="260" t="s">
        <v>192</v>
      </c>
      <c r="P73" s="266"/>
      <c r="Q73" s="260" t="s">
        <v>189</v>
      </c>
      <c r="R73" s="260" t="s">
        <v>190</v>
      </c>
      <c r="S73" s="260" t="s">
        <v>191</v>
      </c>
      <c r="T73" s="260" t="s">
        <v>192</v>
      </c>
      <c r="U73" s="266"/>
      <c r="V73" s="266" t="s">
        <v>214</v>
      </c>
      <c r="W73" s="266"/>
      <c r="X73" s="266"/>
      <c r="Y73" s="269"/>
      <c r="Z73" s="266"/>
      <c r="AA73" s="266"/>
      <c r="AB73" s="266"/>
      <c r="AC73" s="266"/>
    </row>
    <row r="74" spans="1:29" ht="9.75" customHeight="1" x14ac:dyDescent="0.25">
      <c r="A74" s="261" t="s">
        <v>193</v>
      </c>
      <c r="B74" s="262" t="s">
        <v>204</v>
      </c>
      <c r="C74" s="263">
        <v>74.03</v>
      </c>
      <c r="D74" s="263">
        <v>19.75</v>
      </c>
      <c r="E74" s="264">
        <v>6.22</v>
      </c>
      <c r="F74" s="265"/>
      <c r="G74" s="262" t="s">
        <v>206</v>
      </c>
      <c r="H74" s="263">
        <v>75.08</v>
      </c>
      <c r="I74" s="263">
        <v>18.95</v>
      </c>
      <c r="J74" s="264">
        <v>5.97</v>
      </c>
      <c r="K74" s="265"/>
      <c r="L74" s="262" t="s">
        <v>208</v>
      </c>
      <c r="M74" s="263">
        <v>76.44</v>
      </c>
      <c r="N74" s="263">
        <v>17.91</v>
      </c>
      <c r="O74" s="264">
        <v>5.65</v>
      </c>
      <c r="P74" s="265"/>
      <c r="Q74" s="262" t="s">
        <v>210</v>
      </c>
      <c r="R74" s="263">
        <v>77.92</v>
      </c>
      <c r="S74" s="263">
        <v>16.79</v>
      </c>
      <c r="T74" s="264">
        <v>5.29</v>
      </c>
      <c r="U74" s="265"/>
      <c r="V74" s="270" t="s">
        <v>215</v>
      </c>
      <c r="W74" s="270"/>
      <c r="X74" s="270"/>
      <c r="Y74" s="271"/>
      <c r="Z74" s="266"/>
      <c r="AA74" s="266"/>
      <c r="AB74" s="266"/>
      <c r="AC74" s="266"/>
    </row>
    <row r="75" spans="1:29" ht="9.75" customHeight="1" x14ac:dyDescent="0.25">
      <c r="A75" s="261" t="s">
        <v>199</v>
      </c>
      <c r="B75" s="262" t="s">
        <v>206</v>
      </c>
      <c r="C75" s="263">
        <v>73.459999999999994</v>
      </c>
      <c r="D75" s="263">
        <v>20.18</v>
      </c>
      <c r="E75" s="264">
        <v>6.36</v>
      </c>
      <c r="F75" s="265"/>
      <c r="G75" s="262" t="s">
        <v>208</v>
      </c>
      <c r="H75" s="263">
        <v>74.52</v>
      </c>
      <c r="I75" s="263">
        <v>19.37</v>
      </c>
      <c r="J75" s="264">
        <v>6.11</v>
      </c>
      <c r="K75" s="265"/>
      <c r="L75" s="262" t="s">
        <v>210</v>
      </c>
      <c r="M75" s="263">
        <v>75.91</v>
      </c>
      <c r="N75" s="263">
        <v>18.32</v>
      </c>
      <c r="O75" s="264">
        <v>5.77</v>
      </c>
      <c r="P75" s="265"/>
      <c r="Q75" s="262" t="s">
        <v>212</v>
      </c>
      <c r="R75" s="263">
        <v>77.400000000000006</v>
      </c>
      <c r="S75" s="263">
        <v>17.18</v>
      </c>
      <c r="T75" s="264">
        <v>5.42</v>
      </c>
      <c r="U75" s="265"/>
      <c r="V75" s="265"/>
      <c r="W75" s="265"/>
      <c r="X75" s="265"/>
      <c r="Y75" s="271"/>
      <c r="Z75" s="266"/>
      <c r="AA75" s="266"/>
      <c r="AB75" s="266"/>
      <c r="AC75" s="266"/>
    </row>
    <row r="76" spans="1:29" ht="9.75" customHeight="1" x14ac:dyDescent="0.25">
      <c r="A76" s="261" t="s">
        <v>201</v>
      </c>
      <c r="B76" s="262" t="s">
        <v>208</v>
      </c>
      <c r="C76" s="263">
        <v>72.849999999999994</v>
      </c>
      <c r="D76" s="263">
        <v>20.64</v>
      </c>
      <c r="E76" s="264">
        <v>6.51</v>
      </c>
      <c r="F76" s="265"/>
      <c r="G76" s="262" t="s">
        <v>210</v>
      </c>
      <c r="H76" s="263">
        <v>73.930000000000007</v>
      </c>
      <c r="I76" s="263">
        <v>19.82</v>
      </c>
      <c r="J76" s="264">
        <v>6.25</v>
      </c>
      <c r="K76" s="265"/>
      <c r="L76" s="262" t="s">
        <v>212</v>
      </c>
      <c r="M76" s="263">
        <v>75.33</v>
      </c>
      <c r="N76" s="263">
        <v>18.760000000000002</v>
      </c>
      <c r="O76" s="264">
        <v>5.91</v>
      </c>
      <c r="P76" s="265"/>
      <c r="Q76" s="262" t="s">
        <v>217</v>
      </c>
      <c r="R76" s="263">
        <v>76.849999999999994</v>
      </c>
      <c r="S76" s="263">
        <v>17.600000000000001</v>
      </c>
      <c r="T76" s="264">
        <v>5.55</v>
      </c>
      <c r="U76" s="265"/>
      <c r="V76" s="270" t="s">
        <v>223</v>
      </c>
      <c r="W76" s="270"/>
      <c r="X76" s="270"/>
      <c r="Y76" s="271"/>
      <c r="Z76" s="266"/>
      <c r="AA76" s="266"/>
      <c r="AB76" s="266"/>
      <c r="AC76" s="266"/>
    </row>
    <row r="77" spans="1:29" ht="9.75" customHeight="1" x14ac:dyDescent="0.25">
      <c r="A77" s="261" t="s">
        <v>203</v>
      </c>
      <c r="B77" s="262" t="s">
        <v>210</v>
      </c>
      <c r="C77" s="263">
        <v>72.22</v>
      </c>
      <c r="D77" s="263">
        <v>21.12</v>
      </c>
      <c r="E77" s="264">
        <v>6.66</v>
      </c>
      <c r="F77" s="265"/>
      <c r="G77" s="262" t="s">
        <v>212</v>
      </c>
      <c r="H77" s="263">
        <v>73.319999999999993</v>
      </c>
      <c r="I77" s="263">
        <v>20.29</v>
      </c>
      <c r="J77" s="264">
        <v>6.39</v>
      </c>
      <c r="K77" s="265"/>
      <c r="L77" s="262" t="s">
        <v>217</v>
      </c>
      <c r="M77" s="263">
        <v>74.739999999999995</v>
      </c>
      <c r="N77" s="263">
        <v>19.21</v>
      </c>
      <c r="O77" s="264">
        <v>6.05</v>
      </c>
      <c r="P77" s="265"/>
      <c r="Q77" s="262" t="s">
        <v>218</v>
      </c>
      <c r="R77" s="263">
        <v>76.290000000000006</v>
      </c>
      <c r="S77" s="263">
        <v>18.03</v>
      </c>
      <c r="T77" s="264">
        <v>5.68</v>
      </c>
      <c r="U77" s="265"/>
      <c r="V77" s="265"/>
      <c r="W77" s="265"/>
      <c r="X77" s="265"/>
      <c r="Y77" s="271"/>
      <c r="Z77" s="266"/>
      <c r="AA77" s="266"/>
      <c r="AB77" s="266"/>
      <c r="AC77" s="266"/>
    </row>
    <row r="78" spans="1:29" ht="9.75" customHeight="1" x14ac:dyDescent="0.25">
      <c r="A78" s="261" t="s">
        <v>205</v>
      </c>
      <c r="B78" s="262" t="s">
        <v>212</v>
      </c>
      <c r="C78" s="263">
        <v>71.55</v>
      </c>
      <c r="D78" s="263">
        <v>21.63</v>
      </c>
      <c r="E78" s="264">
        <v>6.82</v>
      </c>
      <c r="F78" s="265"/>
      <c r="G78" s="262" t="s">
        <v>217</v>
      </c>
      <c r="H78" s="263">
        <v>72.67</v>
      </c>
      <c r="I78" s="263">
        <v>20.78</v>
      </c>
      <c r="J78" s="264">
        <v>6.55</v>
      </c>
      <c r="K78" s="265"/>
      <c r="L78" s="262" t="s">
        <v>218</v>
      </c>
      <c r="M78" s="263">
        <v>74.11</v>
      </c>
      <c r="N78" s="263">
        <v>19.690000000000001</v>
      </c>
      <c r="O78" s="264">
        <v>6.2</v>
      </c>
      <c r="P78" s="265"/>
      <c r="Q78" s="262" t="s">
        <v>219</v>
      </c>
      <c r="R78" s="263">
        <v>75.69</v>
      </c>
      <c r="S78" s="263">
        <v>18.48</v>
      </c>
      <c r="T78" s="264">
        <v>5.83</v>
      </c>
      <c r="U78" s="265"/>
      <c r="V78" s="265"/>
      <c r="W78" s="265"/>
      <c r="X78" s="265"/>
      <c r="Y78" s="271"/>
      <c r="Z78" s="266"/>
      <c r="AA78" s="266"/>
      <c r="AB78" s="266"/>
      <c r="AC78" s="266"/>
    </row>
    <row r="79" spans="1:29" ht="9.75" customHeight="1" x14ac:dyDescent="0.25">
      <c r="A79" s="261" t="s">
        <v>207</v>
      </c>
      <c r="B79" s="262" t="s">
        <v>217</v>
      </c>
      <c r="C79" s="263">
        <v>70.86</v>
      </c>
      <c r="D79" s="263">
        <v>22.16</v>
      </c>
      <c r="E79" s="264">
        <v>6.98</v>
      </c>
      <c r="F79" s="265"/>
      <c r="G79" s="262" t="s">
        <v>218</v>
      </c>
      <c r="H79" s="263">
        <v>71.989999999999995</v>
      </c>
      <c r="I79" s="263">
        <v>21.3</v>
      </c>
      <c r="J79" s="264">
        <v>6.71</v>
      </c>
      <c r="K79" s="265"/>
      <c r="L79" s="262" t="s">
        <v>219</v>
      </c>
      <c r="M79" s="263">
        <v>73.459999999999994</v>
      </c>
      <c r="N79" s="263">
        <v>20.18</v>
      </c>
      <c r="O79" s="264">
        <v>6.36</v>
      </c>
      <c r="P79" s="265"/>
      <c r="Q79" s="262" t="s">
        <v>220</v>
      </c>
      <c r="R79" s="263">
        <v>75.06</v>
      </c>
      <c r="S79" s="263">
        <v>18.96</v>
      </c>
      <c r="T79" s="264">
        <v>5.98</v>
      </c>
      <c r="U79" s="265"/>
      <c r="V79" s="265"/>
      <c r="W79" s="265"/>
      <c r="X79" s="265"/>
      <c r="Y79" s="271"/>
      <c r="Z79" s="266"/>
      <c r="AA79" s="266"/>
      <c r="AB79" s="266"/>
      <c r="AC79" s="266"/>
    </row>
    <row r="80" spans="1:29" ht="9.75" customHeight="1" x14ac:dyDescent="0.25">
      <c r="A80" s="261" t="s">
        <v>209</v>
      </c>
      <c r="B80" s="262" t="s">
        <v>218</v>
      </c>
      <c r="C80" s="263">
        <v>70.13</v>
      </c>
      <c r="D80" s="263">
        <v>22.71</v>
      </c>
      <c r="E80" s="264">
        <v>7.16</v>
      </c>
      <c r="F80" s="265"/>
      <c r="G80" s="262" t="s">
        <v>219</v>
      </c>
      <c r="H80" s="263">
        <v>71.28</v>
      </c>
      <c r="I80" s="263">
        <v>21.84</v>
      </c>
      <c r="J80" s="264">
        <v>6.88</v>
      </c>
      <c r="K80" s="265"/>
      <c r="L80" s="262" t="s">
        <v>220</v>
      </c>
      <c r="M80" s="263">
        <v>72.77</v>
      </c>
      <c r="N80" s="263">
        <v>20.7</v>
      </c>
      <c r="O80" s="264">
        <v>6.53</v>
      </c>
      <c r="P80" s="265"/>
      <c r="Q80" s="262" t="s">
        <v>222</v>
      </c>
      <c r="R80" s="263">
        <v>74.400000000000006</v>
      </c>
      <c r="S80" s="263">
        <v>19.46</v>
      </c>
      <c r="T80" s="264">
        <v>6.14</v>
      </c>
      <c r="U80" s="265"/>
      <c r="V80" s="265"/>
      <c r="W80" s="265"/>
      <c r="X80" s="265"/>
      <c r="Y80" s="271"/>
      <c r="Z80" s="266"/>
      <c r="AA80" s="266"/>
      <c r="AB80" s="266"/>
      <c r="AC80" s="266"/>
    </row>
    <row r="81" spans="1:29" ht="9.75" customHeight="1" x14ac:dyDescent="0.25">
      <c r="A81" s="261" t="s">
        <v>211</v>
      </c>
      <c r="B81" s="262" t="s">
        <v>219</v>
      </c>
      <c r="C81" s="263">
        <v>69.36</v>
      </c>
      <c r="D81" s="263">
        <v>23.3</v>
      </c>
      <c r="E81" s="264">
        <v>7.34</v>
      </c>
      <c r="F81" s="265"/>
      <c r="G81" s="262" t="s">
        <v>220</v>
      </c>
      <c r="H81" s="263">
        <v>70.53</v>
      </c>
      <c r="I81" s="263">
        <v>22.41</v>
      </c>
      <c r="J81" s="264">
        <v>7.06</v>
      </c>
      <c r="K81" s="265"/>
      <c r="L81" s="262" t="s">
        <v>222</v>
      </c>
      <c r="M81" s="263">
        <v>72.040000000000006</v>
      </c>
      <c r="N81" s="263">
        <v>21.26</v>
      </c>
      <c r="O81" s="264">
        <v>6.7</v>
      </c>
      <c r="P81" s="265"/>
      <c r="Q81" s="262" t="s">
        <v>224</v>
      </c>
      <c r="R81" s="263">
        <v>73.7</v>
      </c>
      <c r="S81" s="263">
        <v>20</v>
      </c>
      <c r="T81" s="264">
        <v>6.3</v>
      </c>
      <c r="U81" s="265"/>
      <c r="V81" s="265"/>
      <c r="W81" s="265"/>
      <c r="X81" s="265"/>
      <c r="Y81" s="271"/>
      <c r="Z81" s="266"/>
      <c r="AA81" s="266"/>
      <c r="AB81" s="266"/>
      <c r="AC81" s="266"/>
    </row>
    <row r="82" spans="1:29" ht="13.5" customHeight="1" x14ac:dyDescent="0.25">
      <c r="A82" s="268" t="s">
        <v>213</v>
      </c>
      <c r="B82" s="266"/>
      <c r="C82" s="264">
        <f>(C74+C75+C76+C77+C78+C79+C80+C81)/(8)</f>
        <v>71.807500000000005</v>
      </c>
      <c r="D82" s="264">
        <f>(D74+D75+D76+D77+D78+D79+D80+D81)/(8)</f>
        <v>21.436250000000001</v>
      </c>
      <c r="E82" s="264">
        <f>(E74+E75+E76+E77+E78+E79+E80+E81)/(8)</f>
        <v>6.7562499999999996</v>
      </c>
      <c r="F82" s="266"/>
      <c r="G82" s="266"/>
      <c r="H82" s="264">
        <f>(H74+H75+H76+H77+H78+H79+H80+H81)/(8)</f>
        <v>72.915000000000006</v>
      </c>
      <c r="I82" s="264">
        <f>(I74+I75+I76+I77+I78+I79+I80+I81)/(8)</f>
        <v>20.594999999999999</v>
      </c>
      <c r="J82" s="264">
        <f>(J74+J75+J76+J77+J78+J79+J80+J81)/(8)</f>
        <v>6.49</v>
      </c>
      <c r="K82" s="266"/>
      <c r="L82" s="266"/>
      <c r="M82" s="264">
        <f>(M74+M75+M76+M77+M78+M79+M80+M81)/(8)</f>
        <v>74.349999999999994</v>
      </c>
      <c r="N82" s="264">
        <f>(N74+N75+N76+N77+N78+N79+N80+N81)/(8)</f>
        <v>19.50375</v>
      </c>
      <c r="O82" s="264">
        <f>(O74+O75+O76+O77+O78+O79+O80+O81)/(8)</f>
        <v>6.1462500000000002</v>
      </c>
      <c r="P82" s="266"/>
      <c r="Q82" s="266"/>
      <c r="R82" s="264">
        <f>(R74+R75+R76+R77+R78+R79+R80+R81)/(8)</f>
        <v>75.913750000000007</v>
      </c>
      <c r="S82" s="264">
        <f>(S74+S75+S76+S77+S78+S79+S80+S81)/(8)</f>
        <v>18.3125</v>
      </c>
      <c r="T82" s="264">
        <f>(T74+T75+T76+T77+T78+T79+T80+T81)/(8)</f>
        <v>5.7737499999999997</v>
      </c>
      <c r="U82" s="266"/>
      <c r="V82" s="266"/>
      <c r="W82" s="266"/>
      <c r="X82" s="266"/>
      <c r="Y82" s="269"/>
      <c r="Z82" s="266"/>
      <c r="AA82" s="266"/>
      <c r="AB82" s="266"/>
      <c r="AC82" s="266"/>
    </row>
    <row r="83" spans="1:29" ht="3" customHeight="1" x14ac:dyDescent="0.25">
      <c r="A83" s="247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3"/>
      <c r="Z83" s="266"/>
      <c r="AA83" s="266"/>
      <c r="AB83" s="266"/>
      <c r="AC83" s="266"/>
    </row>
    <row r="84" spans="1:29" x14ac:dyDescent="0.25"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</row>
    <row r="85" spans="1:29" x14ac:dyDescent="0.25"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</row>
    <row r="86" spans="1:29" x14ac:dyDescent="0.25"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</row>
    <row r="87" spans="1:29" x14ac:dyDescent="0.25"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</row>
    <row r="88" spans="1:29" x14ac:dyDescent="0.25"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</row>
    <row r="89" spans="1:29" x14ac:dyDescent="0.25"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</row>
    <row r="90" spans="1:29" x14ac:dyDescent="0.25"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</row>
    <row r="91" spans="1:29" x14ac:dyDescent="0.25"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</row>
    <row r="92" spans="1:29" x14ac:dyDescent="0.25"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  <c r="Z92" s="266"/>
      <c r="AA92" s="266"/>
      <c r="AB92" s="266"/>
      <c r="AC92" s="266"/>
    </row>
    <row r="93" spans="1:29" x14ac:dyDescent="0.25"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</row>
    <row r="94" spans="1:29" x14ac:dyDescent="0.25"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</row>
    <row r="95" spans="1:29" x14ac:dyDescent="0.25"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  <c r="Z95" s="266"/>
      <c r="AA95" s="266"/>
      <c r="AB95" s="266"/>
      <c r="AC95" s="266"/>
    </row>
    <row r="96" spans="1:29" x14ac:dyDescent="0.25"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  <c r="AA96" s="266"/>
      <c r="AB96" s="266"/>
      <c r="AC96" s="266"/>
    </row>
    <row r="97" spans="2:29" x14ac:dyDescent="0.25"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  <c r="AA97" s="266"/>
      <c r="AB97" s="266"/>
      <c r="AC97" s="266"/>
    </row>
    <row r="98" spans="2:29" x14ac:dyDescent="0.25"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  <c r="AA98" s="266"/>
      <c r="AB98" s="266"/>
      <c r="AC98" s="266"/>
    </row>
    <row r="99" spans="2:29" x14ac:dyDescent="0.25"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</row>
    <row r="100" spans="2:29" x14ac:dyDescent="0.25"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</row>
    <row r="101" spans="2:29" x14ac:dyDescent="0.25"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  <c r="AA101" s="266"/>
      <c r="AB101" s="266"/>
      <c r="AC101" s="266"/>
    </row>
    <row r="102" spans="2:29" x14ac:dyDescent="0.25"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  <c r="Z102" s="266"/>
      <c r="AA102" s="266"/>
      <c r="AB102" s="266"/>
      <c r="AC102" s="266"/>
    </row>
    <row r="103" spans="2:29" x14ac:dyDescent="0.25"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  <c r="Z103" s="266"/>
      <c r="AA103" s="266"/>
      <c r="AB103" s="266"/>
      <c r="AC103" s="266"/>
    </row>
    <row r="104" spans="2:29" x14ac:dyDescent="0.25"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  <c r="Z104" s="266"/>
      <c r="AA104" s="266"/>
      <c r="AB104" s="266"/>
      <c r="AC104" s="266"/>
    </row>
    <row r="105" spans="2:29" x14ac:dyDescent="0.25"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</row>
    <row r="106" spans="2:29" x14ac:dyDescent="0.25"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</row>
    <row r="107" spans="2:29" x14ac:dyDescent="0.25"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</row>
    <row r="108" spans="2:29" x14ac:dyDescent="0.25"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</row>
    <row r="109" spans="2:29" x14ac:dyDescent="0.25"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</row>
    <row r="110" spans="2:29" x14ac:dyDescent="0.25"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</row>
    <row r="111" spans="2:29" x14ac:dyDescent="0.25"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</row>
    <row r="112" spans="2:29" x14ac:dyDescent="0.25"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</row>
    <row r="113" spans="2:29" x14ac:dyDescent="0.25"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</row>
    <row r="114" spans="2:29" x14ac:dyDescent="0.25"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</row>
    <row r="115" spans="2:29" x14ac:dyDescent="0.25"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  <c r="AA115" s="266"/>
      <c r="AB115" s="266"/>
      <c r="AC115" s="266"/>
    </row>
    <row r="116" spans="2:29" x14ac:dyDescent="0.25"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  <c r="AA116" s="266"/>
      <c r="AB116" s="266"/>
      <c r="AC116" s="266"/>
    </row>
    <row r="117" spans="2:29" x14ac:dyDescent="0.25"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  <c r="AA117" s="266"/>
      <c r="AB117" s="266"/>
      <c r="AC117" s="266"/>
    </row>
    <row r="118" spans="2:29" x14ac:dyDescent="0.25"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</row>
    <row r="119" spans="2:29" x14ac:dyDescent="0.25"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</row>
    <row r="120" spans="2:29" x14ac:dyDescent="0.25"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</row>
    <row r="121" spans="2:29" x14ac:dyDescent="0.25"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</row>
    <row r="122" spans="2:29" x14ac:dyDescent="0.25"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  <c r="AA122" s="266"/>
      <c r="AB122" s="266"/>
      <c r="AC122" s="266"/>
    </row>
    <row r="123" spans="2:29" x14ac:dyDescent="0.25"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6"/>
    </row>
    <row r="124" spans="2:29" x14ac:dyDescent="0.25"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</row>
    <row r="125" spans="2:29" x14ac:dyDescent="0.25"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</row>
    <row r="126" spans="2:29" x14ac:dyDescent="0.25"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</row>
    <row r="127" spans="2:29" x14ac:dyDescent="0.25"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  <c r="AA127" s="266"/>
      <c r="AB127" s="266"/>
      <c r="AC127" s="266"/>
    </row>
    <row r="128" spans="2:29" x14ac:dyDescent="0.25"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</row>
    <row r="129" spans="2:29" x14ac:dyDescent="0.25"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</row>
    <row r="130" spans="2:29" x14ac:dyDescent="0.25"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</row>
    <row r="131" spans="2:29" x14ac:dyDescent="0.25"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  <c r="AA131" s="266"/>
      <c r="AB131" s="266"/>
      <c r="AC131" s="266"/>
    </row>
    <row r="132" spans="2:29" x14ac:dyDescent="0.25"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  <c r="AA132" s="266"/>
      <c r="AB132" s="266"/>
      <c r="AC132" s="266"/>
    </row>
    <row r="133" spans="2:29" x14ac:dyDescent="0.25"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</row>
    <row r="134" spans="2:29" x14ac:dyDescent="0.25"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</row>
    <row r="135" spans="2:29" x14ac:dyDescent="0.25"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</row>
    <row r="136" spans="2:29" x14ac:dyDescent="0.25"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</row>
    <row r="137" spans="2:29" x14ac:dyDescent="0.25"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</row>
    <row r="138" spans="2:29" x14ac:dyDescent="0.25"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</row>
    <row r="139" spans="2:29" x14ac:dyDescent="0.25"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</row>
    <row r="140" spans="2:29" x14ac:dyDescent="0.25"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</row>
    <row r="141" spans="2:29" x14ac:dyDescent="0.25"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</row>
    <row r="142" spans="2:29" x14ac:dyDescent="0.25"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</row>
    <row r="143" spans="2:29" x14ac:dyDescent="0.25"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</row>
    <row r="144" spans="2:29" x14ac:dyDescent="0.25"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</row>
    <row r="145" spans="2:29" x14ac:dyDescent="0.25"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</row>
    <row r="146" spans="2:29" x14ac:dyDescent="0.25"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</row>
    <row r="147" spans="2:29" x14ac:dyDescent="0.25"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</row>
    <row r="148" spans="2:29" x14ac:dyDescent="0.25"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</row>
    <row r="149" spans="2:29" x14ac:dyDescent="0.25"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</row>
    <row r="150" spans="2:29" x14ac:dyDescent="0.25"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  <c r="AC150" s="266"/>
    </row>
    <row r="151" spans="2:29" x14ac:dyDescent="0.25"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</row>
    <row r="152" spans="2:29" x14ac:dyDescent="0.25"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</row>
    <row r="153" spans="2:29" x14ac:dyDescent="0.25"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</row>
    <row r="154" spans="2:29" x14ac:dyDescent="0.25"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</row>
    <row r="155" spans="2:29" x14ac:dyDescent="0.25"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</row>
    <row r="156" spans="2:29" x14ac:dyDescent="0.25"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</row>
    <row r="157" spans="2:29" x14ac:dyDescent="0.25"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</row>
    <row r="158" spans="2:29" x14ac:dyDescent="0.25"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</row>
    <row r="159" spans="2:29" x14ac:dyDescent="0.25"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</row>
    <row r="160" spans="2:29" x14ac:dyDescent="0.25"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</row>
    <row r="161" spans="2:29" x14ac:dyDescent="0.25"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</row>
    <row r="162" spans="2:29" x14ac:dyDescent="0.25"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</row>
    <row r="163" spans="2:29" x14ac:dyDescent="0.25"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</row>
    <row r="164" spans="2:29" x14ac:dyDescent="0.25"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  <c r="AA164" s="266"/>
      <c r="AB164" s="266"/>
      <c r="AC164" s="266"/>
    </row>
    <row r="165" spans="2:29" x14ac:dyDescent="0.25"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</row>
    <row r="166" spans="2:29" x14ac:dyDescent="0.25"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  <c r="AA166" s="266"/>
      <c r="AB166" s="266"/>
      <c r="AC166" s="266"/>
    </row>
    <row r="167" spans="2:29" x14ac:dyDescent="0.25"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  <c r="AA167" s="266"/>
      <c r="AB167" s="266"/>
      <c r="AC167" s="266"/>
    </row>
    <row r="168" spans="2:29" x14ac:dyDescent="0.25"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  <c r="AA168" s="266"/>
      <c r="AB168" s="266"/>
      <c r="AC168" s="266"/>
    </row>
    <row r="169" spans="2:29" x14ac:dyDescent="0.25"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</row>
    <row r="170" spans="2:29" x14ac:dyDescent="0.25"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  <c r="AA170" s="266"/>
      <c r="AB170" s="266"/>
      <c r="AC170" s="266"/>
    </row>
    <row r="171" spans="2:29" x14ac:dyDescent="0.25"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  <c r="AA171" s="266"/>
      <c r="AB171" s="266"/>
      <c r="AC171" s="266"/>
    </row>
    <row r="172" spans="2:29" x14ac:dyDescent="0.25"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  <c r="AA172" s="266"/>
      <c r="AB172" s="266"/>
      <c r="AC172" s="266"/>
    </row>
    <row r="173" spans="2:29" x14ac:dyDescent="0.25"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  <c r="AA173" s="266"/>
      <c r="AB173" s="266"/>
      <c r="AC173" s="266"/>
    </row>
    <row r="174" spans="2:29" x14ac:dyDescent="0.25"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  <c r="AA174" s="266"/>
      <c r="AB174" s="266"/>
      <c r="AC174" s="266"/>
    </row>
    <row r="175" spans="2:29" x14ac:dyDescent="0.25"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</row>
    <row r="176" spans="2:29" x14ac:dyDescent="0.25"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  <c r="AA176" s="266"/>
      <c r="AB176" s="266"/>
      <c r="AC176" s="266"/>
    </row>
    <row r="177" spans="2:29" x14ac:dyDescent="0.25"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  <c r="AA177" s="266"/>
      <c r="AB177" s="266"/>
      <c r="AC177" s="266"/>
    </row>
    <row r="178" spans="2:29" x14ac:dyDescent="0.25"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</row>
    <row r="179" spans="2:29" x14ac:dyDescent="0.25"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</row>
    <row r="180" spans="2:29" x14ac:dyDescent="0.25"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  <c r="AC180" s="266"/>
    </row>
    <row r="181" spans="2:29" x14ac:dyDescent="0.25"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</row>
    <row r="182" spans="2:29" x14ac:dyDescent="0.25"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  <c r="AC182" s="266"/>
    </row>
    <row r="183" spans="2:29" x14ac:dyDescent="0.25"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  <c r="AC183" s="266"/>
    </row>
    <row r="184" spans="2:29" x14ac:dyDescent="0.25"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  <c r="AC184" s="266"/>
    </row>
    <row r="185" spans="2:29" x14ac:dyDescent="0.25"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</row>
    <row r="186" spans="2:29" x14ac:dyDescent="0.25"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</row>
    <row r="187" spans="2:29" x14ac:dyDescent="0.25"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</row>
    <row r="188" spans="2:29" x14ac:dyDescent="0.25"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  <c r="AC188" s="266"/>
    </row>
    <row r="189" spans="2:29" x14ac:dyDescent="0.25"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  <c r="AC189" s="266"/>
    </row>
    <row r="190" spans="2:29" x14ac:dyDescent="0.25"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  <c r="AC190" s="266"/>
    </row>
    <row r="191" spans="2:29" x14ac:dyDescent="0.25"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</row>
    <row r="192" spans="2:29" x14ac:dyDescent="0.25"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</row>
    <row r="193" spans="2:29" x14ac:dyDescent="0.25"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</row>
    <row r="194" spans="2:29" x14ac:dyDescent="0.25"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  <c r="AC194" s="266"/>
    </row>
    <row r="195" spans="2:29" x14ac:dyDescent="0.25"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  <c r="AC195" s="266"/>
    </row>
    <row r="196" spans="2:29" x14ac:dyDescent="0.25"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  <c r="AC196" s="266"/>
    </row>
    <row r="197" spans="2:29" x14ac:dyDescent="0.25"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  <c r="AC197" s="266"/>
    </row>
    <row r="198" spans="2:29" x14ac:dyDescent="0.25"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  <c r="AC198" s="266"/>
    </row>
    <row r="199" spans="2:29" x14ac:dyDescent="0.25"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  <c r="AC199" s="266"/>
    </row>
    <row r="200" spans="2:29" x14ac:dyDescent="0.25"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  <c r="AC200" s="266"/>
    </row>
    <row r="201" spans="2:29" x14ac:dyDescent="0.25"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  <c r="AC201" s="266"/>
    </row>
    <row r="202" spans="2:29" x14ac:dyDescent="0.25"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  <c r="AC202" s="266"/>
    </row>
    <row r="203" spans="2:29" x14ac:dyDescent="0.25"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</row>
    <row r="204" spans="2:29" x14ac:dyDescent="0.25"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</row>
    <row r="205" spans="2:29" x14ac:dyDescent="0.25"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  <c r="AC205" s="266"/>
    </row>
    <row r="206" spans="2:29" x14ac:dyDescent="0.25"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  <c r="AC206" s="266"/>
    </row>
    <row r="207" spans="2:29" x14ac:dyDescent="0.25"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  <c r="AC207" s="266"/>
    </row>
    <row r="208" spans="2:29" x14ac:dyDescent="0.25"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  <c r="AC208" s="266"/>
    </row>
    <row r="209" spans="2:29" x14ac:dyDescent="0.25"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  <c r="AC209" s="266"/>
    </row>
    <row r="210" spans="2:29" x14ac:dyDescent="0.25"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  <c r="AC210" s="266"/>
    </row>
    <row r="211" spans="2:29" x14ac:dyDescent="0.25"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  <c r="AC211" s="266"/>
    </row>
    <row r="212" spans="2:29" x14ac:dyDescent="0.25"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  <c r="AC212" s="266"/>
    </row>
    <row r="213" spans="2:29" x14ac:dyDescent="0.25"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66"/>
    </row>
    <row r="214" spans="2:29" x14ac:dyDescent="0.25"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</row>
    <row r="215" spans="2:29" x14ac:dyDescent="0.25"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</row>
    <row r="216" spans="2:29" x14ac:dyDescent="0.25"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  <c r="AC216" s="266"/>
    </row>
    <row r="217" spans="2:29" x14ac:dyDescent="0.25"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  <c r="AC217" s="266"/>
    </row>
    <row r="218" spans="2:29" x14ac:dyDescent="0.25"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  <c r="AC218" s="266"/>
    </row>
    <row r="219" spans="2:29" x14ac:dyDescent="0.25"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</row>
    <row r="220" spans="2:29" x14ac:dyDescent="0.25"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  <c r="AC220" s="266"/>
    </row>
    <row r="221" spans="2:29" x14ac:dyDescent="0.25"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  <c r="AC221" s="266"/>
    </row>
    <row r="222" spans="2:29" x14ac:dyDescent="0.25"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  <c r="AC222" s="266"/>
    </row>
    <row r="223" spans="2:29" x14ac:dyDescent="0.25"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  <c r="AC223" s="266"/>
    </row>
    <row r="224" spans="2:29" x14ac:dyDescent="0.25"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</row>
    <row r="225" spans="2:29" x14ac:dyDescent="0.25"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</row>
    <row r="226" spans="2:29" x14ac:dyDescent="0.25"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</row>
    <row r="227" spans="2:29" x14ac:dyDescent="0.25"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</row>
    <row r="228" spans="2:29" x14ac:dyDescent="0.25"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</row>
    <row r="229" spans="2:29" x14ac:dyDescent="0.25"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  <c r="AC229" s="266"/>
    </row>
    <row r="230" spans="2:29" x14ac:dyDescent="0.25"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</row>
    <row r="231" spans="2:29" x14ac:dyDescent="0.25"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</row>
    <row r="232" spans="2:29" x14ac:dyDescent="0.25"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  <c r="AC232" s="266"/>
    </row>
    <row r="233" spans="2:29" x14ac:dyDescent="0.25"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</row>
    <row r="234" spans="2:29" x14ac:dyDescent="0.25"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</row>
    <row r="235" spans="2:29" x14ac:dyDescent="0.25"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</row>
    <row r="236" spans="2:29" x14ac:dyDescent="0.25"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</row>
    <row r="237" spans="2:29" x14ac:dyDescent="0.25"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</row>
    <row r="238" spans="2:29" x14ac:dyDescent="0.25"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</row>
    <row r="239" spans="2:29" x14ac:dyDescent="0.25"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</row>
    <row r="240" spans="2:29" x14ac:dyDescent="0.25"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</row>
    <row r="241" spans="2:29" x14ac:dyDescent="0.25"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66"/>
    </row>
    <row r="242" spans="2:29" x14ac:dyDescent="0.25"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  <c r="AC242" s="266"/>
    </row>
    <row r="243" spans="2:29" x14ac:dyDescent="0.25"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  <c r="AC243" s="266"/>
    </row>
    <row r="244" spans="2:29" x14ac:dyDescent="0.25"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</row>
    <row r="245" spans="2:29" x14ac:dyDescent="0.25"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</row>
    <row r="246" spans="2:29" x14ac:dyDescent="0.25"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</row>
    <row r="247" spans="2:29" x14ac:dyDescent="0.25"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</row>
    <row r="248" spans="2:29" x14ac:dyDescent="0.25"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</row>
    <row r="249" spans="2:29" x14ac:dyDescent="0.25"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</row>
    <row r="250" spans="2:29" x14ac:dyDescent="0.25"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</row>
    <row r="251" spans="2:29" x14ac:dyDescent="0.25"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  <c r="AC251" s="266"/>
    </row>
    <row r="252" spans="2:29" x14ac:dyDescent="0.25"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  <c r="AC252" s="266"/>
    </row>
    <row r="253" spans="2:29" x14ac:dyDescent="0.25"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  <c r="AC253" s="266"/>
    </row>
    <row r="254" spans="2:29" x14ac:dyDescent="0.25"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</row>
    <row r="255" spans="2:29" x14ac:dyDescent="0.25"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  <c r="AC255" s="266"/>
    </row>
    <row r="256" spans="2:29" x14ac:dyDescent="0.25"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  <c r="AC256" s="266"/>
    </row>
    <row r="257" spans="2:29" x14ac:dyDescent="0.25"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</row>
    <row r="258" spans="2:29" x14ac:dyDescent="0.25"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</row>
    <row r="259" spans="2:29" x14ac:dyDescent="0.25"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</row>
    <row r="260" spans="2:29" x14ac:dyDescent="0.25"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</row>
    <row r="261" spans="2:29" x14ac:dyDescent="0.25"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</row>
    <row r="262" spans="2:29" x14ac:dyDescent="0.25"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</row>
    <row r="263" spans="2:29" x14ac:dyDescent="0.25"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</row>
    <row r="264" spans="2:29" x14ac:dyDescent="0.25"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  <c r="AC264" s="266"/>
    </row>
    <row r="265" spans="2:29" x14ac:dyDescent="0.25"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</row>
    <row r="266" spans="2:29" x14ac:dyDescent="0.25"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</row>
    <row r="267" spans="2:29" x14ac:dyDescent="0.25"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</row>
    <row r="268" spans="2:29" x14ac:dyDescent="0.25"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</row>
    <row r="269" spans="2:29" x14ac:dyDescent="0.25"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</row>
    <row r="270" spans="2:29" x14ac:dyDescent="0.25"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  <c r="AC270" s="266"/>
    </row>
    <row r="271" spans="2:29" x14ac:dyDescent="0.25"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  <c r="AC271" s="266"/>
    </row>
    <row r="272" spans="2:29" x14ac:dyDescent="0.25"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</row>
    <row r="273" spans="2:29" x14ac:dyDescent="0.25"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</row>
    <row r="274" spans="2:29" x14ac:dyDescent="0.25"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  <c r="AB274" s="266"/>
      <c r="AC274" s="266"/>
    </row>
    <row r="275" spans="2:29" x14ac:dyDescent="0.25"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  <c r="AC275" s="266"/>
    </row>
    <row r="276" spans="2:29" x14ac:dyDescent="0.25"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  <c r="AC276" s="266"/>
    </row>
    <row r="277" spans="2:29" x14ac:dyDescent="0.25"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  <c r="AB277" s="266"/>
      <c r="AC277" s="266"/>
    </row>
    <row r="278" spans="2:29" x14ac:dyDescent="0.25"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  <c r="AC278" s="266"/>
    </row>
    <row r="279" spans="2:29" x14ac:dyDescent="0.25"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  <c r="AC279" s="266"/>
    </row>
    <row r="280" spans="2:29" x14ac:dyDescent="0.25"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  <c r="AC280" s="266"/>
    </row>
    <row r="281" spans="2:29" x14ac:dyDescent="0.25"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  <c r="AC281" s="266"/>
    </row>
    <row r="282" spans="2:29" x14ac:dyDescent="0.25"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</row>
    <row r="283" spans="2:29" x14ac:dyDescent="0.25"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</row>
    <row r="284" spans="2:29" x14ac:dyDescent="0.25"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</row>
    <row r="285" spans="2:29" x14ac:dyDescent="0.25"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</row>
    <row r="286" spans="2:29" x14ac:dyDescent="0.25"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</row>
    <row r="287" spans="2:29" x14ac:dyDescent="0.25"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</row>
    <row r="288" spans="2:29" x14ac:dyDescent="0.25"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</row>
    <row r="289" spans="2:29" x14ac:dyDescent="0.25"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  <c r="AC289" s="266"/>
    </row>
    <row r="290" spans="2:29" x14ac:dyDescent="0.25"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  <c r="AC290" s="266"/>
    </row>
    <row r="291" spans="2:29" x14ac:dyDescent="0.25"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  <c r="AC291" s="266"/>
    </row>
    <row r="292" spans="2:29" x14ac:dyDescent="0.25"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</row>
    <row r="293" spans="2:29" x14ac:dyDescent="0.25"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</row>
    <row r="294" spans="2:29" x14ac:dyDescent="0.25"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  <c r="AC294" s="266"/>
    </row>
    <row r="295" spans="2:29" x14ac:dyDescent="0.25"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  <c r="AC295" s="266"/>
    </row>
    <row r="296" spans="2:29" x14ac:dyDescent="0.25"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  <c r="AC296" s="266"/>
    </row>
    <row r="297" spans="2:29" x14ac:dyDescent="0.25"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</row>
    <row r="298" spans="2:29" x14ac:dyDescent="0.25"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  <c r="AC298" s="266"/>
    </row>
    <row r="299" spans="2:29" x14ac:dyDescent="0.25"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</row>
    <row r="300" spans="2:29" x14ac:dyDescent="0.25"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  <c r="AC300" s="266"/>
    </row>
    <row r="301" spans="2:29" x14ac:dyDescent="0.25"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</row>
    <row r="302" spans="2:29" x14ac:dyDescent="0.25"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</row>
    <row r="303" spans="2:29" x14ac:dyDescent="0.25"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  <c r="AC303" s="266"/>
    </row>
    <row r="304" spans="2:29" x14ac:dyDescent="0.25"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</row>
    <row r="305" spans="2:29" x14ac:dyDescent="0.25"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</row>
    <row r="306" spans="2:29" x14ac:dyDescent="0.25"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</row>
    <row r="307" spans="2:29" x14ac:dyDescent="0.25"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  <c r="AC307" s="266"/>
    </row>
    <row r="308" spans="2:29" x14ac:dyDescent="0.25"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  <c r="AC308" s="266"/>
    </row>
    <row r="309" spans="2:29" x14ac:dyDescent="0.25"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  <c r="AC309" s="266"/>
    </row>
    <row r="310" spans="2:29" x14ac:dyDescent="0.25"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  <c r="AC310" s="266"/>
    </row>
    <row r="311" spans="2:29" x14ac:dyDescent="0.25"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  <c r="AB311" s="266"/>
      <c r="AC311" s="266"/>
    </row>
    <row r="312" spans="2:29" x14ac:dyDescent="0.25"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  <c r="AC312" s="266"/>
    </row>
    <row r="313" spans="2:29" x14ac:dyDescent="0.25"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  <c r="AC313" s="266"/>
    </row>
    <row r="314" spans="2:29" x14ac:dyDescent="0.25"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  <c r="AB314" s="266"/>
      <c r="AC314" s="266"/>
    </row>
    <row r="315" spans="2:29" x14ac:dyDescent="0.25"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  <c r="AC315" s="266"/>
    </row>
    <row r="316" spans="2:29" x14ac:dyDescent="0.25"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  <c r="AC316" s="266"/>
    </row>
    <row r="317" spans="2:29" x14ac:dyDescent="0.25"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  <c r="AC317" s="266"/>
    </row>
    <row r="318" spans="2:29" x14ac:dyDescent="0.25"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  <c r="AC318" s="266"/>
    </row>
    <row r="319" spans="2:29" x14ac:dyDescent="0.25"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  <c r="AC319" s="266"/>
    </row>
    <row r="320" spans="2:29" x14ac:dyDescent="0.25"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  <c r="AC320" s="266"/>
    </row>
    <row r="321" spans="2:29" x14ac:dyDescent="0.25"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  <c r="AB321" s="266"/>
      <c r="AC321" s="266"/>
    </row>
    <row r="322" spans="2:29" x14ac:dyDescent="0.25"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  <c r="AC322" s="266"/>
    </row>
    <row r="323" spans="2:29" x14ac:dyDescent="0.25"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  <c r="AC323" s="266"/>
    </row>
    <row r="324" spans="2:29" x14ac:dyDescent="0.25"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  <c r="AC324" s="266"/>
    </row>
    <row r="325" spans="2:29" x14ac:dyDescent="0.25"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  <c r="AC325" s="266"/>
    </row>
    <row r="326" spans="2:29" x14ac:dyDescent="0.25"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</row>
    <row r="327" spans="2:29" x14ac:dyDescent="0.25"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</row>
    <row r="328" spans="2:29" x14ac:dyDescent="0.25"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  <c r="AC328" s="266"/>
    </row>
    <row r="329" spans="2:29" x14ac:dyDescent="0.25"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  <c r="AC329" s="266"/>
    </row>
    <row r="330" spans="2:29" x14ac:dyDescent="0.25"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  <c r="AC330" s="266"/>
    </row>
    <row r="331" spans="2:29" x14ac:dyDescent="0.25"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</row>
    <row r="332" spans="2:29" x14ac:dyDescent="0.25"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</row>
    <row r="333" spans="2:29" x14ac:dyDescent="0.25"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</row>
    <row r="334" spans="2:29" x14ac:dyDescent="0.25"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  <c r="AC334" s="266"/>
    </row>
    <row r="335" spans="2:29" x14ac:dyDescent="0.25"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  <c r="AC335" s="266"/>
    </row>
    <row r="336" spans="2:29" x14ac:dyDescent="0.25"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  <c r="AC336" s="266"/>
    </row>
    <row r="337" spans="2:29" x14ac:dyDescent="0.25"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  <c r="AC337" s="266"/>
    </row>
    <row r="338" spans="2:29" x14ac:dyDescent="0.25"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  <c r="AC338" s="266"/>
    </row>
    <row r="339" spans="2:29" x14ac:dyDescent="0.25"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  <c r="AC339" s="266"/>
    </row>
    <row r="340" spans="2:29" x14ac:dyDescent="0.25"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  <c r="AB340" s="266"/>
      <c r="AC340" s="266"/>
    </row>
    <row r="341" spans="2:29" x14ac:dyDescent="0.25"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  <c r="AB341" s="266"/>
      <c r="AC341" s="266"/>
    </row>
    <row r="342" spans="2:29" x14ac:dyDescent="0.25"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  <c r="AC342" s="266"/>
    </row>
    <row r="343" spans="2:29" x14ac:dyDescent="0.25"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  <c r="AC343" s="266"/>
    </row>
    <row r="344" spans="2:29" x14ac:dyDescent="0.25"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  <c r="AC344" s="266"/>
    </row>
    <row r="345" spans="2:29" x14ac:dyDescent="0.25"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  <c r="AC345" s="266"/>
    </row>
    <row r="346" spans="2:29" x14ac:dyDescent="0.25"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  <c r="AB346" s="266"/>
      <c r="AC346" s="266"/>
    </row>
    <row r="347" spans="2:29" x14ac:dyDescent="0.25"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  <c r="AC347" s="266"/>
    </row>
    <row r="348" spans="2:29" x14ac:dyDescent="0.25"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  <c r="AB348" s="266"/>
      <c r="AC348" s="266"/>
    </row>
    <row r="349" spans="2:29" x14ac:dyDescent="0.25"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  <c r="AC349" s="266"/>
    </row>
    <row r="350" spans="2:29" x14ac:dyDescent="0.25"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  <c r="AC350" s="266"/>
    </row>
    <row r="351" spans="2:29" x14ac:dyDescent="0.25"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  <c r="AC351" s="266"/>
    </row>
    <row r="352" spans="2:29" x14ac:dyDescent="0.25"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  <c r="AB352" s="266"/>
      <c r="AC352" s="266"/>
    </row>
    <row r="353" spans="2:29" x14ac:dyDescent="0.25"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  <c r="AC353" s="266"/>
    </row>
    <row r="354" spans="2:29" x14ac:dyDescent="0.25"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  <c r="AC354" s="266"/>
    </row>
    <row r="355" spans="2:29" x14ac:dyDescent="0.25"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  <c r="AC355" s="266"/>
    </row>
    <row r="356" spans="2:29" x14ac:dyDescent="0.25"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  <c r="AC356" s="266"/>
    </row>
    <row r="357" spans="2:29" x14ac:dyDescent="0.25"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  <c r="AC357" s="266"/>
    </row>
    <row r="358" spans="2:29" x14ac:dyDescent="0.25"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  <c r="AB358" s="266"/>
      <c r="AC358" s="266"/>
    </row>
    <row r="359" spans="2:29" x14ac:dyDescent="0.25"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  <c r="AC359" s="266"/>
    </row>
    <row r="360" spans="2:29" x14ac:dyDescent="0.25"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</row>
    <row r="361" spans="2:29" x14ac:dyDescent="0.25"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  <c r="AC361" s="266"/>
    </row>
    <row r="362" spans="2:29" x14ac:dyDescent="0.25"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  <c r="AC362" s="266"/>
    </row>
    <row r="363" spans="2:29" x14ac:dyDescent="0.25"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  <c r="AC363" s="266"/>
    </row>
    <row r="364" spans="2:29" x14ac:dyDescent="0.25"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  <c r="AC364" s="266"/>
    </row>
    <row r="365" spans="2:29" x14ac:dyDescent="0.25"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  <c r="AC365" s="266"/>
    </row>
    <row r="366" spans="2:29" x14ac:dyDescent="0.25"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  <c r="AC366" s="266"/>
    </row>
    <row r="367" spans="2:29" x14ac:dyDescent="0.25"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  <c r="AC367" s="266"/>
    </row>
    <row r="368" spans="2:29" x14ac:dyDescent="0.25"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  <c r="AC368" s="266"/>
    </row>
    <row r="369" spans="2:29" x14ac:dyDescent="0.25"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  <c r="AB369" s="266"/>
      <c r="AC369" s="266"/>
    </row>
    <row r="370" spans="2:29" x14ac:dyDescent="0.25"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  <c r="AC370" s="266"/>
    </row>
    <row r="371" spans="2:29" x14ac:dyDescent="0.25"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  <c r="AB371" s="266"/>
      <c r="AC371" s="266"/>
    </row>
    <row r="372" spans="2:29" x14ac:dyDescent="0.25"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  <c r="AC372" s="266"/>
    </row>
    <row r="373" spans="2:29" x14ac:dyDescent="0.25"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</row>
    <row r="374" spans="2:29" x14ac:dyDescent="0.25"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  <c r="AC374" s="266"/>
    </row>
    <row r="375" spans="2:29" x14ac:dyDescent="0.25"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  <c r="AC375" s="266"/>
    </row>
    <row r="376" spans="2:29" x14ac:dyDescent="0.25"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</row>
    <row r="377" spans="2:29" x14ac:dyDescent="0.25"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  <c r="AC377" s="266"/>
    </row>
    <row r="378" spans="2:29" x14ac:dyDescent="0.25"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  <c r="AC378" s="266"/>
    </row>
    <row r="379" spans="2:29" x14ac:dyDescent="0.25"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  <c r="AC379" s="266"/>
    </row>
    <row r="380" spans="2:29" x14ac:dyDescent="0.25"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  <c r="AC380" s="266"/>
    </row>
    <row r="381" spans="2:29" x14ac:dyDescent="0.25"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  <c r="AC381" s="266"/>
    </row>
    <row r="382" spans="2:29" x14ac:dyDescent="0.25"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  <c r="AC382" s="266"/>
    </row>
    <row r="383" spans="2:29" x14ac:dyDescent="0.25"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  <c r="AC383" s="266"/>
    </row>
    <row r="384" spans="2:29" x14ac:dyDescent="0.25"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  <c r="AC384" s="266"/>
    </row>
    <row r="385" spans="2:29" x14ac:dyDescent="0.25"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  <c r="AC385" s="266"/>
    </row>
    <row r="386" spans="2:29" x14ac:dyDescent="0.25"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  <c r="AC386" s="266"/>
    </row>
    <row r="387" spans="2:29" x14ac:dyDescent="0.25"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  <c r="AB387" s="266"/>
      <c r="AC387" s="266"/>
    </row>
    <row r="388" spans="2:29" x14ac:dyDescent="0.25"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  <c r="AC388" s="266"/>
    </row>
    <row r="389" spans="2:29" x14ac:dyDescent="0.25"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  <c r="AC389" s="266"/>
    </row>
    <row r="390" spans="2:29" x14ac:dyDescent="0.25"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  <c r="AC390" s="266"/>
    </row>
    <row r="391" spans="2:29" x14ac:dyDescent="0.25"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</row>
    <row r="392" spans="2:29" x14ac:dyDescent="0.25"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  <c r="AC392" s="266"/>
    </row>
    <row r="393" spans="2:29" x14ac:dyDescent="0.25"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  <c r="AC393" s="266"/>
    </row>
    <row r="394" spans="2:29" x14ac:dyDescent="0.25"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  <c r="AC394" s="266"/>
    </row>
    <row r="395" spans="2:29" x14ac:dyDescent="0.25"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  <c r="AC395" s="266"/>
    </row>
    <row r="396" spans="2:29" x14ac:dyDescent="0.25"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  <c r="AC396" s="266"/>
    </row>
    <row r="397" spans="2:29" x14ac:dyDescent="0.25"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  <c r="AC397" s="266"/>
    </row>
    <row r="398" spans="2:29" x14ac:dyDescent="0.25"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  <c r="AC398" s="266"/>
    </row>
    <row r="399" spans="2:29" x14ac:dyDescent="0.25"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  <c r="AC399" s="266"/>
    </row>
    <row r="400" spans="2:29" x14ac:dyDescent="0.25"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  <c r="AC400" s="266"/>
    </row>
    <row r="401" spans="2:29" x14ac:dyDescent="0.25"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  <c r="AC401" s="266"/>
    </row>
    <row r="402" spans="2:29" x14ac:dyDescent="0.25"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  <c r="AC402" s="266"/>
    </row>
    <row r="403" spans="2:29" x14ac:dyDescent="0.25"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  <c r="AC403" s="266"/>
    </row>
    <row r="404" spans="2:29" x14ac:dyDescent="0.25"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</row>
    <row r="405" spans="2:29" x14ac:dyDescent="0.25"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  <c r="AC405" s="266"/>
    </row>
    <row r="406" spans="2:29" x14ac:dyDescent="0.25"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</row>
    <row r="407" spans="2:29" x14ac:dyDescent="0.25"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</row>
    <row r="408" spans="2:29" x14ac:dyDescent="0.25"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</row>
    <row r="409" spans="2:29" x14ac:dyDescent="0.25"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  <c r="AC409" s="266"/>
    </row>
    <row r="410" spans="2:29" x14ac:dyDescent="0.25"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  <c r="AC410" s="266"/>
    </row>
    <row r="411" spans="2:29" x14ac:dyDescent="0.25"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  <c r="AC411" s="266"/>
    </row>
    <row r="412" spans="2:29" x14ac:dyDescent="0.25"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  <c r="AC412" s="266"/>
    </row>
    <row r="413" spans="2:29" x14ac:dyDescent="0.25"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  <c r="AC413" s="266"/>
    </row>
    <row r="414" spans="2:29" x14ac:dyDescent="0.25"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  <c r="AC414" s="266"/>
    </row>
    <row r="415" spans="2:29" x14ac:dyDescent="0.25"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  <c r="AB415" s="266"/>
      <c r="AC415" s="266"/>
    </row>
    <row r="416" spans="2:29" x14ac:dyDescent="0.25"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  <c r="AC416" s="266"/>
    </row>
    <row r="417" spans="2:29" x14ac:dyDescent="0.25"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  <c r="AC417" s="266"/>
    </row>
    <row r="418" spans="2:29" x14ac:dyDescent="0.25"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  <c r="AC418" s="266"/>
    </row>
    <row r="419" spans="2:29" x14ac:dyDescent="0.25"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  <c r="AC419" s="266"/>
    </row>
    <row r="420" spans="2:29" x14ac:dyDescent="0.25"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  <c r="AC420" s="266"/>
    </row>
    <row r="421" spans="2:29" x14ac:dyDescent="0.25"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  <c r="AC421" s="266"/>
    </row>
    <row r="422" spans="2:29" x14ac:dyDescent="0.25"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  <c r="AC422" s="266"/>
    </row>
    <row r="423" spans="2:29" x14ac:dyDescent="0.25"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  <c r="AC423" s="266"/>
    </row>
    <row r="424" spans="2:29" x14ac:dyDescent="0.25"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  <c r="AC424" s="266"/>
    </row>
    <row r="425" spans="2:29" x14ac:dyDescent="0.25"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  <c r="AC425" s="266"/>
    </row>
    <row r="426" spans="2:29" x14ac:dyDescent="0.25"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  <c r="AC426" s="266"/>
    </row>
    <row r="427" spans="2:29" x14ac:dyDescent="0.25"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  <c r="AC427" s="266"/>
    </row>
    <row r="428" spans="2:29" x14ac:dyDescent="0.25"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  <c r="AC428" s="266"/>
    </row>
    <row r="429" spans="2:29" x14ac:dyDescent="0.25"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</row>
    <row r="430" spans="2:29" x14ac:dyDescent="0.25"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</row>
    <row r="431" spans="2:29" x14ac:dyDescent="0.25"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  <c r="AC431" s="266"/>
    </row>
    <row r="432" spans="2:29" x14ac:dyDescent="0.25"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  <c r="AC432" s="266"/>
    </row>
    <row r="433" spans="2:29" x14ac:dyDescent="0.25"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  <c r="AC433" s="266"/>
    </row>
    <row r="434" spans="2:29" x14ac:dyDescent="0.25"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  <c r="AC434" s="266"/>
    </row>
    <row r="435" spans="2:29" x14ac:dyDescent="0.25"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  <c r="AC435" s="266"/>
    </row>
    <row r="436" spans="2:29" x14ac:dyDescent="0.25"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  <c r="AC436" s="266"/>
    </row>
    <row r="437" spans="2:29" x14ac:dyDescent="0.25"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  <c r="AC437" s="266"/>
    </row>
    <row r="438" spans="2:29" x14ac:dyDescent="0.25"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  <c r="AC438" s="266"/>
    </row>
    <row r="439" spans="2:29" x14ac:dyDescent="0.25"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  <c r="AC439" s="266"/>
    </row>
    <row r="440" spans="2:29" x14ac:dyDescent="0.25"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  <c r="AC440" s="266"/>
    </row>
    <row r="441" spans="2:29" x14ac:dyDescent="0.25"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  <c r="AC441" s="266"/>
    </row>
    <row r="442" spans="2:29" x14ac:dyDescent="0.25"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  <c r="AC442" s="266"/>
    </row>
    <row r="443" spans="2:29" x14ac:dyDescent="0.25"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  <c r="AC443" s="266"/>
    </row>
    <row r="444" spans="2:29" x14ac:dyDescent="0.25"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</row>
    <row r="445" spans="2:29" x14ac:dyDescent="0.25"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  <c r="AC445" s="266"/>
    </row>
    <row r="446" spans="2:29" x14ac:dyDescent="0.25"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  <c r="AC446" s="266"/>
    </row>
    <row r="447" spans="2:29" x14ac:dyDescent="0.25"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</row>
    <row r="448" spans="2:29" x14ac:dyDescent="0.25"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</row>
    <row r="449" spans="2:29" x14ac:dyDescent="0.25"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</row>
    <row r="450" spans="2:29" x14ac:dyDescent="0.25"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</row>
    <row r="451" spans="2:29" x14ac:dyDescent="0.25"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  <c r="AC451" s="266"/>
    </row>
    <row r="452" spans="2:29" x14ac:dyDescent="0.25"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  <c r="AC452" s="266"/>
    </row>
    <row r="453" spans="2:29" x14ac:dyDescent="0.25"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  <c r="AC453" s="266"/>
    </row>
    <row r="454" spans="2:29" x14ac:dyDescent="0.25"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  <c r="AC454" s="266"/>
    </row>
    <row r="455" spans="2:29" x14ac:dyDescent="0.25"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  <c r="AC455" s="266"/>
    </row>
    <row r="456" spans="2:29" x14ac:dyDescent="0.25"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  <c r="AC456" s="266"/>
    </row>
    <row r="457" spans="2:29" x14ac:dyDescent="0.25"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</row>
    <row r="458" spans="2:29" x14ac:dyDescent="0.25"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</row>
    <row r="459" spans="2:29" x14ac:dyDescent="0.25"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  <c r="AC459" s="266"/>
    </row>
    <row r="460" spans="2:29" x14ac:dyDescent="0.25"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  <c r="AC460" s="266"/>
    </row>
    <row r="461" spans="2:29" x14ac:dyDescent="0.25"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  <c r="AC461" s="266"/>
    </row>
    <row r="462" spans="2:29" x14ac:dyDescent="0.25"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  <c r="AC462" s="266"/>
    </row>
    <row r="463" spans="2:29" x14ac:dyDescent="0.25"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  <c r="AC463" s="266"/>
    </row>
    <row r="464" spans="2:29" x14ac:dyDescent="0.25"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  <c r="AC464" s="266"/>
    </row>
    <row r="465" spans="2:29" x14ac:dyDescent="0.25"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  <c r="AC465" s="266"/>
    </row>
    <row r="466" spans="2:29" x14ac:dyDescent="0.25"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  <c r="AC466" s="266"/>
    </row>
    <row r="467" spans="2:29" x14ac:dyDescent="0.25"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  <c r="AC467" s="266"/>
    </row>
    <row r="468" spans="2:29" x14ac:dyDescent="0.25"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  <c r="AC468" s="266"/>
    </row>
    <row r="469" spans="2:29" x14ac:dyDescent="0.25"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  <c r="AC469" s="266"/>
    </row>
    <row r="470" spans="2:29" x14ac:dyDescent="0.25"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  <c r="AC470" s="266"/>
    </row>
    <row r="471" spans="2:29" x14ac:dyDescent="0.25"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  <c r="AC471" s="266"/>
    </row>
    <row r="472" spans="2:29" x14ac:dyDescent="0.25"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  <c r="AC472" s="266"/>
    </row>
    <row r="473" spans="2:29" x14ac:dyDescent="0.25"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  <c r="AC473" s="266"/>
    </row>
    <row r="474" spans="2:29" x14ac:dyDescent="0.25"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  <c r="AC474" s="266"/>
    </row>
    <row r="475" spans="2:29" x14ac:dyDescent="0.25"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  <c r="AC475" s="266"/>
    </row>
    <row r="476" spans="2:29" x14ac:dyDescent="0.25"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  <c r="AC476" s="266"/>
    </row>
    <row r="477" spans="2:29" x14ac:dyDescent="0.25"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  <c r="AC477" s="266"/>
    </row>
    <row r="478" spans="2:29" x14ac:dyDescent="0.25"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  <c r="AC478" s="266"/>
    </row>
    <row r="479" spans="2:29" x14ac:dyDescent="0.25"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  <c r="AC479" s="266"/>
    </row>
    <row r="480" spans="2:29" x14ac:dyDescent="0.25"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  <c r="AC480" s="266"/>
    </row>
    <row r="481" spans="2:29" x14ac:dyDescent="0.25"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  <c r="AC481" s="266"/>
    </row>
    <row r="482" spans="2:29" x14ac:dyDescent="0.25"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  <c r="AC482" s="266"/>
    </row>
    <row r="483" spans="2:29" x14ac:dyDescent="0.25"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  <c r="AC483" s="266"/>
    </row>
    <row r="484" spans="2:29" x14ac:dyDescent="0.25"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  <c r="AC484" s="266"/>
    </row>
    <row r="485" spans="2:29" x14ac:dyDescent="0.25"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</row>
    <row r="486" spans="2:29" x14ac:dyDescent="0.25"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</row>
    <row r="487" spans="2:29" x14ac:dyDescent="0.25"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  <c r="AC487" s="266"/>
    </row>
    <row r="488" spans="2:29" x14ac:dyDescent="0.25"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  <c r="AC488" s="266"/>
    </row>
    <row r="489" spans="2:29" x14ac:dyDescent="0.25"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  <c r="AC489" s="266"/>
    </row>
    <row r="490" spans="2:29" x14ac:dyDescent="0.25"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  <c r="AC490" s="266"/>
    </row>
    <row r="491" spans="2:29" x14ac:dyDescent="0.25"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  <c r="AC491" s="266"/>
    </row>
    <row r="492" spans="2:29" x14ac:dyDescent="0.25"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</row>
    <row r="493" spans="2:29" x14ac:dyDescent="0.25"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</row>
    <row r="494" spans="2:29" x14ac:dyDescent="0.25"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</row>
    <row r="495" spans="2:29" x14ac:dyDescent="0.25"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</row>
    <row r="496" spans="2:29" x14ac:dyDescent="0.25"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  <c r="AC496" s="266"/>
    </row>
    <row r="497" spans="2:29" x14ac:dyDescent="0.25"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  <c r="AC497" s="266"/>
    </row>
    <row r="498" spans="2:29" x14ac:dyDescent="0.25"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  <c r="AC498" s="266"/>
    </row>
    <row r="499" spans="2:29" x14ac:dyDescent="0.25"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  <c r="AC499" s="266"/>
    </row>
    <row r="500" spans="2:29" x14ac:dyDescent="0.25"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  <c r="AC500" s="266"/>
    </row>
    <row r="501" spans="2:29" x14ac:dyDescent="0.25"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  <c r="AC501" s="266"/>
    </row>
    <row r="502" spans="2:29" x14ac:dyDescent="0.25"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</row>
    <row r="503" spans="2:29" x14ac:dyDescent="0.25"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  <c r="AC503" s="266"/>
    </row>
    <row r="504" spans="2:29" x14ac:dyDescent="0.25"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  <c r="AC504" s="266"/>
    </row>
    <row r="505" spans="2:29" x14ac:dyDescent="0.25"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  <c r="AC505" s="266"/>
    </row>
    <row r="506" spans="2:29" x14ac:dyDescent="0.25"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  <c r="AC506" s="266"/>
    </row>
    <row r="507" spans="2:29" x14ac:dyDescent="0.25"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  <c r="AC507" s="266"/>
    </row>
    <row r="508" spans="2:29" x14ac:dyDescent="0.25"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  <c r="AC508" s="266"/>
    </row>
    <row r="509" spans="2:29" x14ac:dyDescent="0.25"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  <c r="AC509" s="266"/>
    </row>
    <row r="510" spans="2:29" x14ac:dyDescent="0.25"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  <c r="AC510" s="266"/>
    </row>
    <row r="511" spans="2:29" x14ac:dyDescent="0.25"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  <c r="AC511" s="266"/>
    </row>
    <row r="512" spans="2:29" x14ac:dyDescent="0.25"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  <c r="AC512" s="266"/>
    </row>
    <row r="513" spans="2:29" x14ac:dyDescent="0.25"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  <c r="AC513" s="266"/>
    </row>
    <row r="514" spans="2:29" x14ac:dyDescent="0.25"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</row>
    <row r="515" spans="2:29" x14ac:dyDescent="0.25"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  <c r="AC515" s="266"/>
    </row>
    <row r="516" spans="2:29" x14ac:dyDescent="0.25"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  <c r="AC516" s="266"/>
    </row>
    <row r="517" spans="2:29" x14ac:dyDescent="0.25"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  <c r="AC517" s="266"/>
    </row>
    <row r="518" spans="2:29" x14ac:dyDescent="0.25"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  <c r="AC518" s="266"/>
    </row>
    <row r="519" spans="2:29" x14ac:dyDescent="0.25"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  <c r="AC519" s="266"/>
    </row>
    <row r="520" spans="2:29" x14ac:dyDescent="0.25"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  <c r="AC520" s="266"/>
    </row>
    <row r="521" spans="2:29" x14ac:dyDescent="0.25"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  <c r="AC521" s="266"/>
    </row>
    <row r="522" spans="2:29" x14ac:dyDescent="0.25"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  <c r="AC522" s="266"/>
    </row>
    <row r="523" spans="2:29" x14ac:dyDescent="0.25"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  <c r="AC523" s="266"/>
    </row>
    <row r="524" spans="2:29" x14ac:dyDescent="0.25"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  <c r="AC524" s="266"/>
    </row>
    <row r="525" spans="2:29" x14ac:dyDescent="0.25"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  <c r="AC525" s="266"/>
    </row>
    <row r="526" spans="2:29" x14ac:dyDescent="0.25"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  <c r="AC526" s="266"/>
    </row>
    <row r="527" spans="2:29" x14ac:dyDescent="0.25"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  <c r="AC527" s="266"/>
    </row>
    <row r="528" spans="2:29" x14ac:dyDescent="0.25"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  <c r="AC528" s="266"/>
    </row>
    <row r="529" spans="2:29" x14ac:dyDescent="0.25"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  <c r="AC529" s="266"/>
    </row>
    <row r="530" spans="2:29" x14ac:dyDescent="0.25"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  <c r="AC530" s="266"/>
    </row>
    <row r="531" spans="2:29" x14ac:dyDescent="0.25"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  <c r="AC531" s="266"/>
    </row>
    <row r="532" spans="2:29" x14ac:dyDescent="0.25"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  <c r="AC532" s="266"/>
    </row>
    <row r="533" spans="2:29" x14ac:dyDescent="0.25"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  <c r="AC533" s="266"/>
    </row>
    <row r="534" spans="2:29" x14ac:dyDescent="0.25"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  <c r="AC534" s="266"/>
    </row>
    <row r="535" spans="2:29" x14ac:dyDescent="0.25"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  <c r="AC535" s="266"/>
    </row>
    <row r="536" spans="2:29" x14ac:dyDescent="0.25"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  <c r="AC536" s="266"/>
    </row>
    <row r="537" spans="2:29" x14ac:dyDescent="0.25"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  <c r="AC537" s="266"/>
    </row>
    <row r="538" spans="2:29" x14ac:dyDescent="0.25"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</row>
    <row r="539" spans="2:29" x14ac:dyDescent="0.25"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</row>
    <row r="540" spans="2:29" x14ac:dyDescent="0.25"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</row>
    <row r="541" spans="2:29" x14ac:dyDescent="0.25"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</row>
    <row r="542" spans="2:29" x14ac:dyDescent="0.25"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</row>
    <row r="543" spans="2:29" x14ac:dyDescent="0.25"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  <c r="AC543" s="266"/>
    </row>
    <row r="544" spans="2:29" x14ac:dyDescent="0.25"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  <c r="AC544" s="266"/>
    </row>
    <row r="545" spans="2:29" x14ac:dyDescent="0.25"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  <c r="AC545" s="266"/>
    </row>
    <row r="546" spans="2:29" x14ac:dyDescent="0.25"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  <c r="AC546" s="266"/>
    </row>
    <row r="547" spans="2:29" x14ac:dyDescent="0.25"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  <c r="AC547" s="266"/>
    </row>
    <row r="548" spans="2:29" x14ac:dyDescent="0.25"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  <c r="AC548" s="266"/>
    </row>
    <row r="549" spans="2:29" x14ac:dyDescent="0.25"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  <c r="AC549" s="266"/>
    </row>
    <row r="550" spans="2:29" x14ac:dyDescent="0.25"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  <c r="AC550" s="266"/>
    </row>
    <row r="551" spans="2:29" x14ac:dyDescent="0.25"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  <c r="AC551" s="266"/>
    </row>
    <row r="552" spans="2:29" x14ac:dyDescent="0.25"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  <c r="AC552" s="266"/>
    </row>
    <row r="553" spans="2:29" x14ac:dyDescent="0.25"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  <c r="AC553" s="266"/>
    </row>
    <row r="554" spans="2:29" x14ac:dyDescent="0.25"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  <c r="AC554" s="266"/>
    </row>
    <row r="555" spans="2:29" x14ac:dyDescent="0.25"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  <c r="AC555" s="266"/>
    </row>
    <row r="556" spans="2:29" x14ac:dyDescent="0.25"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  <c r="AC556" s="266"/>
    </row>
    <row r="557" spans="2:29" x14ac:dyDescent="0.25"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  <c r="AC557" s="266"/>
    </row>
    <row r="558" spans="2:29" x14ac:dyDescent="0.25"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  <c r="AC558" s="266"/>
    </row>
    <row r="559" spans="2:29" x14ac:dyDescent="0.25"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  <c r="AC559" s="266"/>
    </row>
    <row r="560" spans="2:29" x14ac:dyDescent="0.25"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  <c r="AC560" s="266"/>
    </row>
    <row r="561" spans="2:29" x14ac:dyDescent="0.25"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  <c r="AC561" s="266"/>
    </row>
    <row r="562" spans="2:29" x14ac:dyDescent="0.25"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  <c r="AC562" s="266"/>
    </row>
    <row r="563" spans="2:29" x14ac:dyDescent="0.25"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  <c r="AC563" s="266"/>
    </row>
    <row r="564" spans="2:29" x14ac:dyDescent="0.25"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  <c r="AC564" s="266"/>
    </row>
    <row r="565" spans="2:29" x14ac:dyDescent="0.25"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  <c r="AC565" s="266"/>
    </row>
    <row r="566" spans="2:29" x14ac:dyDescent="0.25"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  <c r="AC566" s="266"/>
    </row>
    <row r="567" spans="2:29" x14ac:dyDescent="0.25"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  <c r="AC567" s="266"/>
    </row>
    <row r="568" spans="2:29" x14ac:dyDescent="0.25"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  <c r="AC568" s="266"/>
    </row>
    <row r="569" spans="2:29" x14ac:dyDescent="0.25"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  <c r="AC569" s="266"/>
    </row>
    <row r="570" spans="2:29" x14ac:dyDescent="0.25"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  <c r="AC570" s="266"/>
    </row>
    <row r="571" spans="2:29" x14ac:dyDescent="0.25"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  <c r="AC571" s="266"/>
    </row>
    <row r="572" spans="2:29" x14ac:dyDescent="0.25"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</row>
    <row r="573" spans="2:29" x14ac:dyDescent="0.25"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</row>
    <row r="574" spans="2:29" x14ac:dyDescent="0.25"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</row>
    <row r="575" spans="2:29" x14ac:dyDescent="0.25"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</row>
    <row r="576" spans="2:29" x14ac:dyDescent="0.25"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  <c r="AC576" s="266"/>
    </row>
    <row r="577" spans="2:29" x14ac:dyDescent="0.25"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  <c r="AC577" s="266"/>
    </row>
    <row r="578" spans="2:29" x14ac:dyDescent="0.25"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  <c r="AC578" s="266"/>
    </row>
    <row r="579" spans="2:29" x14ac:dyDescent="0.25"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  <c r="AC579" s="266"/>
    </row>
    <row r="580" spans="2:29" x14ac:dyDescent="0.25"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  <c r="AC580" s="266"/>
    </row>
    <row r="581" spans="2:29" x14ac:dyDescent="0.25"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  <c r="AC581" s="266"/>
    </row>
    <row r="582" spans="2:29" x14ac:dyDescent="0.25"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  <c r="AC582" s="266"/>
    </row>
    <row r="583" spans="2:29" x14ac:dyDescent="0.25"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  <c r="AC583" s="266"/>
    </row>
    <row r="584" spans="2:29" x14ac:dyDescent="0.25"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  <c r="AC584" s="266"/>
    </row>
    <row r="585" spans="2:29" x14ac:dyDescent="0.25"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  <c r="AC585" s="266"/>
    </row>
    <row r="586" spans="2:29" x14ac:dyDescent="0.25"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  <c r="AC586" s="266"/>
    </row>
    <row r="587" spans="2:29" x14ac:dyDescent="0.25"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  <c r="AC587" s="266"/>
    </row>
    <row r="588" spans="2:29" x14ac:dyDescent="0.25"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  <c r="AC588" s="266"/>
    </row>
    <row r="589" spans="2:29" x14ac:dyDescent="0.25"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  <c r="AC589" s="266"/>
    </row>
    <row r="590" spans="2:29" x14ac:dyDescent="0.25"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  <c r="AC590" s="266"/>
    </row>
    <row r="591" spans="2:29" x14ac:dyDescent="0.25"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  <c r="AC591" s="266"/>
    </row>
    <row r="592" spans="2:29" x14ac:dyDescent="0.25"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  <c r="AC592" s="266"/>
    </row>
    <row r="593" spans="2:29" x14ac:dyDescent="0.25"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  <c r="AC593" s="266"/>
    </row>
    <row r="594" spans="2:29" x14ac:dyDescent="0.25"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  <c r="AC594" s="266"/>
    </row>
    <row r="595" spans="2:29" x14ac:dyDescent="0.25"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  <c r="AC595" s="266"/>
    </row>
    <row r="596" spans="2:29" x14ac:dyDescent="0.25"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  <c r="AC596" s="266"/>
    </row>
    <row r="597" spans="2:29" x14ac:dyDescent="0.25"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  <c r="AC597" s="266"/>
    </row>
    <row r="598" spans="2:29" x14ac:dyDescent="0.25"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  <c r="AC598" s="266"/>
    </row>
    <row r="599" spans="2:29" x14ac:dyDescent="0.25"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  <c r="AC599" s="266"/>
    </row>
    <row r="600" spans="2:29" x14ac:dyDescent="0.25"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  <c r="AC600" s="266"/>
    </row>
    <row r="601" spans="2:29" x14ac:dyDescent="0.25"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  <c r="AC601" s="266"/>
    </row>
    <row r="602" spans="2:29" x14ac:dyDescent="0.25"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  <c r="AC602" s="266"/>
    </row>
    <row r="603" spans="2:29" x14ac:dyDescent="0.25"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  <c r="AC603" s="266"/>
    </row>
    <row r="604" spans="2:29" x14ac:dyDescent="0.25"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  <c r="AC604" s="266"/>
    </row>
    <row r="605" spans="2:29" x14ac:dyDescent="0.25"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  <c r="AC605" s="266"/>
    </row>
    <row r="606" spans="2:29" x14ac:dyDescent="0.25"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  <c r="AC606" s="266"/>
    </row>
    <row r="607" spans="2:29" x14ac:dyDescent="0.25"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  <c r="AC607" s="266"/>
    </row>
    <row r="608" spans="2:29" x14ac:dyDescent="0.25"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</row>
    <row r="609" spans="2:29" x14ac:dyDescent="0.25"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  <c r="AC609" s="266"/>
    </row>
    <row r="610" spans="2:29" x14ac:dyDescent="0.25"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  <c r="AC610" s="266"/>
    </row>
    <row r="611" spans="2:29" x14ac:dyDescent="0.25"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  <c r="AC611" s="266"/>
    </row>
    <row r="612" spans="2:29" x14ac:dyDescent="0.25"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  <c r="AC612" s="266"/>
    </row>
    <row r="613" spans="2:29" x14ac:dyDescent="0.25"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  <c r="AC613" s="266"/>
    </row>
    <row r="614" spans="2:29" x14ac:dyDescent="0.25"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  <c r="AC614" s="266"/>
    </row>
    <row r="615" spans="2:29" x14ac:dyDescent="0.25"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  <c r="AC615" s="266"/>
    </row>
    <row r="616" spans="2:29" x14ac:dyDescent="0.25"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  <c r="AC616" s="266"/>
    </row>
    <row r="617" spans="2:29" x14ac:dyDescent="0.25"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  <c r="AC617" s="266"/>
    </row>
    <row r="618" spans="2:29" x14ac:dyDescent="0.25"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  <c r="AC618" s="266"/>
    </row>
    <row r="619" spans="2:29" x14ac:dyDescent="0.25"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  <c r="AC619" s="266"/>
    </row>
    <row r="620" spans="2:29" x14ac:dyDescent="0.25"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  <c r="AC620" s="266"/>
    </row>
    <row r="621" spans="2:29" x14ac:dyDescent="0.25"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  <c r="AC621" s="266"/>
    </row>
    <row r="622" spans="2:29" x14ac:dyDescent="0.25"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  <c r="AC622" s="266"/>
    </row>
    <row r="623" spans="2:29" x14ac:dyDescent="0.25"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  <c r="AC623" s="266"/>
    </row>
    <row r="624" spans="2:29" x14ac:dyDescent="0.25"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  <c r="AC624" s="266"/>
    </row>
    <row r="625" spans="2:29" x14ac:dyDescent="0.25"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  <c r="AC625" s="266"/>
    </row>
    <row r="626" spans="2:29" x14ac:dyDescent="0.25"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  <c r="AC626" s="266"/>
    </row>
    <row r="627" spans="2:29" x14ac:dyDescent="0.25"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  <c r="AC627" s="266"/>
    </row>
    <row r="628" spans="2:29" x14ac:dyDescent="0.25"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  <c r="AC628" s="266"/>
    </row>
    <row r="629" spans="2:29" x14ac:dyDescent="0.25"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  <c r="AC629" s="266"/>
    </row>
    <row r="630" spans="2:29" x14ac:dyDescent="0.25"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  <c r="AC630" s="266"/>
    </row>
    <row r="631" spans="2:29" x14ac:dyDescent="0.25"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  <c r="AC631" s="266"/>
    </row>
    <row r="632" spans="2:29" x14ac:dyDescent="0.25"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  <c r="AC632" s="266"/>
    </row>
    <row r="633" spans="2:29" x14ac:dyDescent="0.25"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  <c r="AC633" s="266"/>
    </row>
    <row r="634" spans="2:29" x14ac:dyDescent="0.25"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  <c r="AC634" s="266"/>
    </row>
    <row r="635" spans="2:29" x14ac:dyDescent="0.25"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  <c r="AC635" s="266"/>
    </row>
    <row r="636" spans="2:29" x14ac:dyDescent="0.25"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  <c r="AC636" s="266"/>
    </row>
    <row r="637" spans="2:29" x14ac:dyDescent="0.25"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  <c r="AC637" s="266"/>
    </row>
    <row r="638" spans="2:29" x14ac:dyDescent="0.25"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  <c r="AC638" s="266"/>
    </row>
    <row r="639" spans="2:29" x14ac:dyDescent="0.25"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  <c r="AC639" s="266"/>
    </row>
    <row r="640" spans="2:29" x14ac:dyDescent="0.25"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  <c r="AC640" s="266"/>
    </row>
    <row r="641" spans="2:29" x14ac:dyDescent="0.25"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  <c r="AC641" s="266"/>
    </row>
    <row r="642" spans="2:29" x14ac:dyDescent="0.25"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  <c r="AC642" s="266"/>
    </row>
    <row r="643" spans="2:29" x14ac:dyDescent="0.25"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</row>
    <row r="644" spans="2:29" x14ac:dyDescent="0.25"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  <c r="AC644" s="266"/>
    </row>
    <row r="645" spans="2:29" x14ac:dyDescent="0.25"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  <c r="AC645" s="266"/>
    </row>
    <row r="646" spans="2:29" x14ac:dyDescent="0.25"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  <c r="AC646" s="266"/>
    </row>
    <row r="647" spans="2:29" x14ac:dyDescent="0.25"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  <c r="AC647" s="266"/>
    </row>
    <row r="648" spans="2:29" x14ac:dyDescent="0.25"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  <c r="AC648" s="266"/>
    </row>
    <row r="649" spans="2:29" x14ac:dyDescent="0.25"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  <c r="AC649" s="266"/>
    </row>
    <row r="650" spans="2:29" x14ac:dyDescent="0.25"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  <c r="AC650" s="266"/>
    </row>
    <row r="651" spans="2:29" x14ac:dyDescent="0.25"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  <c r="AC651" s="266"/>
    </row>
    <row r="652" spans="2:29" x14ac:dyDescent="0.25"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  <c r="AC652" s="266"/>
    </row>
    <row r="653" spans="2:29" x14ac:dyDescent="0.25"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  <c r="AC653" s="266"/>
    </row>
    <row r="654" spans="2:29" x14ac:dyDescent="0.25"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  <c r="AC654" s="266"/>
    </row>
    <row r="655" spans="2:29" x14ac:dyDescent="0.25"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  <c r="AC655" s="266"/>
    </row>
    <row r="656" spans="2:29" x14ac:dyDescent="0.25"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  <c r="AC656" s="266"/>
    </row>
    <row r="657" spans="2:29" x14ac:dyDescent="0.25"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  <c r="AC657" s="266"/>
    </row>
    <row r="658" spans="2:29" x14ac:dyDescent="0.25"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  <c r="AC658" s="266"/>
    </row>
    <row r="659" spans="2:29" x14ac:dyDescent="0.25"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</row>
    <row r="660" spans="2:29" x14ac:dyDescent="0.25"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  <c r="AC660" s="266"/>
    </row>
    <row r="661" spans="2:29" x14ac:dyDescent="0.25"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  <c r="AC661" s="266"/>
    </row>
    <row r="662" spans="2:29" x14ac:dyDescent="0.25"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  <c r="AC662" s="266"/>
    </row>
    <row r="663" spans="2:29" x14ac:dyDescent="0.25"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  <c r="AC663" s="266"/>
    </row>
    <row r="664" spans="2:29" x14ac:dyDescent="0.25"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  <c r="AC664" s="266"/>
    </row>
    <row r="665" spans="2:29" x14ac:dyDescent="0.25"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  <c r="AC665" s="266"/>
    </row>
    <row r="666" spans="2:29" x14ac:dyDescent="0.25"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  <c r="AC666" s="266"/>
    </row>
    <row r="667" spans="2:29" x14ac:dyDescent="0.25"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  <c r="AC667" s="266"/>
    </row>
    <row r="668" spans="2:29" x14ac:dyDescent="0.25"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  <c r="AC668" s="266"/>
    </row>
    <row r="669" spans="2:29" x14ac:dyDescent="0.25"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  <c r="AC669" s="266"/>
    </row>
    <row r="670" spans="2:29" x14ac:dyDescent="0.25"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  <c r="AC670" s="266"/>
    </row>
    <row r="671" spans="2:29" x14ac:dyDescent="0.25"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  <c r="AC671" s="266"/>
    </row>
    <row r="672" spans="2:29" x14ac:dyDescent="0.25"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  <c r="AC672" s="266"/>
    </row>
    <row r="673" spans="2:29" x14ac:dyDescent="0.25"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  <c r="AC673" s="266"/>
    </row>
    <row r="674" spans="2:29" x14ac:dyDescent="0.25"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  <c r="AC674" s="266"/>
    </row>
    <row r="675" spans="2:29" x14ac:dyDescent="0.25"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  <c r="AC675" s="266"/>
    </row>
    <row r="676" spans="2:29" x14ac:dyDescent="0.25"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  <c r="AC676" s="266"/>
    </row>
    <row r="677" spans="2:29" x14ac:dyDescent="0.25"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  <c r="AC677" s="266"/>
    </row>
    <row r="678" spans="2:29" x14ac:dyDescent="0.25"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  <c r="AC678" s="266"/>
    </row>
    <row r="679" spans="2:29" x14ac:dyDescent="0.25"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  <c r="AC679" s="266"/>
    </row>
    <row r="680" spans="2:29" x14ac:dyDescent="0.25"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  <c r="AC680" s="266"/>
    </row>
    <row r="681" spans="2:29" x14ac:dyDescent="0.25"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  <c r="AC681" s="266"/>
    </row>
    <row r="682" spans="2:29" x14ac:dyDescent="0.25"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  <c r="AC682" s="266"/>
    </row>
    <row r="683" spans="2:29" x14ac:dyDescent="0.25"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  <c r="AC683" s="266"/>
    </row>
    <row r="684" spans="2:29" x14ac:dyDescent="0.25"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  <c r="AC684" s="266"/>
    </row>
    <row r="685" spans="2:29" x14ac:dyDescent="0.25"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  <c r="AC685" s="266"/>
    </row>
    <row r="686" spans="2:29" x14ac:dyDescent="0.25"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  <c r="AC686" s="266"/>
    </row>
    <row r="687" spans="2:29" x14ac:dyDescent="0.25"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  <c r="AC687" s="266"/>
    </row>
    <row r="688" spans="2:29" x14ac:dyDescent="0.25"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  <c r="AC688" s="266"/>
    </row>
    <row r="689" spans="2:29" x14ac:dyDescent="0.25"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  <c r="AC689" s="266"/>
    </row>
    <row r="690" spans="2:29" x14ac:dyDescent="0.25"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  <c r="AC690" s="266"/>
    </row>
    <row r="691" spans="2:29" x14ac:dyDescent="0.25"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  <c r="AC691" s="266"/>
    </row>
    <row r="692" spans="2:29" x14ac:dyDescent="0.25"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  <c r="AC692" s="266"/>
    </row>
    <row r="693" spans="2:29" x14ac:dyDescent="0.25"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  <c r="AC693" s="266"/>
    </row>
    <row r="694" spans="2:29" x14ac:dyDescent="0.25"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  <c r="AC694" s="266"/>
    </row>
    <row r="695" spans="2:29" x14ac:dyDescent="0.25"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  <c r="AC695" s="266"/>
    </row>
    <row r="696" spans="2:29" x14ac:dyDescent="0.25"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  <c r="AC696" s="266"/>
    </row>
    <row r="697" spans="2:29" x14ac:dyDescent="0.25"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  <c r="AC697" s="266"/>
    </row>
    <row r="698" spans="2:29" x14ac:dyDescent="0.25"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  <c r="AC698" s="266"/>
    </row>
    <row r="699" spans="2:29" x14ac:dyDescent="0.25"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  <c r="AC699" s="266"/>
    </row>
    <row r="700" spans="2:29" x14ac:dyDescent="0.25"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  <c r="AC700" s="266"/>
    </row>
    <row r="701" spans="2:29" x14ac:dyDescent="0.25"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  <c r="AC701" s="266"/>
    </row>
    <row r="702" spans="2:29" x14ac:dyDescent="0.25"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  <c r="AC702" s="266"/>
    </row>
    <row r="703" spans="2:29" x14ac:dyDescent="0.25"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  <c r="AC703" s="266"/>
    </row>
    <row r="704" spans="2:29" x14ac:dyDescent="0.25"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  <c r="AC704" s="266"/>
    </row>
    <row r="705" spans="2:29" x14ac:dyDescent="0.25"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  <c r="AC705" s="266"/>
    </row>
    <row r="706" spans="2:29" x14ac:dyDescent="0.25"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  <c r="AC706" s="266"/>
    </row>
    <row r="707" spans="2:29" x14ac:dyDescent="0.25"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  <c r="AC707" s="266"/>
    </row>
    <row r="708" spans="2:29" x14ac:dyDescent="0.25"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  <c r="AC708" s="266"/>
    </row>
    <row r="709" spans="2:29" x14ac:dyDescent="0.25"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  <c r="AC709" s="266"/>
    </row>
    <row r="710" spans="2:29" x14ac:dyDescent="0.25"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  <c r="AC710" s="266"/>
    </row>
    <row r="711" spans="2:29" x14ac:dyDescent="0.25"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  <c r="AC711" s="266"/>
    </row>
    <row r="712" spans="2:29" x14ac:dyDescent="0.25"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  <c r="AC712" s="266"/>
    </row>
    <row r="713" spans="2:29" x14ac:dyDescent="0.25"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  <c r="AC713" s="266"/>
    </row>
    <row r="714" spans="2:29" x14ac:dyDescent="0.25"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  <c r="AC714" s="266"/>
    </row>
    <row r="715" spans="2:29" x14ac:dyDescent="0.25"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  <c r="AC715" s="266"/>
    </row>
    <row r="716" spans="2:29" x14ac:dyDescent="0.25"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  <c r="AC716" s="266"/>
    </row>
    <row r="717" spans="2:29" x14ac:dyDescent="0.25"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  <c r="AC717" s="266"/>
    </row>
    <row r="718" spans="2:29" x14ac:dyDescent="0.25"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  <c r="AC718" s="266"/>
    </row>
    <row r="719" spans="2:29" x14ac:dyDescent="0.25"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  <c r="AC719" s="266"/>
    </row>
    <row r="720" spans="2:29" x14ac:dyDescent="0.25"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  <c r="AC720" s="266"/>
    </row>
    <row r="721" spans="2:29" x14ac:dyDescent="0.25"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  <c r="AC721" s="266"/>
    </row>
    <row r="722" spans="2:29" x14ac:dyDescent="0.25"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  <c r="AC722" s="266"/>
    </row>
    <row r="723" spans="2:29" x14ac:dyDescent="0.25"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  <c r="AC723" s="266"/>
    </row>
    <row r="724" spans="2:29" x14ac:dyDescent="0.25"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  <c r="AC724" s="266"/>
    </row>
    <row r="725" spans="2:29" x14ac:dyDescent="0.25"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  <c r="AC725" s="266"/>
    </row>
    <row r="726" spans="2:29" x14ac:dyDescent="0.25"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  <c r="AC726" s="266"/>
    </row>
    <row r="727" spans="2:29" x14ac:dyDescent="0.25"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  <c r="AC727" s="266"/>
    </row>
    <row r="728" spans="2:29" x14ac:dyDescent="0.25"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  <c r="AC728" s="266"/>
    </row>
    <row r="729" spans="2:29" x14ac:dyDescent="0.25"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  <c r="AC729" s="266"/>
    </row>
    <row r="730" spans="2:29" x14ac:dyDescent="0.25"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  <c r="AC730" s="266"/>
    </row>
    <row r="731" spans="2:29" x14ac:dyDescent="0.25"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  <c r="AC731" s="266"/>
    </row>
    <row r="732" spans="2:29" x14ac:dyDescent="0.25"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  <c r="AC732" s="266"/>
    </row>
    <row r="733" spans="2:29" x14ac:dyDescent="0.25"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  <c r="AC733" s="266"/>
    </row>
    <row r="734" spans="2:29" x14ac:dyDescent="0.25"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  <c r="AC734" s="266"/>
    </row>
    <row r="735" spans="2:29" x14ac:dyDescent="0.25"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  <c r="AC735" s="266"/>
    </row>
    <row r="736" spans="2:29" x14ac:dyDescent="0.25"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  <c r="AC736" s="266"/>
    </row>
    <row r="737" spans="2:29" x14ac:dyDescent="0.25"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  <c r="AC737" s="266"/>
    </row>
    <row r="738" spans="2:29" x14ac:dyDescent="0.25"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  <c r="AC738" s="266"/>
    </row>
    <row r="739" spans="2:29" x14ac:dyDescent="0.25"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  <c r="AC739" s="266"/>
    </row>
    <row r="740" spans="2:29" x14ac:dyDescent="0.25"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  <c r="AC740" s="266"/>
    </row>
    <row r="741" spans="2:29" x14ac:dyDescent="0.25"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  <c r="AC741" s="266"/>
    </row>
    <row r="742" spans="2:29" x14ac:dyDescent="0.25"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  <c r="AC742" s="266"/>
    </row>
    <row r="743" spans="2:29" x14ac:dyDescent="0.25"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  <c r="AC743" s="266"/>
    </row>
    <row r="744" spans="2:29" x14ac:dyDescent="0.25"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  <c r="AC744" s="266"/>
    </row>
    <row r="745" spans="2:29" x14ac:dyDescent="0.25"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  <c r="AC745" s="266"/>
    </row>
    <row r="746" spans="2:29" x14ac:dyDescent="0.25"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  <c r="AC746" s="266"/>
    </row>
    <row r="747" spans="2:29" x14ac:dyDescent="0.25"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  <c r="AC747" s="266"/>
    </row>
    <row r="748" spans="2:29" x14ac:dyDescent="0.25"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  <c r="AC748" s="266"/>
    </row>
    <row r="749" spans="2:29" x14ac:dyDescent="0.25"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  <c r="AC749" s="266"/>
    </row>
    <row r="750" spans="2:29" x14ac:dyDescent="0.25"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  <c r="AC750" s="266"/>
    </row>
    <row r="751" spans="2:29" x14ac:dyDescent="0.25"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  <c r="AC751" s="266"/>
    </row>
    <row r="752" spans="2:29" x14ac:dyDescent="0.25"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  <c r="AC752" s="266"/>
    </row>
    <row r="753" spans="2:29" x14ac:dyDescent="0.25"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  <c r="AC753" s="266"/>
    </row>
    <row r="754" spans="2:29" x14ac:dyDescent="0.25"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  <c r="AC754" s="266"/>
    </row>
    <row r="755" spans="2:29" x14ac:dyDescent="0.25"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  <c r="AC755" s="266"/>
    </row>
    <row r="756" spans="2:29" x14ac:dyDescent="0.25"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  <c r="AC756" s="266"/>
    </row>
    <row r="757" spans="2:29" x14ac:dyDescent="0.25"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  <c r="AC757" s="266"/>
    </row>
    <row r="758" spans="2:29" x14ac:dyDescent="0.25"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  <c r="AC758" s="266"/>
    </row>
    <row r="759" spans="2:29" x14ac:dyDescent="0.25"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  <c r="AC759" s="266"/>
    </row>
    <row r="760" spans="2:29" x14ac:dyDescent="0.25"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  <c r="AC760" s="266"/>
    </row>
    <row r="761" spans="2:29" x14ac:dyDescent="0.25"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  <c r="AC761" s="266"/>
    </row>
    <row r="762" spans="2:29" x14ac:dyDescent="0.25"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  <c r="AC762" s="266"/>
    </row>
    <row r="763" spans="2:29" x14ac:dyDescent="0.25"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  <c r="AC763" s="266"/>
    </row>
    <row r="764" spans="2:29" x14ac:dyDescent="0.25"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  <c r="AC764" s="266"/>
    </row>
    <row r="765" spans="2:29" x14ac:dyDescent="0.25"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  <c r="AC765" s="266"/>
    </row>
    <row r="766" spans="2:29" x14ac:dyDescent="0.25"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  <c r="AC766" s="266"/>
    </row>
    <row r="767" spans="2:29" x14ac:dyDescent="0.25"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  <c r="AC767" s="266"/>
    </row>
    <row r="768" spans="2:29" x14ac:dyDescent="0.25"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  <c r="AC768" s="266"/>
    </row>
    <row r="769" spans="2:29" x14ac:dyDescent="0.25"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  <c r="AC769" s="266"/>
    </row>
    <row r="770" spans="2:29" x14ac:dyDescent="0.25"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  <c r="AC770" s="266"/>
    </row>
    <row r="771" spans="2:29" x14ac:dyDescent="0.25"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  <c r="AC771" s="266"/>
    </row>
    <row r="772" spans="2:29" x14ac:dyDescent="0.25"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  <c r="AC772" s="266"/>
    </row>
    <row r="773" spans="2:29" x14ac:dyDescent="0.25"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  <c r="AC773" s="266"/>
    </row>
    <row r="774" spans="2:29" x14ac:dyDescent="0.25"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  <c r="AC774" s="266"/>
    </row>
    <row r="775" spans="2:29" x14ac:dyDescent="0.25"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  <c r="AC775" s="266"/>
    </row>
    <row r="776" spans="2:29" x14ac:dyDescent="0.25"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  <c r="AC776" s="266"/>
    </row>
    <row r="777" spans="2:29" x14ac:dyDescent="0.25"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  <c r="AC777" s="266"/>
    </row>
    <row r="778" spans="2:29" x14ac:dyDescent="0.25"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  <c r="AC778" s="266"/>
    </row>
    <row r="779" spans="2:29" x14ac:dyDescent="0.25"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  <c r="AC779" s="266"/>
    </row>
    <row r="780" spans="2:29" x14ac:dyDescent="0.25"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  <c r="AC780" s="266"/>
    </row>
    <row r="781" spans="2:29" x14ac:dyDescent="0.25"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  <c r="AC781" s="266"/>
    </row>
    <row r="782" spans="2:29" x14ac:dyDescent="0.25"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  <c r="AC782" s="266"/>
    </row>
    <row r="783" spans="2:29" x14ac:dyDescent="0.25"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  <c r="AC783" s="266"/>
    </row>
    <row r="784" spans="2:29" x14ac:dyDescent="0.25"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  <c r="AC784" s="266"/>
    </row>
    <row r="785" spans="2:29" x14ac:dyDescent="0.25"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  <c r="AC785" s="266"/>
    </row>
    <row r="786" spans="2:29" x14ac:dyDescent="0.25"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</row>
    <row r="787" spans="2:29" x14ac:dyDescent="0.25"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  <c r="AC787" s="266"/>
    </row>
    <row r="788" spans="2:29" x14ac:dyDescent="0.25"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  <c r="AC788" s="266"/>
    </row>
    <row r="789" spans="2:29" x14ac:dyDescent="0.25"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  <c r="AC789" s="266"/>
    </row>
    <row r="790" spans="2:29" x14ac:dyDescent="0.25"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  <c r="AC790" s="266"/>
    </row>
    <row r="791" spans="2:29" x14ac:dyDescent="0.25"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  <c r="AC791" s="266"/>
    </row>
    <row r="792" spans="2:29" x14ac:dyDescent="0.25"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  <c r="AC792" s="266"/>
    </row>
    <row r="793" spans="2:29" x14ac:dyDescent="0.25"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  <c r="AC793" s="266"/>
    </row>
    <row r="794" spans="2:29" x14ac:dyDescent="0.25"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  <c r="AC794" s="266"/>
    </row>
    <row r="795" spans="2:29" x14ac:dyDescent="0.25"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  <c r="AC795" s="266"/>
    </row>
    <row r="796" spans="2:29" x14ac:dyDescent="0.25"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  <c r="AC796" s="266"/>
    </row>
    <row r="797" spans="2:29" x14ac:dyDescent="0.25"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  <c r="AC797" s="266"/>
    </row>
    <row r="798" spans="2:29" x14ac:dyDescent="0.25"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  <c r="AC798" s="266"/>
    </row>
    <row r="799" spans="2:29" x14ac:dyDescent="0.25"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  <c r="AC799" s="266"/>
    </row>
    <row r="800" spans="2:29" x14ac:dyDescent="0.25"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  <c r="AC800" s="266"/>
    </row>
    <row r="801" spans="2:29" x14ac:dyDescent="0.25"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  <c r="AC801" s="266"/>
    </row>
    <row r="802" spans="2:29" x14ac:dyDescent="0.25"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  <c r="AC802" s="266"/>
    </row>
    <row r="803" spans="2:29" x14ac:dyDescent="0.25"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  <c r="AC803" s="266"/>
    </row>
    <row r="804" spans="2:29" x14ac:dyDescent="0.25"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  <c r="AC804" s="266"/>
    </row>
    <row r="805" spans="2:29" x14ac:dyDescent="0.25"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  <c r="AC805" s="266"/>
    </row>
    <row r="806" spans="2:29" x14ac:dyDescent="0.25"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  <c r="AC806" s="266"/>
    </row>
    <row r="807" spans="2:29" x14ac:dyDescent="0.25"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  <c r="AC807" s="266"/>
    </row>
    <row r="808" spans="2:29" x14ac:dyDescent="0.25"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  <c r="AC808" s="266"/>
    </row>
    <row r="809" spans="2:29" x14ac:dyDescent="0.25"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  <c r="AC809" s="266"/>
    </row>
    <row r="810" spans="2:29" x14ac:dyDescent="0.25"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  <c r="AC810" s="266"/>
    </row>
    <row r="811" spans="2:29" x14ac:dyDescent="0.25"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  <c r="AC811" s="266"/>
    </row>
    <row r="812" spans="2:29" x14ac:dyDescent="0.25"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  <c r="AC812" s="266"/>
    </row>
    <row r="813" spans="2:29" x14ac:dyDescent="0.25"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  <c r="AC813" s="266"/>
    </row>
    <row r="814" spans="2:29" x14ac:dyDescent="0.25"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  <c r="AC814" s="266"/>
    </row>
    <row r="815" spans="2:29" x14ac:dyDescent="0.25"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  <c r="AC815" s="266"/>
    </row>
    <row r="816" spans="2:29" x14ac:dyDescent="0.25"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  <c r="AC816" s="266"/>
    </row>
    <row r="817" spans="2:29" x14ac:dyDescent="0.25"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  <c r="AC817" s="266"/>
    </row>
    <row r="818" spans="2:29" x14ac:dyDescent="0.25"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  <c r="AC818" s="266"/>
    </row>
    <row r="819" spans="2:29" x14ac:dyDescent="0.25"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  <c r="AC819" s="266"/>
    </row>
    <row r="820" spans="2:29" x14ac:dyDescent="0.25"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  <c r="AC820" s="266"/>
    </row>
    <row r="821" spans="2:29" x14ac:dyDescent="0.25"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  <c r="AC821" s="266"/>
    </row>
    <row r="822" spans="2:29" x14ac:dyDescent="0.25"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  <c r="AC822" s="266"/>
    </row>
    <row r="823" spans="2:29" x14ac:dyDescent="0.25"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  <c r="AC823" s="266"/>
    </row>
    <row r="824" spans="2:29" x14ac:dyDescent="0.25"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  <c r="AC824" s="266"/>
    </row>
    <row r="825" spans="2:29" x14ac:dyDescent="0.25"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  <c r="AC825" s="266"/>
    </row>
    <row r="826" spans="2:29" x14ac:dyDescent="0.25"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  <c r="AC826" s="266"/>
    </row>
    <row r="827" spans="2:29" x14ac:dyDescent="0.25"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  <c r="AC827" s="266"/>
    </row>
    <row r="828" spans="2:29" x14ac:dyDescent="0.25"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  <c r="AC828" s="266"/>
    </row>
    <row r="829" spans="2:29" x14ac:dyDescent="0.25"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  <c r="AC829" s="266"/>
    </row>
    <row r="830" spans="2:29" x14ac:dyDescent="0.25"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  <c r="AC830" s="266"/>
    </row>
    <row r="831" spans="2:29" x14ac:dyDescent="0.25"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  <c r="AC831" s="266"/>
    </row>
    <row r="832" spans="2:29" x14ac:dyDescent="0.25"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  <c r="AC832" s="266"/>
    </row>
    <row r="833" spans="2:29" x14ac:dyDescent="0.25"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  <c r="AC833" s="266"/>
    </row>
    <row r="834" spans="2:29" x14ac:dyDescent="0.25"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  <c r="AC834" s="266"/>
    </row>
    <row r="835" spans="2:29" x14ac:dyDescent="0.25"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  <c r="AC835" s="266"/>
    </row>
    <row r="836" spans="2:29" x14ac:dyDescent="0.25"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  <c r="AC836" s="266"/>
    </row>
    <row r="837" spans="2:29" x14ac:dyDescent="0.25"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  <c r="AC837" s="266"/>
    </row>
    <row r="838" spans="2:29" x14ac:dyDescent="0.25"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  <c r="AC838" s="266"/>
    </row>
    <row r="839" spans="2:29" x14ac:dyDescent="0.25"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  <c r="AC839" s="266"/>
    </row>
    <row r="840" spans="2:29" x14ac:dyDescent="0.25"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  <c r="AC840" s="266"/>
    </row>
    <row r="841" spans="2:29" x14ac:dyDescent="0.25"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  <c r="AC841" s="266"/>
    </row>
    <row r="842" spans="2:29" x14ac:dyDescent="0.25"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  <c r="AC842" s="266"/>
    </row>
    <row r="843" spans="2:29" x14ac:dyDescent="0.25"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  <c r="AC843" s="266"/>
    </row>
    <row r="844" spans="2:29" x14ac:dyDescent="0.25"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  <c r="AC844" s="266"/>
    </row>
    <row r="845" spans="2:29" x14ac:dyDescent="0.25"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  <c r="AC845" s="266"/>
    </row>
    <row r="846" spans="2:29" x14ac:dyDescent="0.25"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  <c r="AC846" s="266"/>
    </row>
    <row r="847" spans="2:29" x14ac:dyDescent="0.25"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  <c r="AC847" s="266"/>
    </row>
    <row r="848" spans="2:29" x14ac:dyDescent="0.25"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  <c r="AC848" s="266"/>
    </row>
    <row r="849" spans="2:29" x14ac:dyDescent="0.25"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  <c r="AC849" s="266"/>
    </row>
    <row r="850" spans="2:29" x14ac:dyDescent="0.25"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  <c r="AC850" s="266"/>
    </row>
    <row r="851" spans="2:29" x14ac:dyDescent="0.25"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  <c r="AC851" s="266"/>
    </row>
    <row r="852" spans="2:29" x14ac:dyDescent="0.25"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  <c r="AC852" s="266"/>
    </row>
    <row r="853" spans="2:29" x14ac:dyDescent="0.25"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  <c r="AC853" s="266"/>
    </row>
    <row r="854" spans="2:29" x14ac:dyDescent="0.25"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  <c r="AC854" s="266"/>
    </row>
    <row r="855" spans="2:29" x14ac:dyDescent="0.25"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  <c r="AC855" s="266"/>
    </row>
    <row r="856" spans="2:29" x14ac:dyDescent="0.25"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  <c r="AC856" s="266"/>
    </row>
    <row r="857" spans="2:29" x14ac:dyDescent="0.25"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  <c r="AC857" s="266"/>
    </row>
    <row r="858" spans="2:29" x14ac:dyDescent="0.25"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  <c r="AC858" s="266"/>
    </row>
    <row r="859" spans="2:29" x14ac:dyDescent="0.25"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  <c r="AC859" s="266"/>
    </row>
    <row r="860" spans="2:29" x14ac:dyDescent="0.25"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  <c r="AC860" s="266"/>
    </row>
    <row r="861" spans="2:29" x14ac:dyDescent="0.25"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  <c r="AC861" s="266"/>
    </row>
    <row r="862" spans="2:29" x14ac:dyDescent="0.25"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  <c r="AC862" s="266"/>
    </row>
    <row r="863" spans="2:29" x14ac:dyDescent="0.25"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  <c r="AC863" s="266"/>
    </row>
    <row r="864" spans="2:29" x14ac:dyDescent="0.25"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  <c r="AC864" s="266"/>
    </row>
    <row r="865" spans="2:29" x14ac:dyDescent="0.25"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  <c r="AC865" s="266"/>
    </row>
    <row r="866" spans="2:29" x14ac:dyDescent="0.25"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  <c r="AC866" s="266"/>
    </row>
    <row r="867" spans="2:29" x14ac:dyDescent="0.25"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  <c r="AC867" s="266"/>
    </row>
    <row r="868" spans="2:29" x14ac:dyDescent="0.25"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  <c r="AC868" s="266"/>
    </row>
    <row r="869" spans="2:29" x14ac:dyDescent="0.25"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  <c r="AC869" s="266"/>
    </row>
    <row r="870" spans="2:29" x14ac:dyDescent="0.25"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  <c r="AC870" s="266"/>
    </row>
    <row r="871" spans="2:29" x14ac:dyDescent="0.25"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  <c r="AC871" s="266"/>
    </row>
    <row r="872" spans="2:29" x14ac:dyDescent="0.25"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  <c r="AC872" s="266"/>
    </row>
    <row r="873" spans="2:29" x14ac:dyDescent="0.25"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  <c r="AC873" s="266"/>
    </row>
    <row r="874" spans="2:29" x14ac:dyDescent="0.25"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  <c r="AC874" s="266"/>
    </row>
    <row r="875" spans="2:29" x14ac:dyDescent="0.25"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  <c r="AC875" s="266"/>
    </row>
    <row r="876" spans="2:29" x14ac:dyDescent="0.25"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  <c r="AC876" s="266"/>
    </row>
    <row r="877" spans="2:29" x14ac:dyDescent="0.25"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  <c r="AC877" s="266"/>
    </row>
    <row r="878" spans="2:29" x14ac:dyDescent="0.25"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  <c r="AC878" s="266"/>
    </row>
    <row r="879" spans="2:29" x14ac:dyDescent="0.25"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  <c r="AC879" s="266"/>
    </row>
    <row r="880" spans="2:29" x14ac:dyDescent="0.25"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  <c r="AC880" s="266"/>
    </row>
    <row r="881" spans="2:29" x14ac:dyDescent="0.25"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  <c r="AC881" s="266"/>
    </row>
    <row r="882" spans="2:29" x14ac:dyDescent="0.25"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  <c r="AC882" s="266"/>
    </row>
    <row r="883" spans="2:29" x14ac:dyDescent="0.25"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  <c r="AB883" s="266"/>
      <c r="AC883" s="266"/>
    </row>
    <row r="884" spans="2:29" x14ac:dyDescent="0.25"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  <c r="AB884" s="266"/>
      <c r="AC884" s="266"/>
    </row>
    <row r="885" spans="2:29" x14ac:dyDescent="0.25"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  <c r="AB885" s="266"/>
      <c r="AC885" s="266"/>
    </row>
    <row r="886" spans="2:29" x14ac:dyDescent="0.25"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  <c r="AC886" s="266"/>
    </row>
    <row r="887" spans="2:29" x14ac:dyDescent="0.25"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  <c r="AC887" s="266"/>
    </row>
    <row r="888" spans="2:29" x14ac:dyDescent="0.25"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  <c r="AC888" s="266"/>
    </row>
    <row r="889" spans="2:29" x14ac:dyDescent="0.25"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  <c r="AB889" s="266"/>
      <c r="AC889" s="266"/>
    </row>
    <row r="890" spans="2:29" x14ac:dyDescent="0.25"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  <c r="AB890" s="266"/>
      <c r="AC890" s="266"/>
    </row>
    <row r="891" spans="2:29" x14ac:dyDescent="0.25"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  <c r="AB891" s="266"/>
      <c r="AC891" s="266"/>
    </row>
    <row r="892" spans="2:29" x14ac:dyDescent="0.25"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  <c r="AC892" s="266"/>
    </row>
    <row r="893" spans="2:29" x14ac:dyDescent="0.25"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  <c r="AC893" s="266"/>
    </row>
    <row r="894" spans="2:29" x14ac:dyDescent="0.25"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  <c r="AB894" s="266"/>
      <c r="AC894" s="266"/>
    </row>
    <row r="895" spans="2:29" x14ac:dyDescent="0.25"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  <c r="AC895" s="266"/>
    </row>
    <row r="896" spans="2:29" x14ac:dyDescent="0.25"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  <c r="AB896" s="266"/>
      <c r="AC896" s="266"/>
    </row>
    <row r="897" spans="2:29" x14ac:dyDescent="0.25"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  <c r="AC897" s="266"/>
    </row>
    <row r="898" spans="2:29" x14ac:dyDescent="0.25"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  <c r="AC898" s="266"/>
    </row>
    <row r="899" spans="2:29" x14ac:dyDescent="0.25"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  <c r="AB899" s="266"/>
      <c r="AC899" s="266"/>
    </row>
    <row r="900" spans="2:29" x14ac:dyDescent="0.25"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  <c r="AB900" s="266"/>
      <c r="AC900" s="266"/>
    </row>
    <row r="901" spans="2:29" x14ac:dyDescent="0.25"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  <c r="AB901" s="266"/>
      <c r="AC901" s="266"/>
    </row>
    <row r="902" spans="2:29" x14ac:dyDescent="0.25"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  <c r="AB902" s="266"/>
      <c r="AC902" s="266"/>
    </row>
    <row r="903" spans="2:29" x14ac:dyDescent="0.25"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  <c r="AB903" s="266"/>
      <c r="AC903" s="266"/>
    </row>
    <row r="904" spans="2:29" x14ac:dyDescent="0.25"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  <c r="AB904" s="266"/>
      <c r="AC904" s="266"/>
    </row>
    <row r="905" spans="2:29" x14ac:dyDescent="0.25"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  <c r="AC905" s="266"/>
    </row>
    <row r="906" spans="2:29" x14ac:dyDescent="0.25"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  <c r="AB906" s="266"/>
      <c r="AC906" s="266"/>
    </row>
    <row r="907" spans="2:29" x14ac:dyDescent="0.25"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  <c r="AB907" s="266"/>
      <c r="AC907" s="266"/>
    </row>
    <row r="908" spans="2:29" x14ac:dyDescent="0.25"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  <c r="AC908" s="266"/>
    </row>
    <row r="909" spans="2:29" x14ac:dyDescent="0.25"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  <c r="AB909" s="266"/>
      <c r="AC909" s="266"/>
    </row>
    <row r="910" spans="2:29" x14ac:dyDescent="0.25"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  <c r="AB910" s="266"/>
      <c r="AC910" s="266"/>
    </row>
    <row r="911" spans="2:29" x14ac:dyDescent="0.25"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  <c r="AC911" s="266"/>
    </row>
    <row r="912" spans="2:29" x14ac:dyDescent="0.25"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  <c r="AB912" s="266"/>
      <c r="AC912" s="266"/>
    </row>
    <row r="913" spans="2:29" x14ac:dyDescent="0.25"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  <c r="AB913" s="266"/>
      <c r="AC913" s="266"/>
    </row>
    <row r="914" spans="2:29" x14ac:dyDescent="0.25"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  <c r="AB914" s="266"/>
      <c r="AC914" s="266"/>
    </row>
    <row r="915" spans="2:29" x14ac:dyDescent="0.25"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  <c r="AB915" s="266"/>
      <c r="AC915" s="266"/>
    </row>
    <row r="916" spans="2:29" x14ac:dyDescent="0.25"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  <c r="AB916" s="266"/>
      <c r="AC916" s="266"/>
    </row>
    <row r="917" spans="2:29" x14ac:dyDescent="0.25"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  <c r="AB917" s="266"/>
      <c r="AC917" s="266"/>
    </row>
    <row r="918" spans="2:29" x14ac:dyDescent="0.25"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  <c r="AC918" s="266"/>
    </row>
    <row r="919" spans="2:29" x14ac:dyDescent="0.25"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  <c r="AB919" s="266"/>
      <c r="AC919" s="266"/>
    </row>
    <row r="920" spans="2:29" x14ac:dyDescent="0.25"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  <c r="AB920" s="266"/>
      <c r="AC920" s="266"/>
    </row>
    <row r="921" spans="2:29" x14ac:dyDescent="0.25"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  <c r="AB921" s="266"/>
      <c r="AC921" s="266"/>
    </row>
    <row r="922" spans="2:29" x14ac:dyDescent="0.25"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  <c r="AB922" s="266"/>
      <c r="AC922" s="266"/>
    </row>
    <row r="923" spans="2:29" x14ac:dyDescent="0.25"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  <c r="AB923" s="266"/>
      <c r="AC923" s="266"/>
    </row>
    <row r="924" spans="2:29" x14ac:dyDescent="0.25"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  <c r="AB924" s="266"/>
      <c r="AC924" s="266"/>
    </row>
    <row r="925" spans="2:29" x14ac:dyDescent="0.25"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  <c r="AB925" s="266"/>
      <c r="AC925" s="266"/>
    </row>
    <row r="926" spans="2:29" x14ac:dyDescent="0.25"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  <c r="AC926" s="266"/>
    </row>
    <row r="927" spans="2:29" x14ac:dyDescent="0.25"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  <c r="AB927" s="266"/>
      <c r="AC927" s="266"/>
    </row>
    <row r="928" spans="2:29" x14ac:dyDescent="0.25"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  <c r="AC928" s="266"/>
    </row>
    <row r="929" spans="2:29" x14ac:dyDescent="0.25"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  <c r="AB929" s="266"/>
      <c r="AC929" s="266"/>
    </row>
    <row r="930" spans="2:29" x14ac:dyDescent="0.25"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  <c r="AB930" s="266"/>
      <c r="AC930" s="266"/>
    </row>
    <row r="931" spans="2:29" x14ac:dyDescent="0.25"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  <c r="AC931" s="266"/>
    </row>
    <row r="932" spans="2:29" x14ac:dyDescent="0.25"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  <c r="AB932" s="266"/>
      <c r="AC932" s="266"/>
    </row>
    <row r="933" spans="2:29" x14ac:dyDescent="0.25"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  <c r="AB933" s="266"/>
      <c r="AC933" s="266"/>
    </row>
    <row r="934" spans="2:29" x14ac:dyDescent="0.25"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  <c r="AB934" s="266"/>
      <c r="AC934" s="266"/>
    </row>
    <row r="935" spans="2:29" x14ac:dyDescent="0.25"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  <c r="AB935" s="266"/>
      <c r="AC935" s="266"/>
    </row>
    <row r="936" spans="2:29" x14ac:dyDescent="0.25"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  <c r="AB936" s="266"/>
      <c r="AC936" s="266"/>
    </row>
    <row r="937" spans="2:29" x14ac:dyDescent="0.25"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  <c r="AC937" s="266"/>
    </row>
    <row r="938" spans="2:29" x14ac:dyDescent="0.25"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  <c r="AB938" s="266"/>
      <c r="AC938" s="266"/>
    </row>
    <row r="939" spans="2:29" x14ac:dyDescent="0.25"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  <c r="AB939" s="266"/>
      <c r="AC939" s="266"/>
    </row>
    <row r="940" spans="2:29" x14ac:dyDescent="0.25"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  <c r="AB940" s="266"/>
      <c r="AC940" s="266"/>
    </row>
    <row r="941" spans="2:29" x14ac:dyDescent="0.25"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  <c r="AB941" s="266"/>
      <c r="AC941" s="266"/>
    </row>
    <row r="942" spans="2:29" x14ac:dyDescent="0.25"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  <c r="AB942" s="266"/>
      <c r="AC942" s="266"/>
    </row>
    <row r="943" spans="2:29" x14ac:dyDescent="0.25"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  <c r="AB943" s="266"/>
      <c r="AC943" s="266"/>
    </row>
    <row r="944" spans="2:29" x14ac:dyDescent="0.25"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  <c r="AB944" s="266"/>
      <c r="AC944" s="266"/>
    </row>
    <row r="945" spans="2:29" x14ac:dyDescent="0.25"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  <c r="AB945" s="266"/>
      <c r="AC945" s="266"/>
    </row>
    <row r="946" spans="2:29" x14ac:dyDescent="0.25"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  <c r="AC946" s="266"/>
    </row>
    <row r="947" spans="2:29" x14ac:dyDescent="0.25"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  <c r="AB947" s="266"/>
      <c r="AC947" s="266"/>
    </row>
    <row r="948" spans="2:29" x14ac:dyDescent="0.25"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  <c r="AB948" s="266"/>
      <c r="AC948" s="266"/>
    </row>
    <row r="949" spans="2:29" x14ac:dyDescent="0.25"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  <c r="AB949" s="266"/>
      <c r="AC949" s="266"/>
    </row>
    <row r="950" spans="2:29" x14ac:dyDescent="0.25"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  <c r="AB950" s="266"/>
      <c r="AC950" s="266"/>
    </row>
    <row r="951" spans="2:29" x14ac:dyDescent="0.25"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  <c r="AB951" s="266"/>
      <c r="AC951" s="266"/>
    </row>
    <row r="952" spans="2:29" x14ac:dyDescent="0.25"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  <c r="AC952" s="266"/>
    </row>
    <row r="953" spans="2:29" x14ac:dyDescent="0.25"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  <c r="AB953" s="266"/>
      <c r="AC953" s="266"/>
    </row>
    <row r="954" spans="2:29" x14ac:dyDescent="0.25"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  <c r="AC954" s="266"/>
    </row>
    <row r="955" spans="2:29" x14ac:dyDescent="0.25"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  <c r="AC955" s="266"/>
    </row>
    <row r="956" spans="2:29" x14ac:dyDescent="0.25"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  <c r="AB956" s="266"/>
      <c r="AC956" s="266"/>
    </row>
    <row r="957" spans="2:29" x14ac:dyDescent="0.25"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  <c r="AC957" s="266"/>
    </row>
    <row r="958" spans="2:29" x14ac:dyDescent="0.25"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  <c r="AB958" s="266"/>
      <c r="AC958" s="266"/>
    </row>
    <row r="959" spans="2:29" x14ac:dyDescent="0.25"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  <c r="AC959" s="266"/>
    </row>
    <row r="960" spans="2:29" x14ac:dyDescent="0.25"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  <c r="AB960" s="266"/>
      <c r="AC960" s="266"/>
    </row>
    <row r="961" spans="2:29" x14ac:dyDescent="0.25"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  <c r="AB961" s="266"/>
      <c r="AC961" s="266"/>
    </row>
    <row r="962" spans="2:29" x14ac:dyDescent="0.25"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  <c r="AB962" s="266"/>
      <c r="AC962" s="266"/>
    </row>
    <row r="963" spans="2:29" x14ac:dyDescent="0.25"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  <c r="AC963" s="266"/>
    </row>
    <row r="964" spans="2:29" x14ac:dyDescent="0.25"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  <c r="AC964" s="266"/>
    </row>
    <row r="965" spans="2:29" x14ac:dyDescent="0.25"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  <c r="AB965" s="266"/>
      <c r="AC965" s="266"/>
    </row>
    <row r="966" spans="2:29" x14ac:dyDescent="0.25"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  <c r="AC966" s="266"/>
    </row>
    <row r="967" spans="2:29" x14ac:dyDescent="0.25"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  <c r="AB967" s="266"/>
      <c r="AC967" s="266"/>
    </row>
    <row r="968" spans="2:29" x14ac:dyDescent="0.25"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  <c r="AB968" s="266"/>
      <c r="AC968" s="266"/>
    </row>
    <row r="969" spans="2:29" x14ac:dyDescent="0.25"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</row>
    <row r="970" spans="2:29" x14ac:dyDescent="0.25"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</row>
    <row r="971" spans="2:29" x14ac:dyDescent="0.25"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</row>
    <row r="972" spans="2:29" x14ac:dyDescent="0.25"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</row>
    <row r="973" spans="2:29" x14ac:dyDescent="0.25"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</row>
    <row r="974" spans="2:29" x14ac:dyDescent="0.25"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</row>
    <row r="975" spans="2:29" x14ac:dyDescent="0.25"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</row>
    <row r="976" spans="2:29" x14ac:dyDescent="0.25"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</row>
    <row r="977" spans="2:29" x14ac:dyDescent="0.25"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</row>
    <row r="978" spans="2:29" x14ac:dyDescent="0.25"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</row>
    <row r="979" spans="2:29" x14ac:dyDescent="0.25"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</row>
    <row r="980" spans="2:29" x14ac:dyDescent="0.25"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</row>
    <row r="981" spans="2:29" x14ac:dyDescent="0.25"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</row>
    <row r="982" spans="2:29" x14ac:dyDescent="0.25"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</row>
    <row r="983" spans="2:29" x14ac:dyDescent="0.25"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</row>
    <row r="984" spans="2:29" x14ac:dyDescent="0.25"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</row>
    <row r="985" spans="2:29" x14ac:dyDescent="0.25"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</row>
    <row r="986" spans="2:29" x14ac:dyDescent="0.25"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</row>
    <row r="987" spans="2:29" x14ac:dyDescent="0.25"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</row>
    <row r="988" spans="2:29" x14ac:dyDescent="0.25"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</row>
    <row r="989" spans="2:29" x14ac:dyDescent="0.25"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</row>
    <row r="990" spans="2:29" x14ac:dyDescent="0.25"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</row>
    <row r="991" spans="2:29" x14ac:dyDescent="0.25"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</row>
    <row r="992" spans="2:29" x14ac:dyDescent="0.25"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  <c r="AB992" s="266"/>
      <c r="AC992" s="266"/>
    </row>
    <row r="993" spans="2:29" x14ac:dyDescent="0.25"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  <c r="AC993" s="266"/>
    </row>
    <row r="994" spans="2:29" x14ac:dyDescent="0.25"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  <c r="AC994" s="266"/>
    </row>
    <row r="995" spans="2:29" x14ac:dyDescent="0.25"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  <c r="AB995" s="266"/>
      <c r="AC995" s="266"/>
    </row>
    <row r="996" spans="2:29" x14ac:dyDescent="0.25"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  <c r="AB996" s="266"/>
      <c r="AC996" s="266"/>
    </row>
    <row r="997" spans="2:29" x14ac:dyDescent="0.25"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  <c r="AB997" s="266"/>
      <c r="AC997" s="266"/>
    </row>
    <row r="998" spans="2:29" x14ac:dyDescent="0.25"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  <c r="AC998" s="266"/>
    </row>
    <row r="999" spans="2:29" x14ac:dyDescent="0.25"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  <c r="AB999" s="266"/>
      <c r="AC999" s="266"/>
    </row>
    <row r="1000" spans="2:29" x14ac:dyDescent="0.25"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  <c r="AB1000" s="266"/>
      <c r="AC1000" s="266"/>
    </row>
    <row r="1001" spans="2:29" x14ac:dyDescent="0.25">
      <c r="B1001" s="266"/>
      <c r="C1001" s="266"/>
      <c r="D1001" s="266"/>
      <c r="E1001" s="266"/>
      <c r="F1001" s="266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  <c r="Y1001" s="266"/>
      <c r="Z1001" s="266"/>
      <c r="AA1001" s="266"/>
      <c r="AB1001" s="266"/>
      <c r="AC1001" s="266"/>
    </row>
    <row r="1002" spans="2:29" x14ac:dyDescent="0.25">
      <c r="B1002" s="266"/>
      <c r="C1002" s="266"/>
      <c r="D1002" s="266"/>
      <c r="E1002" s="266"/>
      <c r="F1002" s="266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  <c r="Y1002" s="266"/>
      <c r="Z1002" s="266"/>
      <c r="AA1002" s="266"/>
      <c r="AB1002" s="266"/>
      <c r="AC1002" s="266"/>
    </row>
    <row r="1003" spans="2:29" x14ac:dyDescent="0.25">
      <c r="B1003" s="266"/>
      <c r="C1003" s="266"/>
      <c r="D1003" s="266"/>
      <c r="E1003" s="266"/>
      <c r="F1003" s="266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  <c r="Y1003" s="266"/>
      <c r="Z1003" s="266"/>
      <c r="AA1003" s="266"/>
      <c r="AB1003" s="266"/>
      <c r="AC1003" s="266"/>
    </row>
    <row r="1004" spans="2:29" x14ac:dyDescent="0.25">
      <c r="B1004" s="266"/>
      <c r="C1004" s="266"/>
      <c r="D1004" s="266"/>
      <c r="E1004" s="266"/>
      <c r="F1004" s="266"/>
      <c r="G1004" s="266"/>
      <c r="H1004" s="266"/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  <c r="W1004" s="266"/>
      <c r="X1004" s="266"/>
      <c r="Y1004" s="266"/>
      <c r="Z1004" s="266"/>
      <c r="AA1004" s="266"/>
      <c r="AB1004" s="266"/>
      <c r="AC1004" s="266"/>
    </row>
    <row r="1005" spans="2:29" x14ac:dyDescent="0.25">
      <c r="B1005" s="266"/>
      <c r="C1005" s="266"/>
      <c r="D1005" s="266"/>
      <c r="E1005" s="266"/>
      <c r="F1005" s="266"/>
      <c r="G1005" s="266"/>
      <c r="H1005" s="266"/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  <c r="W1005" s="266"/>
      <c r="X1005" s="266"/>
      <c r="Y1005" s="266"/>
      <c r="Z1005" s="266"/>
      <c r="AA1005" s="266"/>
      <c r="AB1005" s="266"/>
      <c r="AC1005" s="266"/>
    </row>
    <row r="1006" spans="2:29" x14ac:dyDescent="0.25">
      <c r="B1006" s="266"/>
      <c r="C1006" s="266"/>
      <c r="D1006" s="266"/>
      <c r="E1006" s="266"/>
      <c r="F1006" s="266"/>
      <c r="G1006" s="266"/>
      <c r="H1006" s="266"/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  <c r="W1006" s="266"/>
      <c r="X1006" s="266"/>
      <c r="Y1006" s="266"/>
      <c r="Z1006" s="266"/>
      <c r="AA1006" s="266"/>
      <c r="AB1006" s="266"/>
      <c r="AC1006" s="266"/>
    </row>
    <row r="1007" spans="2:29" x14ac:dyDescent="0.25">
      <c r="B1007" s="266"/>
      <c r="C1007" s="266"/>
      <c r="D1007" s="266"/>
      <c r="E1007" s="266"/>
      <c r="F1007" s="266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  <c r="W1007" s="266"/>
      <c r="X1007" s="266"/>
      <c r="Y1007" s="266"/>
      <c r="Z1007" s="266"/>
      <c r="AA1007" s="266"/>
      <c r="AB1007" s="266"/>
      <c r="AC1007" s="266"/>
    </row>
    <row r="1008" spans="2:29" x14ac:dyDescent="0.25">
      <c r="B1008" s="266"/>
      <c r="C1008" s="266"/>
      <c r="D1008" s="266"/>
      <c r="E1008" s="266"/>
      <c r="F1008" s="266"/>
      <c r="G1008" s="266"/>
      <c r="H1008" s="266"/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  <c r="W1008" s="266"/>
      <c r="X1008" s="266"/>
      <c r="Y1008" s="266"/>
      <c r="Z1008" s="266"/>
      <c r="AA1008" s="266"/>
      <c r="AB1008" s="266"/>
      <c r="AC1008" s="266"/>
    </row>
    <row r="1009" spans="2:29" x14ac:dyDescent="0.25">
      <c r="B1009" s="266"/>
      <c r="C1009" s="266"/>
      <c r="D1009" s="266"/>
      <c r="E1009" s="266"/>
      <c r="F1009" s="266"/>
      <c r="G1009" s="266"/>
      <c r="H1009" s="266"/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  <c r="W1009" s="266"/>
      <c r="X1009" s="266"/>
      <c r="Y1009" s="266"/>
      <c r="Z1009" s="266"/>
      <c r="AA1009" s="266"/>
      <c r="AB1009" s="266"/>
      <c r="AC1009" s="266"/>
    </row>
    <row r="1010" spans="2:29" x14ac:dyDescent="0.25">
      <c r="B1010" s="266"/>
      <c r="C1010" s="266"/>
      <c r="D1010" s="266"/>
      <c r="E1010" s="266"/>
      <c r="F1010" s="266"/>
      <c r="G1010" s="266"/>
      <c r="H1010" s="266"/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  <c r="W1010" s="266"/>
      <c r="X1010" s="266"/>
      <c r="Y1010" s="266"/>
      <c r="Z1010" s="266"/>
      <c r="AA1010" s="266"/>
      <c r="AB1010" s="266"/>
      <c r="AC1010" s="266"/>
    </row>
    <row r="1011" spans="2:29" x14ac:dyDescent="0.25">
      <c r="B1011" s="266"/>
      <c r="C1011" s="266"/>
      <c r="D1011" s="266"/>
      <c r="E1011" s="266"/>
      <c r="F1011" s="266"/>
      <c r="G1011" s="266"/>
      <c r="H1011" s="266"/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  <c r="Y1011" s="266"/>
      <c r="Z1011" s="266"/>
      <c r="AA1011" s="266"/>
      <c r="AB1011" s="266"/>
      <c r="AC1011" s="266"/>
    </row>
    <row r="1012" spans="2:29" x14ac:dyDescent="0.25">
      <c r="B1012" s="266"/>
      <c r="C1012" s="266"/>
      <c r="D1012" s="266"/>
      <c r="E1012" s="266"/>
      <c r="F1012" s="266"/>
      <c r="G1012" s="266"/>
      <c r="H1012" s="266"/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  <c r="Y1012" s="266"/>
      <c r="Z1012" s="266"/>
      <c r="AA1012" s="266"/>
      <c r="AB1012" s="266"/>
      <c r="AC1012" s="266"/>
    </row>
    <row r="1013" spans="2:29" x14ac:dyDescent="0.25">
      <c r="B1013" s="266"/>
      <c r="C1013" s="266"/>
      <c r="D1013" s="266"/>
      <c r="E1013" s="266"/>
      <c r="F1013" s="266"/>
      <c r="G1013" s="266"/>
      <c r="H1013" s="266"/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  <c r="Y1013" s="266"/>
      <c r="Z1013" s="266"/>
      <c r="AA1013" s="266"/>
      <c r="AB1013" s="266"/>
      <c r="AC1013" s="266"/>
    </row>
    <row r="1014" spans="2:29" x14ac:dyDescent="0.25">
      <c r="B1014" s="266"/>
      <c r="C1014" s="266"/>
      <c r="D1014" s="266"/>
      <c r="E1014" s="266"/>
      <c r="F1014" s="266"/>
      <c r="G1014" s="266"/>
      <c r="H1014" s="266"/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  <c r="W1014" s="266"/>
      <c r="X1014" s="266"/>
      <c r="Y1014" s="266"/>
      <c r="Z1014" s="266"/>
      <c r="AA1014" s="266"/>
      <c r="AB1014" s="266"/>
      <c r="AC1014" s="266"/>
    </row>
    <row r="1015" spans="2:29" x14ac:dyDescent="0.25">
      <c r="B1015" s="266"/>
      <c r="C1015" s="266"/>
      <c r="D1015" s="266"/>
      <c r="E1015" s="266"/>
      <c r="F1015" s="266"/>
      <c r="G1015" s="266"/>
      <c r="H1015" s="266"/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  <c r="W1015" s="266"/>
      <c r="X1015" s="266"/>
      <c r="Y1015" s="266"/>
      <c r="Z1015" s="266"/>
      <c r="AA1015" s="266"/>
      <c r="AB1015" s="266"/>
      <c r="AC1015" s="266"/>
    </row>
    <row r="1016" spans="2:29" x14ac:dyDescent="0.25">
      <c r="B1016" s="266"/>
      <c r="C1016" s="266"/>
      <c r="D1016" s="266"/>
      <c r="E1016" s="266"/>
      <c r="F1016" s="266"/>
      <c r="G1016" s="266"/>
      <c r="H1016" s="266"/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  <c r="W1016" s="266"/>
      <c r="X1016" s="266"/>
      <c r="Y1016" s="266"/>
      <c r="Z1016" s="266"/>
      <c r="AA1016" s="266"/>
      <c r="AB1016" s="266"/>
      <c r="AC1016" s="266"/>
    </row>
    <row r="1017" spans="2:29" x14ac:dyDescent="0.25">
      <c r="B1017" s="266"/>
      <c r="C1017" s="266"/>
      <c r="D1017" s="266"/>
      <c r="E1017" s="266"/>
      <c r="F1017" s="266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  <c r="Y1017" s="266"/>
      <c r="Z1017" s="266"/>
      <c r="AA1017" s="266"/>
      <c r="AB1017" s="266"/>
      <c r="AC1017" s="266"/>
    </row>
    <row r="1018" spans="2:29" x14ac:dyDescent="0.25">
      <c r="B1018" s="266"/>
      <c r="C1018" s="266"/>
      <c r="D1018" s="266"/>
      <c r="E1018" s="266"/>
      <c r="F1018" s="266"/>
      <c r="G1018" s="266"/>
      <c r="H1018" s="266"/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  <c r="W1018" s="266"/>
      <c r="X1018" s="266"/>
      <c r="Y1018" s="266"/>
      <c r="Z1018" s="266"/>
      <c r="AA1018" s="266"/>
      <c r="AB1018" s="266"/>
      <c r="AC1018" s="266"/>
    </row>
    <row r="1019" spans="2:29" x14ac:dyDescent="0.25">
      <c r="B1019" s="266"/>
      <c r="C1019" s="266"/>
      <c r="D1019" s="266"/>
      <c r="E1019" s="266"/>
      <c r="F1019" s="266"/>
      <c r="G1019" s="266"/>
      <c r="H1019" s="266"/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  <c r="W1019" s="266"/>
      <c r="X1019" s="266"/>
      <c r="Y1019" s="266"/>
      <c r="Z1019" s="266"/>
      <c r="AA1019" s="266"/>
      <c r="AB1019" s="266"/>
      <c r="AC1019" s="266"/>
    </row>
    <row r="1020" spans="2:29" x14ac:dyDescent="0.25">
      <c r="B1020" s="266"/>
      <c r="C1020" s="266"/>
      <c r="D1020" s="266"/>
      <c r="E1020" s="266"/>
      <c r="F1020" s="266"/>
      <c r="G1020" s="266"/>
      <c r="H1020" s="266"/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  <c r="W1020" s="266"/>
      <c r="X1020" s="266"/>
      <c r="Y1020" s="266"/>
      <c r="Z1020" s="266"/>
      <c r="AA1020" s="266"/>
      <c r="AB1020" s="266"/>
      <c r="AC1020" s="266"/>
    </row>
    <row r="1021" spans="2:29" x14ac:dyDescent="0.25">
      <c r="B1021" s="266"/>
      <c r="C1021" s="266"/>
      <c r="D1021" s="266"/>
      <c r="E1021" s="266"/>
      <c r="F1021" s="266"/>
      <c r="G1021" s="266"/>
      <c r="H1021" s="266"/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  <c r="W1021" s="266"/>
      <c r="X1021" s="266"/>
      <c r="Y1021" s="266"/>
      <c r="Z1021" s="266"/>
      <c r="AA1021" s="266"/>
      <c r="AB1021" s="266"/>
      <c r="AC1021" s="266"/>
    </row>
    <row r="1022" spans="2:29" x14ac:dyDescent="0.25">
      <c r="B1022" s="266"/>
      <c r="C1022" s="266"/>
      <c r="D1022" s="266"/>
      <c r="E1022" s="266"/>
      <c r="F1022" s="266"/>
      <c r="G1022" s="266"/>
      <c r="H1022" s="266"/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  <c r="W1022" s="266"/>
      <c r="X1022" s="266"/>
      <c r="Y1022" s="266"/>
      <c r="Z1022" s="266"/>
      <c r="AA1022" s="266"/>
      <c r="AB1022" s="266"/>
      <c r="AC1022" s="266"/>
    </row>
    <row r="1023" spans="2:29" x14ac:dyDescent="0.25">
      <c r="B1023" s="266"/>
      <c r="C1023" s="266"/>
      <c r="D1023" s="266"/>
      <c r="E1023" s="266"/>
      <c r="F1023" s="266"/>
      <c r="G1023" s="266"/>
      <c r="H1023" s="266"/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  <c r="W1023" s="266"/>
      <c r="X1023" s="266"/>
      <c r="Y1023" s="266"/>
      <c r="Z1023" s="266"/>
      <c r="AA1023" s="266"/>
      <c r="AB1023" s="266"/>
      <c r="AC1023" s="266"/>
    </row>
    <row r="1024" spans="2:29" x14ac:dyDescent="0.25">
      <c r="B1024" s="266"/>
      <c r="C1024" s="266"/>
      <c r="D1024" s="266"/>
      <c r="E1024" s="266"/>
      <c r="F1024" s="266"/>
      <c r="G1024" s="266"/>
      <c r="H1024" s="266"/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  <c r="W1024" s="266"/>
      <c r="X1024" s="266"/>
      <c r="Y1024" s="266"/>
      <c r="Z1024" s="266"/>
      <c r="AA1024" s="266"/>
      <c r="AB1024" s="266"/>
      <c r="AC1024" s="266"/>
    </row>
    <row r="1025" spans="2:29" x14ac:dyDescent="0.25">
      <c r="B1025" s="266"/>
      <c r="C1025" s="266"/>
      <c r="D1025" s="266"/>
      <c r="E1025" s="266"/>
      <c r="F1025" s="266"/>
      <c r="G1025" s="266"/>
      <c r="H1025" s="266"/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  <c r="W1025" s="266"/>
      <c r="X1025" s="266"/>
      <c r="Y1025" s="266"/>
      <c r="Z1025" s="266"/>
      <c r="AA1025" s="266"/>
      <c r="AB1025" s="266"/>
      <c r="AC1025" s="266"/>
    </row>
    <row r="1026" spans="2:29" x14ac:dyDescent="0.25">
      <c r="B1026" s="266"/>
      <c r="C1026" s="266"/>
      <c r="D1026" s="266"/>
      <c r="E1026" s="266"/>
      <c r="F1026" s="266"/>
      <c r="G1026" s="266"/>
      <c r="H1026" s="266"/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  <c r="Y1026" s="266"/>
      <c r="Z1026" s="266"/>
      <c r="AA1026" s="266"/>
      <c r="AB1026" s="266"/>
      <c r="AC1026" s="266"/>
    </row>
    <row r="1027" spans="2:29" x14ac:dyDescent="0.25">
      <c r="B1027" s="266"/>
      <c r="C1027" s="266"/>
      <c r="D1027" s="266"/>
      <c r="E1027" s="266"/>
      <c r="F1027" s="266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  <c r="W1027" s="266"/>
      <c r="X1027" s="266"/>
      <c r="Y1027" s="266"/>
      <c r="Z1027" s="266"/>
      <c r="AA1027" s="266"/>
      <c r="AB1027" s="266"/>
      <c r="AC1027" s="266"/>
    </row>
    <row r="1028" spans="2:29" x14ac:dyDescent="0.25">
      <c r="B1028" s="266"/>
      <c r="C1028" s="266"/>
      <c r="D1028" s="266"/>
      <c r="E1028" s="266"/>
      <c r="F1028" s="266"/>
      <c r="G1028" s="266"/>
      <c r="H1028" s="266"/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  <c r="W1028" s="266"/>
      <c r="X1028" s="266"/>
      <c r="Y1028" s="266"/>
      <c r="Z1028" s="266"/>
      <c r="AA1028" s="266"/>
      <c r="AB1028" s="266"/>
      <c r="AC1028" s="266"/>
    </row>
    <row r="1029" spans="2:29" x14ac:dyDescent="0.25">
      <c r="B1029" s="266"/>
      <c r="C1029" s="266"/>
      <c r="D1029" s="266"/>
      <c r="E1029" s="266"/>
      <c r="F1029" s="266"/>
      <c r="G1029" s="266"/>
      <c r="H1029" s="266"/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  <c r="W1029" s="266"/>
      <c r="X1029" s="266"/>
      <c r="Y1029" s="266"/>
      <c r="Z1029" s="266"/>
      <c r="AA1029" s="266"/>
      <c r="AB1029" s="266"/>
      <c r="AC1029" s="266"/>
    </row>
    <row r="1030" spans="2:29" x14ac:dyDescent="0.25">
      <c r="B1030" s="266"/>
      <c r="C1030" s="266"/>
      <c r="D1030" s="266"/>
      <c r="E1030" s="266"/>
      <c r="F1030" s="266"/>
      <c r="G1030" s="266"/>
      <c r="H1030" s="266"/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  <c r="Y1030" s="266"/>
      <c r="Z1030" s="266"/>
      <c r="AA1030" s="266"/>
      <c r="AB1030" s="266"/>
      <c r="AC1030" s="266"/>
    </row>
    <row r="1031" spans="2:29" x14ac:dyDescent="0.25">
      <c r="B1031" s="266"/>
      <c r="C1031" s="266"/>
      <c r="D1031" s="266"/>
      <c r="E1031" s="266"/>
      <c r="F1031" s="266"/>
      <c r="G1031" s="266"/>
      <c r="H1031" s="266"/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  <c r="W1031" s="266"/>
      <c r="X1031" s="266"/>
      <c r="Y1031" s="266"/>
      <c r="Z1031" s="266"/>
      <c r="AA1031" s="266"/>
      <c r="AB1031" s="266"/>
      <c r="AC1031" s="266"/>
    </row>
    <row r="1032" spans="2:29" x14ac:dyDescent="0.25">
      <c r="B1032" s="266"/>
      <c r="C1032" s="266"/>
      <c r="D1032" s="266"/>
      <c r="E1032" s="266"/>
      <c r="F1032" s="266"/>
      <c r="G1032" s="266"/>
      <c r="H1032" s="266"/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  <c r="W1032" s="266"/>
      <c r="X1032" s="266"/>
      <c r="Y1032" s="266"/>
      <c r="Z1032" s="266"/>
      <c r="AA1032" s="266"/>
      <c r="AB1032" s="266"/>
      <c r="AC1032" s="266"/>
    </row>
    <row r="1033" spans="2:29" x14ac:dyDescent="0.25">
      <c r="B1033" s="266"/>
      <c r="C1033" s="266"/>
      <c r="D1033" s="266"/>
      <c r="E1033" s="266"/>
      <c r="F1033" s="266"/>
      <c r="G1033" s="266"/>
      <c r="H1033" s="266"/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  <c r="Y1033" s="266"/>
      <c r="Z1033" s="266"/>
      <c r="AA1033" s="266"/>
      <c r="AB1033" s="266"/>
      <c r="AC1033" s="266"/>
    </row>
    <row r="1034" spans="2:29" x14ac:dyDescent="0.25">
      <c r="B1034" s="266"/>
      <c r="C1034" s="266"/>
      <c r="D1034" s="266"/>
      <c r="E1034" s="266"/>
      <c r="F1034" s="266"/>
      <c r="G1034" s="266"/>
      <c r="H1034" s="266"/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  <c r="W1034" s="266"/>
      <c r="X1034" s="266"/>
      <c r="Y1034" s="266"/>
      <c r="Z1034" s="266"/>
      <c r="AA1034" s="266"/>
      <c r="AB1034" s="266"/>
      <c r="AC1034" s="266"/>
    </row>
    <row r="1035" spans="2:29" x14ac:dyDescent="0.25">
      <c r="B1035" s="266"/>
      <c r="C1035" s="266"/>
      <c r="D1035" s="266"/>
      <c r="E1035" s="266"/>
      <c r="F1035" s="266"/>
      <c r="G1035" s="266"/>
      <c r="H1035" s="266"/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  <c r="W1035" s="266"/>
      <c r="X1035" s="266"/>
      <c r="Y1035" s="266"/>
      <c r="Z1035" s="266"/>
      <c r="AA1035" s="266"/>
      <c r="AB1035" s="266"/>
      <c r="AC1035" s="266"/>
    </row>
    <row r="1036" spans="2:29" x14ac:dyDescent="0.25">
      <c r="B1036" s="266"/>
      <c r="C1036" s="266"/>
      <c r="D1036" s="266"/>
      <c r="E1036" s="266"/>
      <c r="F1036" s="266"/>
      <c r="G1036" s="266"/>
      <c r="H1036" s="266"/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  <c r="W1036" s="266"/>
      <c r="X1036" s="266"/>
      <c r="Y1036" s="266"/>
      <c r="Z1036" s="266"/>
      <c r="AA1036" s="266"/>
      <c r="AB1036" s="266"/>
      <c r="AC1036" s="266"/>
    </row>
    <row r="1037" spans="2:29" x14ac:dyDescent="0.25">
      <c r="B1037" s="266"/>
      <c r="C1037" s="266"/>
      <c r="D1037" s="266"/>
      <c r="E1037" s="266"/>
      <c r="F1037" s="266"/>
      <c r="G1037" s="266"/>
      <c r="H1037" s="266"/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  <c r="W1037" s="266"/>
      <c r="X1037" s="266"/>
      <c r="Y1037" s="266"/>
      <c r="Z1037" s="266"/>
      <c r="AA1037" s="266"/>
      <c r="AB1037" s="266"/>
      <c r="AC1037" s="266"/>
    </row>
    <row r="1038" spans="2:29" x14ac:dyDescent="0.25">
      <c r="B1038" s="266"/>
      <c r="C1038" s="266"/>
      <c r="D1038" s="266"/>
      <c r="E1038" s="266"/>
      <c r="F1038" s="266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  <c r="W1038" s="266"/>
      <c r="X1038" s="266"/>
      <c r="Y1038" s="266"/>
      <c r="Z1038" s="266"/>
      <c r="AA1038" s="266"/>
      <c r="AB1038" s="266"/>
      <c r="AC1038" s="266"/>
    </row>
    <row r="1039" spans="2:29" x14ac:dyDescent="0.25">
      <c r="B1039" s="266"/>
      <c r="C1039" s="266"/>
      <c r="D1039" s="266"/>
      <c r="E1039" s="266"/>
      <c r="F1039" s="266"/>
      <c r="G1039" s="266"/>
      <c r="H1039" s="266"/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  <c r="W1039" s="266"/>
      <c r="X1039" s="266"/>
      <c r="Y1039" s="266"/>
      <c r="Z1039" s="266"/>
      <c r="AA1039" s="266"/>
      <c r="AB1039" s="266"/>
      <c r="AC1039" s="266"/>
    </row>
    <row r="1040" spans="2:29" x14ac:dyDescent="0.25">
      <c r="B1040" s="266"/>
      <c r="C1040" s="266"/>
      <c r="D1040" s="266"/>
      <c r="E1040" s="266"/>
      <c r="F1040" s="266"/>
      <c r="G1040" s="266"/>
      <c r="H1040" s="266"/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  <c r="W1040" s="266"/>
      <c r="X1040" s="266"/>
      <c r="Y1040" s="266"/>
      <c r="Z1040" s="266"/>
      <c r="AA1040" s="266"/>
      <c r="AB1040" s="266"/>
      <c r="AC1040" s="266"/>
    </row>
    <row r="1041" spans="2:29" x14ac:dyDescent="0.25">
      <c r="B1041" s="266"/>
      <c r="C1041" s="266"/>
      <c r="D1041" s="266"/>
      <c r="E1041" s="266"/>
      <c r="F1041" s="266"/>
      <c r="G1041" s="266"/>
      <c r="H1041" s="266"/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  <c r="W1041" s="266"/>
      <c r="X1041" s="266"/>
      <c r="Y1041" s="266"/>
      <c r="Z1041" s="266"/>
      <c r="AA1041" s="266"/>
      <c r="AB1041" s="266"/>
      <c r="AC1041" s="266"/>
    </row>
    <row r="1042" spans="2:29" x14ac:dyDescent="0.25">
      <c r="B1042" s="266"/>
      <c r="C1042" s="266"/>
      <c r="D1042" s="266"/>
      <c r="E1042" s="266"/>
      <c r="F1042" s="266"/>
      <c r="G1042" s="266"/>
      <c r="H1042" s="266"/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  <c r="Y1042" s="266"/>
      <c r="Z1042" s="266"/>
      <c r="AA1042" s="266"/>
      <c r="AB1042" s="266"/>
      <c r="AC1042" s="266"/>
    </row>
    <row r="1043" spans="2:29" x14ac:dyDescent="0.25">
      <c r="B1043" s="266"/>
      <c r="C1043" s="266"/>
      <c r="D1043" s="266"/>
      <c r="E1043" s="266"/>
      <c r="F1043" s="266"/>
      <c r="G1043" s="266"/>
      <c r="H1043" s="266"/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  <c r="W1043" s="266"/>
      <c r="X1043" s="266"/>
      <c r="Y1043" s="266"/>
      <c r="Z1043" s="266"/>
      <c r="AA1043" s="266"/>
      <c r="AB1043" s="266"/>
      <c r="AC1043" s="266"/>
    </row>
    <row r="1044" spans="2:29" x14ac:dyDescent="0.25">
      <c r="B1044" s="266"/>
      <c r="C1044" s="266"/>
      <c r="D1044" s="266"/>
      <c r="E1044" s="266"/>
      <c r="F1044" s="266"/>
      <c r="G1044" s="266"/>
      <c r="H1044" s="266"/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  <c r="W1044" s="266"/>
      <c r="X1044" s="266"/>
      <c r="Y1044" s="266"/>
      <c r="Z1044" s="266"/>
      <c r="AA1044" s="266"/>
      <c r="AB1044" s="266"/>
      <c r="AC1044" s="266"/>
    </row>
    <row r="1045" spans="2:29" x14ac:dyDescent="0.25">
      <c r="B1045" s="266"/>
      <c r="C1045" s="266"/>
      <c r="D1045" s="266"/>
      <c r="E1045" s="266"/>
      <c r="F1045" s="266"/>
      <c r="G1045" s="266"/>
      <c r="H1045" s="266"/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  <c r="W1045" s="266"/>
      <c r="X1045" s="266"/>
      <c r="Y1045" s="266"/>
      <c r="Z1045" s="266"/>
      <c r="AA1045" s="266"/>
      <c r="AB1045" s="266"/>
      <c r="AC1045" s="266"/>
    </row>
    <row r="1046" spans="2:29" x14ac:dyDescent="0.25">
      <c r="B1046" s="266"/>
      <c r="C1046" s="266"/>
      <c r="D1046" s="266"/>
      <c r="E1046" s="266"/>
      <c r="F1046" s="266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  <c r="Y1046" s="266"/>
      <c r="Z1046" s="266"/>
      <c r="AA1046" s="266"/>
      <c r="AB1046" s="266"/>
      <c r="AC1046" s="266"/>
    </row>
    <row r="1047" spans="2:29" x14ac:dyDescent="0.25">
      <c r="B1047" s="266"/>
      <c r="C1047" s="266"/>
      <c r="D1047" s="266"/>
      <c r="E1047" s="266"/>
      <c r="F1047" s="266"/>
      <c r="G1047" s="266"/>
      <c r="H1047" s="266"/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  <c r="W1047" s="266"/>
      <c r="X1047" s="266"/>
      <c r="Y1047" s="266"/>
      <c r="Z1047" s="266"/>
      <c r="AA1047" s="266"/>
      <c r="AB1047" s="266"/>
      <c r="AC1047" s="266"/>
    </row>
    <row r="1048" spans="2:29" x14ac:dyDescent="0.25">
      <c r="B1048" s="266"/>
      <c r="C1048" s="266"/>
      <c r="D1048" s="266"/>
      <c r="E1048" s="266"/>
      <c r="F1048" s="266"/>
      <c r="G1048" s="266"/>
      <c r="H1048" s="266"/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  <c r="W1048" s="266"/>
      <c r="X1048" s="266"/>
      <c r="Y1048" s="266"/>
      <c r="Z1048" s="266"/>
      <c r="AA1048" s="266"/>
      <c r="AB1048" s="266"/>
      <c r="AC1048" s="266"/>
    </row>
    <row r="1049" spans="2:29" x14ac:dyDescent="0.25">
      <c r="B1049" s="266"/>
      <c r="C1049" s="266"/>
      <c r="D1049" s="266"/>
      <c r="E1049" s="266"/>
      <c r="F1049" s="266"/>
      <c r="G1049" s="266"/>
      <c r="H1049" s="266"/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  <c r="Y1049" s="266"/>
      <c r="Z1049" s="266"/>
      <c r="AA1049" s="266"/>
      <c r="AB1049" s="266"/>
      <c r="AC1049" s="266"/>
    </row>
    <row r="1050" spans="2:29" x14ac:dyDescent="0.25">
      <c r="B1050" s="266"/>
      <c r="C1050" s="266"/>
      <c r="D1050" s="266"/>
      <c r="E1050" s="266"/>
      <c r="F1050" s="266"/>
      <c r="G1050" s="266"/>
      <c r="H1050" s="266"/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  <c r="W1050" s="266"/>
      <c r="X1050" s="266"/>
      <c r="Y1050" s="266"/>
      <c r="Z1050" s="266"/>
      <c r="AA1050" s="266"/>
      <c r="AB1050" s="266"/>
      <c r="AC1050" s="266"/>
    </row>
    <row r="1051" spans="2:29" x14ac:dyDescent="0.25">
      <c r="B1051" s="266"/>
      <c r="C1051" s="266"/>
      <c r="D1051" s="266"/>
      <c r="E1051" s="266"/>
      <c r="F1051" s="266"/>
      <c r="G1051" s="266"/>
      <c r="H1051" s="266"/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  <c r="W1051" s="266"/>
      <c r="X1051" s="266"/>
      <c r="Y1051" s="266"/>
      <c r="Z1051" s="266"/>
      <c r="AA1051" s="266"/>
      <c r="AB1051" s="266"/>
      <c r="AC1051" s="266"/>
    </row>
    <row r="1052" spans="2:29" x14ac:dyDescent="0.25">
      <c r="B1052" s="266"/>
      <c r="C1052" s="266"/>
      <c r="D1052" s="266"/>
      <c r="E1052" s="266"/>
      <c r="F1052" s="266"/>
      <c r="G1052" s="266"/>
      <c r="H1052" s="266"/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  <c r="W1052" s="266"/>
      <c r="X1052" s="266"/>
      <c r="Y1052" s="266"/>
      <c r="Z1052" s="266"/>
      <c r="AA1052" s="266"/>
      <c r="AB1052" s="266"/>
      <c r="AC1052" s="266"/>
    </row>
    <row r="1053" spans="2:29" x14ac:dyDescent="0.25">
      <c r="B1053" s="257"/>
      <c r="C1053" s="257"/>
      <c r="D1053" s="257"/>
      <c r="E1053" s="257"/>
      <c r="F1053" s="257"/>
      <c r="G1053" s="257"/>
      <c r="H1053" s="257"/>
      <c r="I1053" s="257"/>
      <c r="J1053" s="257"/>
      <c r="K1053" s="257"/>
      <c r="L1053" s="257"/>
      <c r="M1053" s="257"/>
      <c r="N1053" s="257"/>
      <c r="O1053" s="257"/>
      <c r="P1053" s="257"/>
      <c r="Q1053" s="257"/>
      <c r="R1053" s="257"/>
      <c r="S1053" s="257"/>
      <c r="T1053" s="257"/>
      <c r="U1053" s="257"/>
      <c r="V1053" s="257"/>
      <c r="W1053" s="257"/>
      <c r="X1053" s="257"/>
      <c r="Y1053" s="257"/>
      <c r="Z1053" s="257"/>
      <c r="AA1053" s="257"/>
      <c r="AB1053" s="257"/>
      <c r="AC1053" s="257"/>
    </row>
    <row r="1054" spans="2:29" x14ac:dyDescent="0.25">
      <c r="B1054" s="257"/>
      <c r="C1054" s="257"/>
      <c r="D1054" s="257"/>
      <c r="E1054" s="257"/>
      <c r="F1054" s="257"/>
      <c r="G1054" s="257"/>
      <c r="H1054" s="257"/>
      <c r="I1054" s="257"/>
      <c r="J1054" s="257"/>
      <c r="K1054" s="257"/>
      <c r="L1054" s="257"/>
      <c r="M1054" s="257"/>
      <c r="N1054" s="257"/>
      <c r="O1054" s="257"/>
      <c r="P1054" s="257"/>
      <c r="Q1054" s="257"/>
      <c r="R1054" s="257"/>
      <c r="S1054" s="257"/>
      <c r="T1054" s="257"/>
      <c r="U1054" s="257"/>
      <c r="V1054" s="257"/>
      <c r="W1054" s="257"/>
      <c r="X1054" s="257"/>
      <c r="Y1054" s="257"/>
      <c r="Z1054" s="257"/>
      <c r="AA1054" s="257"/>
      <c r="AB1054" s="257"/>
      <c r="AC1054" s="257"/>
    </row>
    <row r="1055" spans="2:29" x14ac:dyDescent="0.25">
      <c r="B1055" s="257"/>
      <c r="C1055" s="257"/>
      <c r="D1055" s="257"/>
      <c r="E1055" s="257"/>
      <c r="F1055" s="257"/>
      <c r="G1055" s="257"/>
      <c r="H1055" s="257"/>
      <c r="I1055" s="257"/>
      <c r="J1055" s="257"/>
      <c r="K1055" s="257"/>
      <c r="L1055" s="257"/>
      <c r="M1055" s="257"/>
      <c r="N1055" s="257"/>
      <c r="O1055" s="257"/>
      <c r="P1055" s="257"/>
      <c r="Q1055" s="257"/>
      <c r="R1055" s="257"/>
      <c r="S1055" s="257"/>
      <c r="T1055" s="257"/>
      <c r="U1055" s="257"/>
      <c r="V1055" s="257"/>
      <c r="W1055" s="257"/>
      <c r="X1055" s="257"/>
      <c r="Y1055" s="257"/>
      <c r="Z1055" s="257"/>
      <c r="AA1055" s="257"/>
      <c r="AB1055" s="257"/>
      <c r="AC1055" s="257"/>
    </row>
    <row r="1056" spans="2:29" x14ac:dyDescent="0.25">
      <c r="B1056" s="257"/>
      <c r="C1056" s="257"/>
      <c r="D1056" s="257"/>
      <c r="E1056" s="257"/>
      <c r="F1056" s="257"/>
      <c r="G1056" s="257"/>
      <c r="H1056" s="257"/>
      <c r="I1056" s="257"/>
      <c r="J1056" s="257"/>
      <c r="K1056" s="257"/>
      <c r="L1056" s="257"/>
      <c r="M1056" s="257"/>
      <c r="N1056" s="257"/>
      <c r="O1056" s="257"/>
      <c r="P1056" s="257"/>
      <c r="Q1056" s="257"/>
      <c r="R1056" s="257"/>
      <c r="S1056" s="257"/>
      <c r="T1056" s="257"/>
      <c r="U1056" s="257"/>
      <c r="V1056" s="257"/>
      <c r="W1056" s="257"/>
      <c r="X1056" s="257"/>
      <c r="Y1056" s="257"/>
      <c r="Z1056" s="257"/>
      <c r="AA1056" s="257"/>
      <c r="AB1056" s="257"/>
      <c r="AC1056" s="257"/>
    </row>
    <row r="1057" spans="2:29" x14ac:dyDescent="0.25">
      <c r="B1057" s="257"/>
      <c r="C1057" s="257"/>
      <c r="D1057" s="257"/>
      <c r="E1057" s="257"/>
      <c r="F1057" s="257"/>
      <c r="G1057" s="257"/>
      <c r="H1057" s="257"/>
      <c r="I1057" s="257"/>
      <c r="J1057" s="257"/>
      <c r="K1057" s="257"/>
      <c r="L1057" s="257"/>
      <c r="M1057" s="257"/>
      <c r="N1057" s="257"/>
      <c r="O1057" s="257"/>
      <c r="P1057" s="257"/>
      <c r="Q1057" s="257"/>
      <c r="R1057" s="257"/>
      <c r="S1057" s="257"/>
      <c r="T1057" s="257"/>
      <c r="U1057" s="257"/>
      <c r="V1057" s="257"/>
      <c r="W1057" s="257"/>
      <c r="X1057" s="257"/>
      <c r="Y1057" s="257"/>
      <c r="Z1057" s="257"/>
      <c r="AA1057" s="257"/>
      <c r="AB1057" s="257"/>
      <c r="AC1057" s="257"/>
    </row>
    <row r="1058" spans="2:29" x14ac:dyDescent="0.25">
      <c r="B1058" s="257"/>
      <c r="C1058" s="257"/>
      <c r="D1058" s="257"/>
      <c r="E1058" s="257"/>
      <c r="F1058" s="257"/>
      <c r="G1058" s="257"/>
      <c r="H1058" s="257"/>
      <c r="I1058" s="257"/>
      <c r="J1058" s="257"/>
      <c r="K1058" s="257"/>
      <c r="L1058" s="257"/>
      <c r="M1058" s="257"/>
      <c r="N1058" s="257"/>
      <c r="O1058" s="257"/>
      <c r="P1058" s="257"/>
      <c r="Q1058" s="257"/>
      <c r="R1058" s="257"/>
      <c r="S1058" s="257"/>
      <c r="T1058" s="257"/>
      <c r="U1058" s="257"/>
      <c r="V1058" s="257"/>
      <c r="W1058" s="257"/>
      <c r="X1058" s="257"/>
      <c r="Y1058" s="257"/>
      <c r="Z1058" s="257"/>
      <c r="AA1058" s="257"/>
      <c r="AB1058" s="257"/>
      <c r="AC1058" s="257"/>
    </row>
    <row r="1059" spans="2:29" x14ac:dyDescent="0.25">
      <c r="B1059" s="257"/>
      <c r="C1059" s="257"/>
      <c r="D1059" s="257"/>
      <c r="E1059" s="257"/>
      <c r="F1059" s="257"/>
      <c r="G1059" s="257"/>
      <c r="H1059" s="257"/>
      <c r="I1059" s="257"/>
      <c r="J1059" s="257"/>
      <c r="K1059" s="257"/>
      <c r="L1059" s="257"/>
      <c r="M1059" s="257"/>
      <c r="N1059" s="257"/>
      <c r="O1059" s="257"/>
      <c r="P1059" s="257"/>
      <c r="Q1059" s="257"/>
      <c r="R1059" s="257"/>
      <c r="S1059" s="257"/>
      <c r="T1059" s="257"/>
      <c r="U1059" s="257"/>
      <c r="V1059" s="257"/>
      <c r="W1059" s="257"/>
      <c r="X1059" s="257"/>
      <c r="Y1059" s="257"/>
      <c r="Z1059" s="257"/>
      <c r="AA1059" s="257"/>
      <c r="AB1059" s="257"/>
      <c r="AC1059" s="257"/>
    </row>
    <row r="1060" spans="2:29" x14ac:dyDescent="0.25">
      <c r="B1060" s="257"/>
      <c r="C1060" s="257"/>
      <c r="D1060" s="257"/>
      <c r="E1060" s="257"/>
      <c r="F1060" s="257"/>
      <c r="G1060" s="257"/>
      <c r="H1060" s="257"/>
      <c r="I1060" s="257"/>
      <c r="J1060" s="257"/>
      <c r="K1060" s="257"/>
      <c r="L1060" s="257"/>
      <c r="M1060" s="257"/>
      <c r="N1060" s="257"/>
      <c r="O1060" s="257"/>
      <c r="P1060" s="257"/>
      <c r="Q1060" s="257"/>
      <c r="R1060" s="257"/>
      <c r="S1060" s="257"/>
      <c r="T1060" s="257"/>
      <c r="U1060" s="257"/>
      <c r="V1060" s="257"/>
      <c r="W1060" s="257"/>
      <c r="X1060" s="257"/>
      <c r="Y1060" s="257"/>
      <c r="Z1060" s="257"/>
      <c r="AA1060" s="257"/>
      <c r="AB1060" s="257"/>
      <c r="AC1060" s="257"/>
    </row>
    <row r="1061" spans="2:29" x14ac:dyDescent="0.25">
      <c r="B1061" s="257"/>
      <c r="C1061" s="257"/>
      <c r="D1061" s="257"/>
      <c r="E1061" s="257"/>
      <c r="F1061" s="257"/>
      <c r="G1061" s="257"/>
      <c r="H1061" s="257"/>
      <c r="I1061" s="257"/>
      <c r="J1061" s="257"/>
      <c r="K1061" s="257"/>
      <c r="L1061" s="257"/>
      <c r="M1061" s="257"/>
      <c r="N1061" s="257"/>
      <c r="O1061" s="257"/>
      <c r="P1061" s="257"/>
      <c r="Q1061" s="257"/>
      <c r="R1061" s="257"/>
      <c r="S1061" s="257"/>
      <c r="T1061" s="257"/>
      <c r="U1061" s="257"/>
      <c r="V1061" s="257"/>
      <c r="W1061" s="257"/>
      <c r="X1061" s="257"/>
      <c r="Y1061" s="257"/>
      <c r="Z1061" s="257"/>
      <c r="AA1061" s="257"/>
      <c r="AB1061" s="257"/>
      <c r="AC1061" s="257"/>
    </row>
    <row r="1062" spans="2:29" x14ac:dyDescent="0.25">
      <c r="B1062" s="257"/>
      <c r="C1062" s="257"/>
      <c r="D1062" s="257"/>
      <c r="E1062" s="257"/>
      <c r="F1062" s="257"/>
      <c r="G1062" s="257"/>
      <c r="H1062" s="257"/>
      <c r="I1062" s="257"/>
      <c r="J1062" s="257"/>
      <c r="K1062" s="257"/>
      <c r="L1062" s="257"/>
      <c r="M1062" s="257"/>
      <c r="N1062" s="257"/>
      <c r="O1062" s="257"/>
      <c r="P1062" s="257"/>
      <c r="Q1062" s="257"/>
      <c r="R1062" s="257"/>
      <c r="S1062" s="257"/>
      <c r="T1062" s="257"/>
      <c r="U1062" s="257"/>
      <c r="V1062" s="257"/>
      <c r="W1062" s="257"/>
      <c r="X1062" s="257"/>
      <c r="Y1062" s="257"/>
      <c r="Z1062" s="257"/>
      <c r="AA1062" s="257"/>
      <c r="AB1062" s="257"/>
      <c r="AC1062" s="257"/>
    </row>
  </sheetData>
  <mergeCells count="63">
    <mergeCell ref="B72:E72"/>
    <mergeCell ref="G72:J72"/>
    <mergeCell ref="L72:O72"/>
    <mergeCell ref="Q72:T72"/>
    <mergeCell ref="V74:X74"/>
    <mergeCell ref="V76:X76"/>
    <mergeCell ref="B59:E59"/>
    <mergeCell ref="G59:J59"/>
    <mergeCell ref="L59:O59"/>
    <mergeCell ref="Q59:T59"/>
    <mergeCell ref="V59:Y59"/>
    <mergeCell ref="B71:E71"/>
    <mergeCell ref="G71:J71"/>
    <mergeCell ref="L71:O71"/>
    <mergeCell ref="Q71:T71"/>
    <mergeCell ref="A57:Y57"/>
    <mergeCell ref="B58:E58"/>
    <mergeCell ref="G58:J58"/>
    <mergeCell ref="L58:O58"/>
    <mergeCell ref="Q58:T58"/>
    <mergeCell ref="V58:Y58"/>
    <mergeCell ref="B44:E44"/>
    <mergeCell ref="G44:J44"/>
    <mergeCell ref="L44:O44"/>
    <mergeCell ref="Q44:T44"/>
    <mergeCell ref="V46:X46"/>
    <mergeCell ref="V48:X48"/>
    <mergeCell ref="B31:E31"/>
    <mergeCell ref="G31:J31"/>
    <mergeCell ref="L31:O31"/>
    <mergeCell ref="Q31:T31"/>
    <mergeCell ref="V31:Y31"/>
    <mergeCell ref="B43:E43"/>
    <mergeCell ref="G43:J43"/>
    <mergeCell ref="L43:O43"/>
    <mergeCell ref="Q43:T43"/>
    <mergeCell ref="A29:Y29"/>
    <mergeCell ref="B30:E30"/>
    <mergeCell ref="G30:J30"/>
    <mergeCell ref="L30:O30"/>
    <mergeCell ref="Q30:T30"/>
    <mergeCell ref="V30:Y30"/>
    <mergeCell ref="B16:E16"/>
    <mergeCell ref="G16:J16"/>
    <mergeCell ref="L16:O16"/>
    <mergeCell ref="Q16:T16"/>
    <mergeCell ref="V18:X18"/>
    <mergeCell ref="V20:X20"/>
    <mergeCell ref="B3:E3"/>
    <mergeCell ref="G3:J3"/>
    <mergeCell ref="L3:O3"/>
    <mergeCell ref="Q3:T3"/>
    <mergeCell ref="V3:Y3"/>
    <mergeCell ref="B15:E15"/>
    <mergeCell ref="G15:J15"/>
    <mergeCell ref="L15:O15"/>
    <mergeCell ref="Q15:T15"/>
    <mergeCell ref="A1:Y1"/>
    <mergeCell ref="B2:E2"/>
    <mergeCell ref="G2:J2"/>
    <mergeCell ref="L2:O2"/>
    <mergeCell ref="Q2:T2"/>
    <mergeCell ref="V2:Y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062"/>
  <sheetViews>
    <sheetView tabSelected="1" workbookViewId="0">
      <selection sqref="A1:XFD1048576"/>
    </sheetView>
  </sheetViews>
  <sheetFormatPr defaultRowHeight="15" x14ac:dyDescent="0.25"/>
  <cols>
    <col min="1" max="1" width="11.7109375" style="228" customWidth="1"/>
    <col min="2" max="5" width="5.42578125" style="228" customWidth="1"/>
    <col min="6" max="6" width="0.7109375" style="228" customWidth="1"/>
    <col min="7" max="10" width="5.42578125" style="228" customWidth="1"/>
    <col min="11" max="11" width="0.7109375" style="228" customWidth="1"/>
    <col min="12" max="15" width="5.42578125" style="228" customWidth="1"/>
    <col min="16" max="16" width="0.7109375" style="228" customWidth="1"/>
    <col min="17" max="20" width="5.42578125" style="228" customWidth="1"/>
    <col min="21" max="21" width="0.7109375" style="228" customWidth="1"/>
    <col min="22" max="25" width="5.42578125" style="228" customWidth="1"/>
    <col min="26" max="26" width="0.7109375" style="228" customWidth="1"/>
    <col min="27" max="57" width="5.42578125" style="228" customWidth="1"/>
    <col min="58" max="1024" width="10" style="228" customWidth="1"/>
    <col min="1025" max="1025" width="10.28515625" customWidth="1"/>
  </cols>
  <sheetData>
    <row r="1" spans="1:29" x14ac:dyDescent="0.25">
      <c r="A1" s="256" t="s">
        <v>181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7"/>
      <c r="AA1" s="257"/>
      <c r="AB1" s="257"/>
      <c r="AC1" s="257"/>
    </row>
    <row r="2" spans="1:29" ht="13.5" customHeight="1" x14ac:dyDescent="0.25">
      <c r="A2" s="233"/>
      <c r="B2" s="258" t="s">
        <v>184</v>
      </c>
      <c r="C2" s="258"/>
      <c r="D2" s="258"/>
      <c r="E2" s="258"/>
      <c r="F2" s="257"/>
      <c r="G2" s="258" t="s">
        <v>185</v>
      </c>
      <c r="H2" s="258"/>
      <c r="I2" s="258"/>
      <c r="J2" s="258"/>
      <c r="K2" s="257"/>
      <c r="L2" s="258" t="s">
        <v>186</v>
      </c>
      <c r="M2" s="258"/>
      <c r="N2" s="258"/>
      <c r="O2" s="258"/>
      <c r="P2" s="257"/>
      <c r="Q2" s="258" t="s">
        <v>187</v>
      </c>
      <c r="R2" s="258"/>
      <c r="S2" s="258"/>
      <c r="T2" s="258"/>
      <c r="U2" s="257"/>
      <c r="V2" s="258" t="s">
        <v>188</v>
      </c>
      <c r="W2" s="258"/>
      <c r="X2" s="258"/>
      <c r="Y2" s="258"/>
      <c r="Z2" s="257"/>
      <c r="AA2" s="257"/>
      <c r="AB2" s="257"/>
      <c r="AC2" s="257"/>
    </row>
    <row r="3" spans="1:29" ht="13.5" customHeight="1" x14ac:dyDescent="0.25">
      <c r="A3" s="233"/>
      <c r="B3" s="259" t="s">
        <v>169</v>
      </c>
      <c r="C3" s="259"/>
      <c r="D3" s="259"/>
      <c r="E3" s="259"/>
      <c r="F3" s="257"/>
      <c r="G3" s="259" t="s">
        <v>169</v>
      </c>
      <c r="H3" s="259"/>
      <c r="I3" s="259"/>
      <c r="J3" s="259"/>
      <c r="K3" s="257"/>
      <c r="L3" s="259" t="s">
        <v>169</v>
      </c>
      <c r="M3" s="259"/>
      <c r="N3" s="259"/>
      <c r="O3" s="259"/>
      <c r="P3" s="257"/>
      <c r="Q3" s="259" t="s">
        <v>169</v>
      </c>
      <c r="R3" s="259"/>
      <c r="S3" s="259"/>
      <c r="T3" s="259"/>
      <c r="U3" s="257"/>
      <c r="V3" s="259" t="s">
        <v>169</v>
      </c>
      <c r="W3" s="259"/>
      <c r="X3" s="259"/>
      <c r="Y3" s="259"/>
      <c r="Z3" s="257"/>
      <c r="AA3" s="257"/>
      <c r="AB3" s="257"/>
      <c r="AC3" s="257"/>
    </row>
    <row r="4" spans="1:29" ht="13.5" customHeight="1" x14ac:dyDescent="0.25">
      <c r="A4" s="233"/>
      <c r="B4" s="260" t="s">
        <v>189</v>
      </c>
      <c r="C4" s="260" t="s">
        <v>190</v>
      </c>
      <c r="D4" s="260" t="s">
        <v>191</v>
      </c>
      <c r="E4" s="260" t="s">
        <v>192</v>
      </c>
      <c r="F4" s="257"/>
      <c r="G4" s="260" t="s">
        <v>189</v>
      </c>
      <c r="H4" s="260" t="s">
        <v>190</v>
      </c>
      <c r="I4" s="260" t="s">
        <v>191</v>
      </c>
      <c r="J4" s="260" t="s">
        <v>192</v>
      </c>
      <c r="K4" s="257"/>
      <c r="L4" s="260" t="s">
        <v>189</v>
      </c>
      <c r="M4" s="260" t="s">
        <v>190</v>
      </c>
      <c r="N4" s="260" t="s">
        <v>191</v>
      </c>
      <c r="O4" s="260" t="s">
        <v>192</v>
      </c>
      <c r="P4" s="257"/>
      <c r="Q4" s="260" t="s">
        <v>189</v>
      </c>
      <c r="R4" s="260" t="s">
        <v>190</v>
      </c>
      <c r="S4" s="260" t="s">
        <v>191</v>
      </c>
      <c r="T4" s="260" t="s">
        <v>192</v>
      </c>
      <c r="U4" s="257"/>
      <c r="V4" s="260" t="s">
        <v>189</v>
      </c>
      <c r="W4" s="260" t="s">
        <v>190</v>
      </c>
      <c r="X4" s="260" t="s">
        <v>191</v>
      </c>
      <c r="Y4" s="260" t="s">
        <v>192</v>
      </c>
      <c r="Z4" s="257"/>
      <c r="AA4" s="257"/>
      <c r="AB4" s="257"/>
      <c r="AC4" s="257"/>
    </row>
    <row r="5" spans="1:29" ht="9.75" customHeight="1" x14ac:dyDescent="0.25">
      <c r="A5" s="261" t="s">
        <v>193</v>
      </c>
      <c r="B5" s="262" t="s">
        <v>225</v>
      </c>
      <c r="C5" s="263">
        <v>79.069999999999993</v>
      </c>
      <c r="D5" s="263">
        <v>17.010000000000002</v>
      </c>
      <c r="E5" s="264">
        <v>3.92</v>
      </c>
      <c r="F5" s="265"/>
      <c r="G5" s="262" t="s">
        <v>226</v>
      </c>
      <c r="H5" s="263">
        <v>80.05</v>
      </c>
      <c r="I5" s="263">
        <v>16.22</v>
      </c>
      <c r="J5" s="264">
        <v>3.73</v>
      </c>
      <c r="K5" s="265"/>
      <c r="L5" s="262" t="s">
        <v>194</v>
      </c>
      <c r="M5" s="263">
        <v>80.83</v>
      </c>
      <c r="N5" s="263">
        <v>15.58</v>
      </c>
      <c r="O5" s="264">
        <v>3.59</v>
      </c>
      <c r="P5" s="265"/>
      <c r="Q5" s="262" t="s">
        <v>195</v>
      </c>
      <c r="R5" s="263">
        <v>81.36</v>
      </c>
      <c r="S5" s="263">
        <v>15.15</v>
      </c>
      <c r="T5" s="264">
        <v>3.49</v>
      </c>
      <c r="U5" s="265"/>
      <c r="V5" s="262" t="s">
        <v>196</v>
      </c>
      <c r="W5" s="263">
        <v>82.26</v>
      </c>
      <c r="X5" s="263">
        <v>14.42</v>
      </c>
      <c r="Y5" s="264">
        <v>3.32</v>
      </c>
      <c r="Z5" s="266"/>
      <c r="AA5" s="266"/>
      <c r="AB5" s="266"/>
      <c r="AC5" s="266"/>
    </row>
    <row r="6" spans="1:29" ht="9.75" customHeight="1" x14ac:dyDescent="0.25">
      <c r="A6" s="261" t="s">
        <v>199</v>
      </c>
      <c r="B6" s="262" t="s">
        <v>226</v>
      </c>
      <c r="C6" s="263">
        <v>78.569999999999993</v>
      </c>
      <c r="D6" s="263">
        <v>17.420000000000002</v>
      </c>
      <c r="E6" s="264">
        <v>4.01</v>
      </c>
      <c r="F6" s="265"/>
      <c r="G6" s="262" t="s">
        <v>194</v>
      </c>
      <c r="H6" s="263">
        <v>79.569999999999993</v>
      </c>
      <c r="I6" s="263">
        <v>16.61</v>
      </c>
      <c r="J6" s="264">
        <v>3.82</v>
      </c>
      <c r="K6" s="265"/>
      <c r="L6" s="262" t="s">
        <v>195</v>
      </c>
      <c r="M6" s="263">
        <v>80.36</v>
      </c>
      <c r="N6" s="263">
        <v>15.96</v>
      </c>
      <c r="O6" s="264">
        <v>3.68</v>
      </c>
      <c r="P6" s="265"/>
      <c r="Q6" s="262" t="s">
        <v>196</v>
      </c>
      <c r="R6" s="263">
        <v>80.91</v>
      </c>
      <c r="S6" s="263">
        <v>15.52</v>
      </c>
      <c r="T6" s="264">
        <v>3.57</v>
      </c>
      <c r="U6" s="265"/>
      <c r="V6" s="262" t="s">
        <v>197</v>
      </c>
      <c r="W6" s="263">
        <v>81.819999999999993</v>
      </c>
      <c r="X6" s="263">
        <v>14.78</v>
      </c>
      <c r="Y6" s="264">
        <v>3.4</v>
      </c>
      <c r="Z6" s="266"/>
      <c r="AA6" s="266"/>
      <c r="AB6" s="266"/>
      <c r="AC6" s="266"/>
    </row>
    <row r="7" spans="1:29" ht="9.75" customHeight="1" x14ac:dyDescent="0.25">
      <c r="A7" s="261" t="s">
        <v>201</v>
      </c>
      <c r="B7" s="262" t="s">
        <v>194</v>
      </c>
      <c r="C7" s="263">
        <v>78.05</v>
      </c>
      <c r="D7" s="263">
        <v>17.84</v>
      </c>
      <c r="E7" s="264">
        <v>4.1100000000000003</v>
      </c>
      <c r="F7" s="265"/>
      <c r="G7" s="262" t="s">
        <v>195</v>
      </c>
      <c r="H7" s="263">
        <v>79.06</v>
      </c>
      <c r="I7" s="263">
        <v>17.02</v>
      </c>
      <c r="J7" s="264">
        <v>3.92</v>
      </c>
      <c r="K7" s="265"/>
      <c r="L7" s="262" t="s">
        <v>196</v>
      </c>
      <c r="M7" s="263">
        <v>79.87</v>
      </c>
      <c r="N7" s="263">
        <v>16.36</v>
      </c>
      <c r="O7" s="264">
        <v>3.77</v>
      </c>
      <c r="P7" s="265"/>
      <c r="Q7" s="262" t="s">
        <v>197</v>
      </c>
      <c r="R7" s="263">
        <v>80.430000000000007</v>
      </c>
      <c r="S7" s="263">
        <v>15.91</v>
      </c>
      <c r="T7" s="264">
        <v>3.66</v>
      </c>
      <c r="U7" s="265"/>
      <c r="V7" s="262" t="s">
        <v>198</v>
      </c>
      <c r="W7" s="263">
        <v>81.36</v>
      </c>
      <c r="X7" s="263">
        <v>15.15</v>
      </c>
      <c r="Y7" s="264">
        <v>3.49</v>
      </c>
      <c r="Z7" s="266"/>
      <c r="AA7" s="266"/>
      <c r="AB7" s="266"/>
      <c r="AC7" s="266"/>
    </row>
    <row r="8" spans="1:29" ht="9.75" customHeight="1" x14ac:dyDescent="0.25">
      <c r="A8" s="261" t="s">
        <v>203</v>
      </c>
      <c r="B8" s="262" t="s">
        <v>195</v>
      </c>
      <c r="C8" s="263">
        <v>77.5</v>
      </c>
      <c r="D8" s="263">
        <v>18.29</v>
      </c>
      <c r="E8" s="264">
        <v>4.21</v>
      </c>
      <c r="F8" s="265"/>
      <c r="G8" s="262" t="s">
        <v>196</v>
      </c>
      <c r="H8" s="263">
        <v>78.53</v>
      </c>
      <c r="I8" s="263">
        <v>17.45</v>
      </c>
      <c r="J8" s="264">
        <v>4.0199999999999996</v>
      </c>
      <c r="K8" s="265"/>
      <c r="L8" s="262" t="s">
        <v>197</v>
      </c>
      <c r="M8" s="263">
        <v>79.37</v>
      </c>
      <c r="N8" s="263">
        <v>16.77</v>
      </c>
      <c r="O8" s="264">
        <v>3.86</v>
      </c>
      <c r="P8" s="265"/>
      <c r="Q8" s="262" t="s">
        <v>198</v>
      </c>
      <c r="R8" s="263">
        <v>79.92</v>
      </c>
      <c r="S8" s="263">
        <v>16.32</v>
      </c>
      <c r="T8" s="264">
        <v>3.76</v>
      </c>
      <c r="U8" s="265"/>
      <c r="V8" s="262" t="s">
        <v>200</v>
      </c>
      <c r="W8" s="263">
        <v>80.87</v>
      </c>
      <c r="X8" s="263">
        <v>15.55</v>
      </c>
      <c r="Y8" s="264">
        <v>3.58</v>
      </c>
      <c r="Z8" s="266"/>
      <c r="AA8" s="266"/>
      <c r="AB8" s="266"/>
      <c r="AC8" s="266"/>
    </row>
    <row r="9" spans="1:29" ht="9.75" customHeight="1" x14ac:dyDescent="0.25">
      <c r="A9" s="261" t="s">
        <v>205</v>
      </c>
      <c r="B9" s="262" t="s">
        <v>196</v>
      </c>
      <c r="C9" s="263">
        <v>76.92</v>
      </c>
      <c r="D9" s="263">
        <v>18.760000000000002</v>
      </c>
      <c r="E9" s="264">
        <v>4.32</v>
      </c>
      <c r="F9" s="265"/>
      <c r="G9" s="262" t="s">
        <v>197</v>
      </c>
      <c r="H9" s="263">
        <v>77.977999999999994</v>
      </c>
      <c r="I9" s="263">
        <v>17.899999999999999</v>
      </c>
      <c r="J9" s="264">
        <v>4.12</v>
      </c>
      <c r="K9" s="267"/>
      <c r="L9" s="262" t="s">
        <v>198</v>
      </c>
      <c r="M9" s="263">
        <v>78.819999999999993</v>
      </c>
      <c r="N9" s="263">
        <v>17.22</v>
      </c>
      <c r="O9" s="264">
        <v>3.96</v>
      </c>
      <c r="P9" s="265"/>
      <c r="Q9" s="262" t="s">
        <v>200</v>
      </c>
      <c r="R9" s="263">
        <v>79.38</v>
      </c>
      <c r="S9" s="263">
        <v>16.760000000000002</v>
      </c>
      <c r="T9" s="264">
        <v>3.86</v>
      </c>
      <c r="U9" s="265"/>
      <c r="V9" s="262" t="s">
        <v>202</v>
      </c>
      <c r="W9" s="263">
        <v>80.36</v>
      </c>
      <c r="X9" s="263">
        <v>15.96</v>
      </c>
      <c r="Y9" s="264">
        <v>3.68</v>
      </c>
      <c r="Z9" s="266"/>
      <c r="AA9" s="266"/>
      <c r="AB9" s="266"/>
      <c r="AC9" s="266"/>
    </row>
    <row r="10" spans="1:29" ht="9.75" customHeight="1" x14ac:dyDescent="0.25">
      <c r="A10" s="261" t="s">
        <v>207</v>
      </c>
      <c r="B10" s="262" t="s">
        <v>197</v>
      </c>
      <c r="C10" s="263">
        <v>76.319999999999993</v>
      </c>
      <c r="D10" s="263">
        <v>19.25</v>
      </c>
      <c r="E10" s="264">
        <v>4.43</v>
      </c>
      <c r="F10" s="265"/>
      <c r="G10" s="262" t="s">
        <v>198</v>
      </c>
      <c r="H10" s="263">
        <v>77.39</v>
      </c>
      <c r="I10" s="263">
        <v>18.38</v>
      </c>
      <c r="J10" s="264">
        <v>4.2300000000000004</v>
      </c>
      <c r="K10" s="265"/>
      <c r="L10" s="262" t="s">
        <v>200</v>
      </c>
      <c r="M10" s="263">
        <v>78.25</v>
      </c>
      <c r="N10" s="263">
        <v>17.68</v>
      </c>
      <c r="O10" s="264">
        <v>4.07</v>
      </c>
      <c r="P10" s="265"/>
      <c r="Q10" s="262" t="s">
        <v>202</v>
      </c>
      <c r="R10" s="263">
        <v>78.83</v>
      </c>
      <c r="S10" s="263">
        <v>17.21</v>
      </c>
      <c r="T10" s="264">
        <v>3.96</v>
      </c>
      <c r="U10" s="265"/>
      <c r="V10" s="262" t="s">
        <v>204</v>
      </c>
      <c r="W10" s="263">
        <v>79.819999999999993</v>
      </c>
      <c r="X10" s="263">
        <v>16.399999999999999</v>
      </c>
      <c r="Y10" s="264">
        <v>3.78</v>
      </c>
      <c r="Z10" s="266"/>
      <c r="AA10" s="266"/>
      <c r="AB10" s="266"/>
      <c r="AC10" s="266"/>
    </row>
    <row r="11" spans="1:29" ht="9.75" customHeight="1" x14ac:dyDescent="0.25">
      <c r="A11" s="261" t="s">
        <v>209</v>
      </c>
      <c r="B11" s="262" t="s">
        <v>198</v>
      </c>
      <c r="C11" s="263">
        <v>75.67</v>
      </c>
      <c r="D11" s="263">
        <v>19.77</v>
      </c>
      <c r="E11" s="264">
        <v>4.55</v>
      </c>
      <c r="F11" s="265"/>
      <c r="G11" s="262" t="s">
        <v>200</v>
      </c>
      <c r="H11" s="263">
        <v>76.77</v>
      </c>
      <c r="I11" s="263">
        <v>18.88</v>
      </c>
      <c r="J11" s="264">
        <v>4.3499999999999996</v>
      </c>
      <c r="K11" s="265"/>
      <c r="L11" s="262" t="s">
        <v>202</v>
      </c>
      <c r="M11" s="263">
        <v>77.650000000000006</v>
      </c>
      <c r="N11" s="263">
        <v>18.170000000000002</v>
      </c>
      <c r="O11" s="264">
        <v>4.18</v>
      </c>
      <c r="P11" s="265"/>
      <c r="Q11" s="262" t="s">
        <v>204</v>
      </c>
      <c r="R11" s="263">
        <v>78.239999999999995</v>
      </c>
      <c r="S11" s="263">
        <v>17.690000000000001</v>
      </c>
      <c r="T11" s="264">
        <v>4.07</v>
      </c>
      <c r="U11" s="265"/>
      <c r="V11" s="262" t="s">
        <v>206</v>
      </c>
      <c r="W11" s="263">
        <v>79.25</v>
      </c>
      <c r="X11" s="263">
        <v>16.87</v>
      </c>
      <c r="Y11" s="264">
        <v>3.88</v>
      </c>
      <c r="Z11" s="266"/>
      <c r="AA11" s="266"/>
      <c r="AB11" s="266"/>
      <c r="AC11" s="266"/>
    </row>
    <row r="12" spans="1:29" ht="9.75" customHeight="1" x14ac:dyDescent="0.25">
      <c r="A12" s="261" t="s">
        <v>211</v>
      </c>
      <c r="B12" s="262" t="s">
        <v>200</v>
      </c>
      <c r="C12" s="263">
        <v>75</v>
      </c>
      <c r="D12" s="263">
        <v>20.32</v>
      </c>
      <c r="E12" s="264">
        <v>4.68</v>
      </c>
      <c r="F12" s="265"/>
      <c r="G12" s="262" t="s">
        <v>202</v>
      </c>
      <c r="H12" s="263">
        <v>76.11</v>
      </c>
      <c r="I12" s="263">
        <v>19.420000000000002</v>
      </c>
      <c r="J12" s="264">
        <v>4.47</v>
      </c>
      <c r="K12" s="265"/>
      <c r="L12" s="262" t="s">
        <v>204</v>
      </c>
      <c r="M12" s="263">
        <v>77.010000000000005</v>
      </c>
      <c r="N12" s="263">
        <v>18.690000000000001</v>
      </c>
      <c r="O12" s="264">
        <v>4.3</v>
      </c>
      <c r="P12" s="265"/>
      <c r="Q12" s="262" t="s">
        <v>206</v>
      </c>
      <c r="R12" s="263">
        <v>77.61</v>
      </c>
      <c r="S12" s="263">
        <v>18.2</v>
      </c>
      <c r="T12" s="264">
        <v>4.1900000000000004</v>
      </c>
      <c r="U12" s="265"/>
      <c r="V12" s="262" t="s">
        <v>208</v>
      </c>
      <c r="W12" s="263">
        <v>78.64</v>
      </c>
      <c r="X12" s="263">
        <v>17.36</v>
      </c>
      <c r="Y12" s="264">
        <v>4</v>
      </c>
      <c r="Z12" s="266"/>
      <c r="AA12" s="266"/>
      <c r="AB12" s="266"/>
      <c r="AC12" s="266"/>
    </row>
    <row r="13" spans="1:29" ht="13.5" customHeight="1" x14ac:dyDescent="0.25">
      <c r="A13" s="268" t="s">
        <v>213</v>
      </c>
      <c r="B13" s="266"/>
      <c r="C13" s="264">
        <f>(C5+C6+C7+C8+C9+C10+C11+C12)/(8)</f>
        <v>77.137500000000003</v>
      </c>
      <c r="D13" s="264">
        <f>(D5+D6+D7+D8+D9+D10+D11+D12)/(8)</f>
        <v>18.5825</v>
      </c>
      <c r="E13" s="264">
        <f>(E5+E6+E7+E8+E9+E10+E11+E12)/(8)</f>
        <v>4.2787500000000005</v>
      </c>
      <c r="F13" s="266"/>
      <c r="G13" s="266"/>
      <c r="H13" s="264">
        <f>(H5+H6+H7+H8+H9+H10+H11+H12)/(8)</f>
        <v>78.18225000000001</v>
      </c>
      <c r="I13" s="264">
        <f>(I5+I6+I7+I8+I9+I10+I11+I12)/(8)</f>
        <v>17.734999999999999</v>
      </c>
      <c r="J13" s="264">
        <f>(J5+J6+J7+J8+J9+J10+J11+J12)/(8)</f>
        <v>4.0824999999999996</v>
      </c>
      <c r="K13" s="266"/>
      <c r="L13" s="266"/>
      <c r="M13" s="264">
        <f>(M5+M6+M7+M8+M9+M10+M11+M12)/(8)</f>
        <v>79.02</v>
      </c>
      <c r="N13" s="264">
        <f>(N5+N6+N7+N8+N9+N10+N11+N12)/(8)</f>
        <v>17.053750000000001</v>
      </c>
      <c r="O13" s="264">
        <f>(O5+O6+O7+O8+O9+O10+O11+O12)/(8)</f>
        <v>3.92625</v>
      </c>
      <c r="P13" s="266"/>
      <c r="Q13" s="266"/>
      <c r="R13" s="264">
        <f>(R5+R6+R7+R8+R9+R10+R11+R12)/(8)</f>
        <v>79.584999999999994</v>
      </c>
      <c r="S13" s="264">
        <f>(S5+S6+S7+S8+S9+S10+S11+S12)/(8)</f>
        <v>16.594999999999999</v>
      </c>
      <c r="T13" s="264">
        <f>(T5+T6+T7+T8+T9+T10+T11+T12)/(8)</f>
        <v>3.8200000000000003</v>
      </c>
      <c r="U13" s="266"/>
      <c r="V13" s="266"/>
      <c r="W13" s="264">
        <f>(W5+W6+W7+W8+W9+W10+W11+W12)/(8)</f>
        <v>80.547499999999999</v>
      </c>
      <c r="X13" s="264">
        <f>(X5+X6+X7+X8+X9+X10+X11+X12)/(8)</f>
        <v>15.811250000000003</v>
      </c>
      <c r="Y13" s="264">
        <f>(Y5+Y6+Y7+Y8+Y9+Y10+Y11+Y12)/(8)</f>
        <v>3.6412500000000003</v>
      </c>
      <c r="Z13" s="266"/>
      <c r="AA13" s="266"/>
      <c r="AB13" s="266"/>
      <c r="AC13" s="266"/>
    </row>
    <row r="14" spans="1:29" ht="3" customHeight="1" x14ac:dyDescent="0.25">
      <c r="A14" s="233"/>
      <c r="B14" s="266"/>
      <c r="C14" s="266"/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6"/>
      <c r="O14" s="266"/>
      <c r="P14" s="266"/>
      <c r="Q14" s="266"/>
      <c r="R14" s="266"/>
      <c r="S14" s="266"/>
      <c r="T14" s="266"/>
      <c r="U14" s="266"/>
      <c r="V14" s="266"/>
      <c r="W14" s="266"/>
      <c r="X14" s="266"/>
      <c r="Y14" s="269"/>
      <c r="Z14" s="266"/>
      <c r="AA14" s="266"/>
      <c r="AB14" s="266"/>
      <c r="AC14" s="266"/>
    </row>
    <row r="15" spans="1:29" ht="13.5" customHeight="1" x14ac:dyDescent="0.25">
      <c r="A15" s="233"/>
      <c r="B15" s="258" t="s">
        <v>165</v>
      </c>
      <c r="C15" s="258"/>
      <c r="D15" s="258"/>
      <c r="E15" s="258"/>
      <c r="F15" s="266"/>
      <c r="G15" s="258" t="s">
        <v>166</v>
      </c>
      <c r="H15" s="258"/>
      <c r="I15" s="258"/>
      <c r="J15" s="258"/>
      <c r="K15" s="266"/>
      <c r="L15" s="258" t="s">
        <v>167</v>
      </c>
      <c r="M15" s="258"/>
      <c r="N15" s="258"/>
      <c r="O15" s="258"/>
      <c r="P15" s="266"/>
      <c r="Q15" s="258" t="s">
        <v>168</v>
      </c>
      <c r="R15" s="258"/>
      <c r="S15" s="258"/>
      <c r="T15" s="258"/>
      <c r="U15" s="266"/>
      <c r="V15" s="266"/>
      <c r="W15" s="266"/>
      <c r="X15" s="266"/>
      <c r="Y15" s="269"/>
      <c r="Z15" s="266"/>
      <c r="AA15" s="266"/>
      <c r="AB15" s="266"/>
      <c r="AC15" s="266"/>
    </row>
    <row r="16" spans="1:29" ht="13.5" customHeight="1" x14ac:dyDescent="0.25">
      <c r="A16" s="233"/>
      <c r="B16" s="259" t="s">
        <v>169</v>
      </c>
      <c r="C16" s="259"/>
      <c r="D16" s="259"/>
      <c r="E16" s="259"/>
      <c r="F16" s="266"/>
      <c r="G16" s="259" t="s">
        <v>169</v>
      </c>
      <c r="H16" s="259"/>
      <c r="I16" s="259"/>
      <c r="J16" s="259"/>
      <c r="K16" s="266"/>
      <c r="L16" s="259" t="s">
        <v>169</v>
      </c>
      <c r="M16" s="259"/>
      <c r="N16" s="259"/>
      <c r="O16" s="259"/>
      <c r="P16" s="266"/>
      <c r="Q16" s="259" t="s">
        <v>169</v>
      </c>
      <c r="R16" s="259"/>
      <c r="S16" s="259"/>
      <c r="T16" s="259"/>
      <c r="U16" s="266"/>
      <c r="V16" s="266"/>
      <c r="W16" s="266"/>
      <c r="X16" s="266"/>
      <c r="Y16" s="269"/>
      <c r="Z16" s="266"/>
      <c r="AA16" s="266"/>
      <c r="AB16" s="266"/>
      <c r="AC16" s="266"/>
    </row>
    <row r="17" spans="1:29" ht="13.5" customHeight="1" x14ac:dyDescent="0.25">
      <c r="A17" s="233"/>
      <c r="B17" s="260" t="s">
        <v>189</v>
      </c>
      <c r="C17" s="260" t="s">
        <v>190</v>
      </c>
      <c r="D17" s="260" t="s">
        <v>191</v>
      </c>
      <c r="E17" s="260" t="s">
        <v>192</v>
      </c>
      <c r="F17" s="266"/>
      <c r="G17" s="260" t="s">
        <v>189</v>
      </c>
      <c r="H17" s="260" t="s">
        <v>190</v>
      </c>
      <c r="I17" s="260" t="s">
        <v>191</v>
      </c>
      <c r="J17" s="260" t="s">
        <v>192</v>
      </c>
      <c r="K17" s="266"/>
      <c r="L17" s="260" t="s">
        <v>189</v>
      </c>
      <c r="M17" s="260" t="s">
        <v>190</v>
      </c>
      <c r="N17" s="260" t="s">
        <v>191</v>
      </c>
      <c r="O17" s="260" t="s">
        <v>192</v>
      </c>
      <c r="P17" s="266"/>
      <c r="Q17" s="260" t="s">
        <v>189</v>
      </c>
      <c r="R17" s="260" t="s">
        <v>190</v>
      </c>
      <c r="S17" s="260" t="s">
        <v>191</v>
      </c>
      <c r="T17" s="260" t="s">
        <v>192</v>
      </c>
      <c r="U17" s="266"/>
      <c r="V17" s="266" t="s">
        <v>214</v>
      </c>
      <c r="W17" s="266"/>
      <c r="X17" s="266"/>
      <c r="Y17" s="269"/>
      <c r="Z17" s="266"/>
      <c r="AA17" s="266"/>
      <c r="AB17" s="266"/>
      <c r="AC17" s="266"/>
    </row>
    <row r="18" spans="1:29" ht="9.75" customHeight="1" x14ac:dyDescent="0.25">
      <c r="A18" s="261" t="s">
        <v>193</v>
      </c>
      <c r="B18" s="262" t="s">
        <v>197</v>
      </c>
      <c r="C18" s="263">
        <v>83.55</v>
      </c>
      <c r="D18" s="263">
        <v>13.37</v>
      </c>
      <c r="E18" s="264">
        <v>3.08</v>
      </c>
      <c r="F18" s="265"/>
      <c r="G18" s="262" t="s">
        <v>198</v>
      </c>
      <c r="H18" s="263">
        <v>84.3</v>
      </c>
      <c r="I18" s="263">
        <v>12.76</v>
      </c>
      <c r="J18" s="264">
        <v>2.94</v>
      </c>
      <c r="K18" s="265"/>
      <c r="L18" s="262" t="s">
        <v>200</v>
      </c>
      <c r="M18" s="263">
        <v>85.25</v>
      </c>
      <c r="N18" s="263">
        <v>11.99</v>
      </c>
      <c r="O18" s="264">
        <v>2.76</v>
      </c>
      <c r="P18" s="265"/>
      <c r="Q18" s="262" t="s">
        <v>202</v>
      </c>
      <c r="R18" s="263">
        <v>86.28</v>
      </c>
      <c r="S18" s="263">
        <v>11.15</v>
      </c>
      <c r="T18" s="264">
        <v>2.57</v>
      </c>
      <c r="U18" s="265"/>
      <c r="V18" s="270" t="s">
        <v>215</v>
      </c>
      <c r="W18" s="270"/>
      <c r="X18" s="270"/>
      <c r="Y18" s="271"/>
      <c r="Z18" s="266"/>
      <c r="AA18" s="266"/>
      <c r="AB18" s="266"/>
      <c r="AC18" s="266"/>
    </row>
    <row r="19" spans="1:29" ht="9.75" customHeight="1" x14ac:dyDescent="0.25">
      <c r="A19" s="261" t="s">
        <v>199</v>
      </c>
      <c r="B19" s="262" t="s">
        <v>198</v>
      </c>
      <c r="C19" s="263">
        <v>83.13</v>
      </c>
      <c r="D19" s="263">
        <v>13.71</v>
      </c>
      <c r="E19" s="264">
        <v>3.16</v>
      </c>
      <c r="F19" s="265"/>
      <c r="G19" s="262" t="s">
        <v>200</v>
      </c>
      <c r="H19" s="263">
        <v>83.9</v>
      </c>
      <c r="I19" s="263">
        <v>13.09</v>
      </c>
      <c r="J19" s="264">
        <v>3.01</v>
      </c>
      <c r="K19" s="265"/>
      <c r="L19" s="262" t="s">
        <v>202</v>
      </c>
      <c r="M19" s="263">
        <v>84.88</v>
      </c>
      <c r="N19" s="263">
        <v>12.29</v>
      </c>
      <c r="O19" s="264">
        <v>2.83</v>
      </c>
      <c r="P19" s="265"/>
      <c r="Q19" s="262" t="s">
        <v>204</v>
      </c>
      <c r="R19" s="263">
        <v>85.91</v>
      </c>
      <c r="S19" s="263">
        <v>11.45</v>
      </c>
      <c r="T19" s="264">
        <v>2.64</v>
      </c>
      <c r="U19" s="265"/>
      <c r="V19" s="265"/>
      <c r="W19" s="265"/>
      <c r="X19" s="265"/>
      <c r="Y19" s="271"/>
      <c r="Z19" s="266"/>
      <c r="AA19" s="266"/>
      <c r="AB19" s="266"/>
      <c r="AC19" s="266"/>
    </row>
    <row r="20" spans="1:29" ht="9.75" customHeight="1" x14ac:dyDescent="0.25">
      <c r="A20" s="261" t="s">
        <v>201</v>
      </c>
      <c r="B20" s="262" t="s">
        <v>200</v>
      </c>
      <c r="C20" s="263">
        <v>82.7</v>
      </c>
      <c r="D20" s="263">
        <v>14.06</v>
      </c>
      <c r="E20" s="264">
        <v>3.24</v>
      </c>
      <c r="F20" s="265"/>
      <c r="G20" s="262" t="s">
        <v>202</v>
      </c>
      <c r="H20" s="263">
        <v>83.48</v>
      </c>
      <c r="I20" s="263">
        <v>13.43</v>
      </c>
      <c r="J20" s="264">
        <v>3.09</v>
      </c>
      <c r="K20" s="265"/>
      <c r="L20" s="262" t="s">
        <v>204</v>
      </c>
      <c r="M20" s="263">
        <v>84.47</v>
      </c>
      <c r="N20" s="263">
        <v>12.62</v>
      </c>
      <c r="O20" s="264">
        <v>2.91</v>
      </c>
      <c r="P20" s="265"/>
      <c r="Q20" s="262" t="s">
        <v>206</v>
      </c>
      <c r="R20" s="263">
        <v>85.54</v>
      </c>
      <c r="S20" s="263">
        <v>11.75</v>
      </c>
      <c r="T20" s="264">
        <v>2.71</v>
      </c>
      <c r="U20" s="265"/>
      <c r="V20" s="270" t="s">
        <v>216</v>
      </c>
      <c r="W20" s="270"/>
      <c r="X20" s="270"/>
      <c r="Y20" s="271"/>
      <c r="Z20" s="266"/>
      <c r="AA20" s="266"/>
      <c r="AB20" s="266"/>
      <c r="AC20" s="266"/>
    </row>
    <row r="21" spans="1:29" ht="9.75" customHeight="1" x14ac:dyDescent="0.25">
      <c r="A21" s="261" t="s">
        <v>203</v>
      </c>
      <c r="B21" s="262" t="s">
        <v>202</v>
      </c>
      <c r="C21" s="263">
        <v>82.24</v>
      </c>
      <c r="D21" s="263">
        <v>14.44</v>
      </c>
      <c r="E21" s="264">
        <v>3.32</v>
      </c>
      <c r="F21" s="265"/>
      <c r="G21" s="262" t="s">
        <v>204</v>
      </c>
      <c r="H21" s="263">
        <v>83.03</v>
      </c>
      <c r="I21" s="263">
        <v>13.79</v>
      </c>
      <c r="J21" s="264">
        <v>3.18</v>
      </c>
      <c r="K21" s="265"/>
      <c r="L21" s="262" t="s">
        <v>206</v>
      </c>
      <c r="M21" s="263">
        <v>84.05</v>
      </c>
      <c r="N21" s="263">
        <v>12.96</v>
      </c>
      <c r="O21" s="264">
        <v>2.99</v>
      </c>
      <c r="P21" s="265"/>
      <c r="Q21" s="262" t="s">
        <v>208</v>
      </c>
      <c r="R21" s="263">
        <v>85.15</v>
      </c>
      <c r="S21" s="263">
        <v>12.07</v>
      </c>
      <c r="T21" s="264">
        <v>2.78</v>
      </c>
      <c r="U21" s="265"/>
      <c r="V21" s="265"/>
      <c r="W21" s="265"/>
      <c r="X21" s="265"/>
      <c r="Y21" s="271"/>
      <c r="Z21" s="266"/>
      <c r="AA21" s="266"/>
      <c r="AB21" s="266"/>
      <c r="AC21" s="266"/>
    </row>
    <row r="22" spans="1:29" ht="9.75" customHeight="1" x14ac:dyDescent="0.25">
      <c r="A22" s="261" t="s">
        <v>205</v>
      </c>
      <c r="B22" s="262" t="s">
        <v>204</v>
      </c>
      <c r="C22" s="263">
        <v>81.75</v>
      </c>
      <c r="D22" s="263">
        <v>14.83</v>
      </c>
      <c r="E22" s="264">
        <v>3.42</v>
      </c>
      <c r="F22" s="265"/>
      <c r="G22" s="262" t="s">
        <v>206</v>
      </c>
      <c r="H22" s="263">
        <v>82.57</v>
      </c>
      <c r="I22" s="263">
        <v>14.17</v>
      </c>
      <c r="J22" s="264">
        <v>3.26</v>
      </c>
      <c r="K22" s="265"/>
      <c r="L22" s="262" t="s">
        <v>208</v>
      </c>
      <c r="M22" s="263">
        <v>83.61</v>
      </c>
      <c r="N22" s="263">
        <v>13.32</v>
      </c>
      <c r="O22" s="264">
        <v>3.07</v>
      </c>
      <c r="P22" s="265"/>
      <c r="Q22" s="262" t="s">
        <v>210</v>
      </c>
      <c r="R22" s="263">
        <v>84.72</v>
      </c>
      <c r="S22" s="263">
        <v>12.42</v>
      </c>
      <c r="T22" s="264">
        <v>2.86</v>
      </c>
      <c r="U22" s="265"/>
      <c r="V22" s="265"/>
      <c r="W22" s="265"/>
      <c r="X22" s="265"/>
      <c r="Y22" s="271"/>
      <c r="Z22" s="266"/>
      <c r="AA22" s="266"/>
      <c r="AB22" s="266"/>
      <c r="AC22" s="266"/>
    </row>
    <row r="23" spans="1:29" ht="9.75" customHeight="1" x14ac:dyDescent="0.25">
      <c r="A23" s="261" t="s">
        <v>207</v>
      </c>
      <c r="B23" s="262" t="s">
        <v>206</v>
      </c>
      <c r="C23" s="263">
        <v>81.25</v>
      </c>
      <c r="D23" s="263">
        <v>15.24</v>
      </c>
      <c r="E23" s="264">
        <v>3.51</v>
      </c>
      <c r="F23" s="265"/>
      <c r="G23" s="262" t="s">
        <v>208</v>
      </c>
      <c r="H23" s="263">
        <v>82.07</v>
      </c>
      <c r="I23" s="263">
        <v>14.57</v>
      </c>
      <c r="J23" s="264">
        <v>3.36</v>
      </c>
      <c r="K23" s="265"/>
      <c r="L23" s="262" t="s">
        <v>210</v>
      </c>
      <c r="M23" s="263">
        <v>83.14</v>
      </c>
      <c r="N23" s="263">
        <v>13.7</v>
      </c>
      <c r="O23" s="264">
        <v>3.16</v>
      </c>
      <c r="P23" s="265"/>
      <c r="Q23" s="262" t="s">
        <v>212</v>
      </c>
      <c r="R23" s="263">
        <v>84.28</v>
      </c>
      <c r="S23" s="263">
        <v>12.78</v>
      </c>
      <c r="T23" s="264">
        <v>2.94</v>
      </c>
      <c r="U23" s="265"/>
      <c r="V23" s="265"/>
      <c r="W23" s="265"/>
      <c r="X23" s="265"/>
      <c r="Y23" s="271"/>
      <c r="Z23" s="266"/>
      <c r="AA23" s="266"/>
      <c r="AB23" s="266"/>
      <c r="AC23" s="266"/>
    </row>
    <row r="24" spans="1:29" ht="9.75" customHeight="1" x14ac:dyDescent="0.25">
      <c r="A24" s="261" t="s">
        <v>209</v>
      </c>
      <c r="B24" s="262" t="s">
        <v>208</v>
      </c>
      <c r="C24" s="263">
        <v>80.709999999999994</v>
      </c>
      <c r="D24" s="263">
        <v>15.68</v>
      </c>
      <c r="E24" s="264">
        <v>3.61</v>
      </c>
      <c r="F24" s="265"/>
      <c r="G24" s="262" t="s">
        <v>210</v>
      </c>
      <c r="H24" s="263">
        <v>81.56</v>
      </c>
      <c r="I24" s="263">
        <v>14.99</v>
      </c>
      <c r="J24" s="264">
        <v>3.45</v>
      </c>
      <c r="K24" s="265"/>
      <c r="L24" s="262" t="s">
        <v>212</v>
      </c>
      <c r="M24" s="263">
        <v>82.64</v>
      </c>
      <c r="N24" s="263">
        <v>14.11</v>
      </c>
      <c r="O24" s="264">
        <v>3.25</v>
      </c>
      <c r="P24" s="265"/>
      <c r="Q24" s="262" t="s">
        <v>217</v>
      </c>
      <c r="R24" s="263">
        <v>83.81</v>
      </c>
      <c r="S24" s="263">
        <v>13.16</v>
      </c>
      <c r="T24" s="264">
        <v>3.03</v>
      </c>
      <c r="U24" s="265"/>
      <c r="V24" s="265"/>
      <c r="W24" s="265"/>
      <c r="X24" s="265"/>
      <c r="Y24" s="271"/>
      <c r="Z24" s="266"/>
      <c r="AA24" s="266"/>
      <c r="AB24" s="266"/>
      <c r="AC24" s="266"/>
    </row>
    <row r="25" spans="1:29" ht="9.75" customHeight="1" x14ac:dyDescent="0.25">
      <c r="A25" s="261" t="s">
        <v>211</v>
      </c>
      <c r="B25" s="262" t="s">
        <v>210</v>
      </c>
      <c r="C25" s="263">
        <v>80.13</v>
      </c>
      <c r="D25" s="263">
        <v>16.149999999999999</v>
      </c>
      <c r="E25" s="264">
        <v>3.72</v>
      </c>
      <c r="F25" s="265"/>
      <c r="G25" s="262" t="s">
        <v>212</v>
      </c>
      <c r="H25" s="263">
        <v>81</v>
      </c>
      <c r="I25" s="263">
        <v>15.44</v>
      </c>
      <c r="J25" s="264">
        <v>3.56</v>
      </c>
      <c r="K25" s="265"/>
      <c r="L25" s="262" t="s">
        <v>217</v>
      </c>
      <c r="M25" s="263">
        <v>82.11</v>
      </c>
      <c r="N25" s="263">
        <v>14.54</v>
      </c>
      <c r="O25" s="264">
        <v>3.35</v>
      </c>
      <c r="P25" s="265"/>
      <c r="Q25" s="262" t="s">
        <v>218</v>
      </c>
      <c r="R25" s="263">
        <v>83.32</v>
      </c>
      <c r="S25" s="263">
        <v>13.56</v>
      </c>
      <c r="T25" s="264">
        <v>3.12</v>
      </c>
      <c r="U25" s="265"/>
      <c r="V25" s="265"/>
      <c r="W25" s="265"/>
      <c r="X25" s="265"/>
      <c r="Y25" s="271"/>
      <c r="Z25" s="266"/>
      <c r="AA25" s="266"/>
      <c r="AB25" s="266"/>
      <c r="AC25" s="266"/>
    </row>
    <row r="26" spans="1:29" ht="13.5" customHeight="1" x14ac:dyDescent="0.25">
      <c r="A26" s="268" t="s">
        <v>213</v>
      </c>
      <c r="B26" s="266"/>
      <c r="C26" s="264">
        <f>(C18+C19+C20+C21+C22+C23+C24+C25)/(8)</f>
        <v>81.932500000000005</v>
      </c>
      <c r="D26" s="264">
        <f>(D18+D19+D20+D21+D22+D23+D24+D25)/(8)</f>
        <v>14.684999999999999</v>
      </c>
      <c r="E26" s="264">
        <f>(E18+E19+E20+E21+E22+E23+E24+E25)/(8)</f>
        <v>3.3824999999999994</v>
      </c>
      <c r="F26" s="266"/>
      <c r="G26" s="266"/>
      <c r="H26" s="264">
        <f>(H18+H19+H20+H21+H22+H23+H24+H25)/(8)</f>
        <v>82.73875000000001</v>
      </c>
      <c r="I26" s="264">
        <f>(I18+I19+I20+I21+I22+I23+I24+I25)/(8)</f>
        <v>14.03</v>
      </c>
      <c r="J26" s="264">
        <f>(J18+J19+J20+J21+J22+J23+J24+J25)/(8)</f>
        <v>3.2312499999999997</v>
      </c>
      <c r="K26" s="266"/>
      <c r="L26" s="266"/>
      <c r="M26" s="264">
        <f>(M18+M19+M20+M21+M22+M23+M24+M25)/(8)</f>
        <v>83.768749999999997</v>
      </c>
      <c r="N26" s="264">
        <f>(N18+N19+N20+N21+N22+N23+N24+N25)/(8)</f>
        <v>13.19125</v>
      </c>
      <c r="O26" s="264">
        <f>(O18+O19+O20+O21+O22+O23+O24+O25)/(8)</f>
        <v>3.04</v>
      </c>
      <c r="P26" s="266"/>
      <c r="Q26" s="266"/>
      <c r="R26" s="264">
        <f>(R18+R19+R20+R21+R22+R23+R24+R25)/(8)</f>
        <v>84.876249999999999</v>
      </c>
      <c r="S26" s="264">
        <f>(S18+S19+S20+S21+S22+S23+S24+S25)/(8)</f>
        <v>12.2925</v>
      </c>
      <c r="T26" s="264">
        <f>(T18+T19+T20+T21+T22+T23+T24+T25)/(8)</f>
        <v>2.8312500000000003</v>
      </c>
      <c r="U26" s="266"/>
      <c r="V26" s="266"/>
      <c r="W26" s="266"/>
      <c r="X26" s="266"/>
      <c r="Y26" s="269"/>
      <c r="Z26" s="266"/>
      <c r="AA26" s="266"/>
      <c r="AB26" s="266"/>
      <c r="AC26" s="266"/>
    </row>
    <row r="27" spans="1:29" ht="4.5" customHeight="1" x14ac:dyDescent="0.25">
      <c r="A27" s="247"/>
      <c r="B27" s="272"/>
      <c r="C27" s="272"/>
      <c r="D27" s="272"/>
      <c r="E27" s="272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72"/>
      <c r="R27" s="272"/>
      <c r="S27" s="272"/>
      <c r="T27" s="272"/>
      <c r="U27" s="272"/>
      <c r="V27" s="272"/>
      <c r="W27" s="272"/>
      <c r="X27" s="272"/>
      <c r="Y27" s="273"/>
      <c r="Z27" s="266"/>
      <c r="AA27" s="266"/>
      <c r="AB27" s="266"/>
      <c r="AC27" s="266"/>
    </row>
    <row r="28" spans="1:29" ht="6" customHeight="1" x14ac:dyDescent="0.25"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</row>
    <row r="29" spans="1:29" x14ac:dyDescent="0.25">
      <c r="A29" s="256" t="s">
        <v>182</v>
      </c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66"/>
      <c r="AA29" s="266"/>
      <c r="AB29" s="266"/>
      <c r="AC29" s="266"/>
    </row>
    <row r="30" spans="1:29" ht="13.5" customHeight="1" x14ac:dyDescent="0.25">
      <c r="A30" s="233"/>
      <c r="B30" s="258" t="s">
        <v>184</v>
      </c>
      <c r="C30" s="258"/>
      <c r="D30" s="258"/>
      <c r="E30" s="258"/>
      <c r="F30" s="266"/>
      <c r="G30" s="258" t="s">
        <v>185</v>
      </c>
      <c r="H30" s="258"/>
      <c r="I30" s="258"/>
      <c r="J30" s="258"/>
      <c r="K30" s="257"/>
      <c r="L30" s="258" t="s">
        <v>186</v>
      </c>
      <c r="M30" s="258"/>
      <c r="N30" s="258"/>
      <c r="O30" s="258"/>
      <c r="P30" s="257"/>
      <c r="Q30" s="258" t="s">
        <v>187</v>
      </c>
      <c r="R30" s="258"/>
      <c r="S30" s="258"/>
      <c r="T30" s="258"/>
      <c r="U30" s="257"/>
      <c r="V30" s="258" t="s">
        <v>188</v>
      </c>
      <c r="W30" s="258"/>
      <c r="X30" s="258"/>
      <c r="Y30" s="258"/>
      <c r="Z30" s="266"/>
      <c r="AA30" s="266"/>
      <c r="AB30" s="266"/>
      <c r="AC30" s="266"/>
    </row>
    <row r="31" spans="1:29" ht="13.5" customHeight="1" x14ac:dyDescent="0.25">
      <c r="A31" s="233"/>
      <c r="B31" s="259" t="s">
        <v>176</v>
      </c>
      <c r="C31" s="259"/>
      <c r="D31" s="259"/>
      <c r="E31" s="259"/>
      <c r="F31" s="266"/>
      <c r="G31" s="259" t="s">
        <v>176</v>
      </c>
      <c r="H31" s="259"/>
      <c r="I31" s="259"/>
      <c r="J31" s="259"/>
      <c r="K31" s="257"/>
      <c r="L31" s="259" t="s">
        <v>176</v>
      </c>
      <c r="M31" s="259"/>
      <c r="N31" s="259"/>
      <c r="O31" s="259"/>
      <c r="P31" s="257"/>
      <c r="Q31" s="259" t="s">
        <v>176</v>
      </c>
      <c r="R31" s="259"/>
      <c r="S31" s="259"/>
      <c r="T31" s="259"/>
      <c r="U31" s="257"/>
      <c r="V31" s="259" t="s">
        <v>176</v>
      </c>
      <c r="W31" s="259"/>
      <c r="X31" s="259"/>
      <c r="Y31" s="259"/>
      <c r="Z31" s="266"/>
      <c r="AA31" s="266"/>
      <c r="AB31" s="266"/>
      <c r="AC31" s="266"/>
    </row>
    <row r="32" spans="1:29" ht="13.5" customHeight="1" x14ac:dyDescent="0.25">
      <c r="A32" s="233"/>
      <c r="B32" s="260" t="s">
        <v>189</v>
      </c>
      <c r="C32" s="260" t="s">
        <v>190</v>
      </c>
      <c r="D32" s="260" t="s">
        <v>191</v>
      </c>
      <c r="E32" s="260" t="s">
        <v>192</v>
      </c>
      <c r="F32" s="266"/>
      <c r="G32" s="260" t="s">
        <v>189</v>
      </c>
      <c r="H32" s="260" t="s">
        <v>190</v>
      </c>
      <c r="I32" s="260" t="s">
        <v>191</v>
      </c>
      <c r="J32" s="260" t="s">
        <v>192</v>
      </c>
      <c r="K32" s="257"/>
      <c r="L32" s="260" t="s">
        <v>189</v>
      </c>
      <c r="M32" s="260" t="s">
        <v>190</v>
      </c>
      <c r="N32" s="260" t="s">
        <v>191</v>
      </c>
      <c r="O32" s="260" t="s">
        <v>192</v>
      </c>
      <c r="P32" s="257"/>
      <c r="Q32" s="260" t="s">
        <v>189</v>
      </c>
      <c r="R32" s="260" t="s">
        <v>190</v>
      </c>
      <c r="S32" s="260" t="s">
        <v>191</v>
      </c>
      <c r="T32" s="260" t="s">
        <v>192</v>
      </c>
      <c r="U32" s="257"/>
      <c r="V32" s="260" t="s">
        <v>189</v>
      </c>
      <c r="W32" s="260" t="s">
        <v>190</v>
      </c>
      <c r="X32" s="260" t="s">
        <v>191</v>
      </c>
      <c r="Y32" s="260" t="s">
        <v>192</v>
      </c>
      <c r="Z32" s="266"/>
      <c r="AA32" s="266"/>
      <c r="AB32" s="266"/>
      <c r="AC32" s="266"/>
    </row>
    <row r="33" spans="1:29" ht="9.75" customHeight="1" x14ac:dyDescent="0.25">
      <c r="A33" s="261" t="s">
        <v>193</v>
      </c>
      <c r="B33" s="262" t="s">
        <v>226</v>
      </c>
      <c r="C33" s="263">
        <v>77.239999999999995</v>
      </c>
      <c r="D33" s="263">
        <v>16.62</v>
      </c>
      <c r="E33" s="264">
        <v>6.14</v>
      </c>
      <c r="F33" s="265"/>
      <c r="G33" s="262" t="s">
        <v>194</v>
      </c>
      <c r="H33" s="263">
        <v>78.28</v>
      </c>
      <c r="I33" s="263">
        <v>15.86</v>
      </c>
      <c r="J33" s="264">
        <v>5.86</v>
      </c>
      <c r="K33" s="265"/>
      <c r="L33" s="262" t="s">
        <v>195</v>
      </c>
      <c r="M33" s="263">
        <v>79.11</v>
      </c>
      <c r="N33" s="263">
        <v>15.25</v>
      </c>
      <c r="O33" s="264">
        <v>5.64</v>
      </c>
      <c r="P33" s="265"/>
      <c r="Q33" s="262" t="s">
        <v>196</v>
      </c>
      <c r="R33" s="263">
        <v>79.67</v>
      </c>
      <c r="S33" s="263">
        <v>14.84</v>
      </c>
      <c r="T33" s="264">
        <v>5.49</v>
      </c>
      <c r="U33" s="265"/>
      <c r="V33" s="262" t="s">
        <v>197</v>
      </c>
      <c r="W33" s="263">
        <v>80.64</v>
      </c>
      <c r="X33" s="263">
        <v>14.13</v>
      </c>
      <c r="Y33" s="264">
        <v>5.23</v>
      </c>
      <c r="Z33" s="266"/>
      <c r="AA33" s="266"/>
      <c r="AB33" s="266"/>
      <c r="AC33" s="266"/>
    </row>
    <row r="34" spans="1:29" ht="9.75" customHeight="1" x14ac:dyDescent="0.25">
      <c r="A34" s="261" t="s">
        <v>199</v>
      </c>
      <c r="B34" s="262" t="s">
        <v>194</v>
      </c>
      <c r="C34" s="263">
        <v>76.7</v>
      </c>
      <c r="D34" s="263">
        <v>17.010000000000002</v>
      </c>
      <c r="E34" s="264">
        <v>6.29</v>
      </c>
      <c r="F34" s="265"/>
      <c r="G34" s="262" t="s">
        <v>195</v>
      </c>
      <c r="H34" s="263">
        <v>77.77</v>
      </c>
      <c r="I34" s="263">
        <v>16.23</v>
      </c>
      <c r="J34" s="264">
        <v>6</v>
      </c>
      <c r="K34" s="265"/>
      <c r="L34" s="262" t="s">
        <v>196</v>
      </c>
      <c r="M34" s="263">
        <v>78.62</v>
      </c>
      <c r="N34" s="263">
        <v>15.61</v>
      </c>
      <c r="O34" s="264">
        <v>5.77</v>
      </c>
      <c r="P34" s="265"/>
      <c r="Q34" s="262" t="s">
        <v>197</v>
      </c>
      <c r="R34" s="263">
        <v>79.19</v>
      </c>
      <c r="S34" s="263">
        <v>15.19</v>
      </c>
      <c r="T34" s="264">
        <v>5.62</v>
      </c>
      <c r="U34" s="265"/>
      <c r="V34" s="262" t="s">
        <v>198</v>
      </c>
      <c r="W34" s="263">
        <v>80.17</v>
      </c>
      <c r="X34" s="263">
        <v>14.48</v>
      </c>
      <c r="Y34" s="264">
        <v>5.35</v>
      </c>
      <c r="Z34" s="266"/>
      <c r="AA34" s="266"/>
      <c r="AB34" s="266"/>
      <c r="AC34" s="266"/>
    </row>
    <row r="35" spans="1:29" ht="9.75" customHeight="1" x14ac:dyDescent="0.25">
      <c r="A35" s="261" t="s">
        <v>201</v>
      </c>
      <c r="B35" s="262" t="s">
        <v>195</v>
      </c>
      <c r="C35" s="263">
        <v>76.150000000000006</v>
      </c>
      <c r="D35" s="263">
        <v>17.41</v>
      </c>
      <c r="E35" s="264">
        <v>6.44</v>
      </c>
      <c r="F35" s="265"/>
      <c r="G35" s="262" t="s">
        <v>196</v>
      </c>
      <c r="H35" s="263">
        <v>77.23</v>
      </c>
      <c r="I35" s="263">
        <v>16.62</v>
      </c>
      <c r="J35" s="264">
        <v>6.15</v>
      </c>
      <c r="K35" s="265"/>
      <c r="L35" s="262" t="s">
        <v>197</v>
      </c>
      <c r="M35" s="263">
        <v>78.099999999999994</v>
      </c>
      <c r="N35" s="263">
        <v>15.99</v>
      </c>
      <c r="O35" s="264">
        <v>5.91</v>
      </c>
      <c r="P35" s="265"/>
      <c r="Q35" s="262" t="s">
        <v>198</v>
      </c>
      <c r="R35" s="263">
        <v>78.67</v>
      </c>
      <c r="S35" s="263">
        <v>15.57</v>
      </c>
      <c r="T35" s="264">
        <v>5.76</v>
      </c>
      <c r="U35" s="265"/>
      <c r="V35" s="262" t="s">
        <v>200</v>
      </c>
      <c r="W35" s="263">
        <v>79.67</v>
      </c>
      <c r="X35" s="263">
        <v>14.84</v>
      </c>
      <c r="Y35" s="264">
        <v>5.49</v>
      </c>
      <c r="Z35" s="266"/>
      <c r="AA35" s="266"/>
      <c r="AB35" s="266"/>
      <c r="AC35" s="266"/>
    </row>
    <row r="36" spans="1:29" ht="9.75" customHeight="1" x14ac:dyDescent="0.25">
      <c r="A36" s="261" t="s">
        <v>203</v>
      </c>
      <c r="B36" s="262" t="s">
        <v>196</v>
      </c>
      <c r="C36" s="263">
        <v>75.569999999999993</v>
      </c>
      <c r="D36" s="263">
        <v>17.84</v>
      </c>
      <c r="E36" s="264">
        <v>6.59</v>
      </c>
      <c r="F36" s="265"/>
      <c r="G36" s="262" t="s">
        <v>197</v>
      </c>
      <c r="H36" s="263">
        <v>76.67</v>
      </c>
      <c r="I36" s="263">
        <v>17.03</v>
      </c>
      <c r="J36" s="264">
        <v>6.3</v>
      </c>
      <c r="K36" s="265"/>
      <c r="L36" s="262" t="s">
        <v>198</v>
      </c>
      <c r="M36" s="263">
        <v>77.55</v>
      </c>
      <c r="N36" s="263">
        <v>16.39</v>
      </c>
      <c r="O36" s="264">
        <v>6.06</v>
      </c>
      <c r="P36" s="265"/>
      <c r="Q36" s="262" t="s">
        <v>200</v>
      </c>
      <c r="R36" s="263">
        <v>78.14</v>
      </c>
      <c r="S36" s="263">
        <v>15.96</v>
      </c>
      <c r="T36" s="264">
        <v>5.9</v>
      </c>
      <c r="U36" s="265"/>
      <c r="V36" s="262" t="s">
        <v>202</v>
      </c>
      <c r="W36" s="263">
        <v>79.150000000000006</v>
      </c>
      <c r="X36" s="263">
        <v>15.22</v>
      </c>
      <c r="Y36" s="264">
        <v>5.63</v>
      </c>
      <c r="Z36" s="266"/>
      <c r="AA36" s="266"/>
      <c r="AB36" s="266"/>
      <c r="AC36" s="266"/>
    </row>
    <row r="37" spans="1:29" ht="9.75" customHeight="1" x14ac:dyDescent="0.25">
      <c r="A37" s="261" t="s">
        <v>205</v>
      </c>
      <c r="B37" s="262" t="s">
        <v>197</v>
      </c>
      <c r="C37" s="263">
        <v>74.959999999999994</v>
      </c>
      <c r="D37" s="263">
        <v>18.28</v>
      </c>
      <c r="E37" s="264">
        <v>6.76</v>
      </c>
      <c r="F37" s="265"/>
      <c r="G37" s="262" t="s">
        <v>198</v>
      </c>
      <c r="H37" s="263">
        <v>76.069999999999993</v>
      </c>
      <c r="I37" s="263">
        <v>17.47</v>
      </c>
      <c r="J37" s="264">
        <v>6.46</v>
      </c>
      <c r="K37" s="267"/>
      <c r="L37" s="262" t="s">
        <v>200</v>
      </c>
      <c r="M37" s="263">
        <v>76.97</v>
      </c>
      <c r="N37" s="263">
        <v>16.809999999999999</v>
      </c>
      <c r="O37" s="264">
        <v>6.22</v>
      </c>
      <c r="P37" s="265"/>
      <c r="Q37" s="262" t="s">
        <v>202</v>
      </c>
      <c r="R37" s="263">
        <v>77.58</v>
      </c>
      <c r="S37" s="263">
        <v>16.37</v>
      </c>
      <c r="T37" s="264">
        <v>6.05</v>
      </c>
      <c r="U37" s="265"/>
      <c r="V37" s="262" t="s">
        <v>204</v>
      </c>
      <c r="W37" s="263">
        <v>78.61</v>
      </c>
      <c r="X37" s="263">
        <v>15.62</v>
      </c>
      <c r="Y37" s="264">
        <v>5.77</v>
      </c>
      <c r="Z37" s="266"/>
      <c r="AA37" s="266"/>
      <c r="AB37" s="266"/>
      <c r="AC37" s="266"/>
    </row>
    <row r="38" spans="1:29" ht="9.75" customHeight="1" x14ac:dyDescent="0.25">
      <c r="A38" s="261" t="s">
        <v>207</v>
      </c>
      <c r="B38" s="262" t="s">
        <v>198</v>
      </c>
      <c r="C38" s="263">
        <v>74.319999999999993</v>
      </c>
      <c r="D38" s="263">
        <v>18.75</v>
      </c>
      <c r="E38" s="264">
        <v>6.93</v>
      </c>
      <c r="F38" s="265"/>
      <c r="G38" s="262" t="s">
        <v>200</v>
      </c>
      <c r="H38" s="263">
        <v>75.45</v>
      </c>
      <c r="I38" s="263">
        <v>17.920000000000002</v>
      </c>
      <c r="J38" s="264">
        <v>6.63</v>
      </c>
      <c r="K38" s="265"/>
      <c r="L38" s="262" t="s">
        <v>202</v>
      </c>
      <c r="M38" s="263">
        <v>76.37</v>
      </c>
      <c r="N38" s="263">
        <v>17.25</v>
      </c>
      <c r="O38" s="264">
        <v>6.38</v>
      </c>
      <c r="P38" s="265"/>
      <c r="Q38" s="262" t="s">
        <v>204</v>
      </c>
      <c r="R38" s="263">
        <v>76.98</v>
      </c>
      <c r="S38" s="263">
        <v>16.809999999999999</v>
      </c>
      <c r="T38" s="264">
        <v>6.21</v>
      </c>
      <c r="U38" s="265"/>
      <c r="V38" s="262" t="s">
        <v>206</v>
      </c>
      <c r="W38" s="263">
        <v>78.03</v>
      </c>
      <c r="X38" s="263">
        <v>16.04</v>
      </c>
      <c r="Y38" s="264">
        <v>5.93</v>
      </c>
      <c r="Z38" s="266"/>
      <c r="AA38" s="266"/>
      <c r="AB38" s="266"/>
      <c r="AC38" s="266"/>
    </row>
    <row r="39" spans="1:29" ht="9.75" customHeight="1" x14ac:dyDescent="0.25">
      <c r="A39" s="261" t="s">
        <v>209</v>
      </c>
      <c r="B39" s="262" t="s">
        <v>200</v>
      </c>
      <c r="C39" s="263">
        <v>73.650000000000006</v>
      </c>
      <c r="D39" s="263">
        <v>19.239999999999998</v>
      </c>
      <c r="E39" s="264">
        <v>7.11</v>
      </c>
      <c r="F39" s="265"/>
      <c r="G39" s="262" t="s">
        <v>202</v>
      </c>
      <c r="H39" s="263">
        <v>74.8</v>
      </c>
      <c r="I39" s="263">
        <v>18.399999999999999</v>
      </c>
      <c r="J39" s="264">
        <v>6.8</v>
      </c>
      <c r="K39" s="265"/>
      <c r="L39" s="262" t="s">
        <v>204</v>
      </c>
      <c r="M39" s="263">
        <v>75.73</v>
      </c>
      <c r="N39" s="263">
        <v>17.72</v>
      </c>
      <c r="O39" s="264">
        <v>6.55</v>
      </c>
      <c r="P39" s="265"/>
      <c r="Q39" s="262" t="s">
        <v>206</v>
      </c>
      <c r="R39" s="263">
        <v>76.349999999999994</v>
      </c>
      <c r="S39" s="263">
        <v>17.27</v>
      </c>
      <c r="T39" s="264">
        <v>6.38</v>
      </c>
      <c r="U39" s="265"/>
      <c r="V39" s="262" t="s">
        <v>208</v>
      </c>
      <c r="W39" s="263">
        <v>77.430000000000007</v>
      </c>
      <c r="X39" s="263">
        <v>16.48</v>
      </c>
      <c r="Y39" s="264">
        <v>6.09</v>
      </c>
      <c r="Z39" s="266"/>
      <c r="AA39" s="266"/>
      <c r="AB39" s="266"/>
      <c r="AC39" s="266"/>
    </row>
    <row r="40" spans="1:29" ht="9.75" customHeight="1" x14ac:dyDescent="0.25">
      <c r="A40" s="261" t="s">
        <v>211</v>
      </c>
      <c r="B40" s="262" t="s">
        <v>202</v>
      </c>
      <c r="C40" s="263">
        <v>72.930000000000007</v>
      </c>
      <c r="D40" s="263">
        <v>19.760000000000002</v>
      </c>
      <c r="E40" s="264">
        <v>7.31</v>
      </c>
      <c r="F40" s="265"/>
      <c r="G40" s="262" t="s">
        <v>204</v>
      </c>
      <c r="H40" s="263">
        <v>74.11</v>
      </c>
      <c r="I40" s="263">
        <v>18.899999999999999</v>
      </c>
      <c r="J40" s="264">
        <v>6.99</v>
      </c>
      <c r="K40" s="265"/>
      <c r="L40" s="262" t="s">
        <v>206</v>
      </c>
      <c r="M40" s="263">
        <v>75.06</v>
      </c>
      <c r="N40" s="263">
        <v>18.21</v>
      </c>
      <c r="O40" s="264">
        <v>6.73</v>
      </c>
      <c r="P40" s="265"/>
      <c r="Q40" s="262" t="s">
        <v>208</v>
      </c>
      <c r="R40" s="263">
        <v>75.69</v>
      </c>
      <c r="S40" s="263">
        <v>17.75</v>
      </c>
      <c r="T40" s="264">
        <v>6.56</v>
      </c>
      <c r="U40" s="265"/>
      <c r="V40" s="262" t="s">
        <v>210</v>
      </c>
      <c r="W40" s="263">
        <v>76.78</v>
      </c>
      <c r="X40" s="263">
        <v>16.95</v>
      </c>
      <c r="Y40" s="264">
        <v>6.27</v>
      </c>
      <c r="Z40" s="266"/>
      <c r="AA40" s="266"/>
      <c r="AB40" s="266"/>
      <c r="AC40" s="266"/>
    </row>
    <row r="41" spans="1:29" ht="13.5" customHeight="1" x14ac:dyDescent="0.25">
      <c r="A41" s="268" t="s">
        <v>213</v>
      </c>
      <c r="B41" s="266"/>
      <c r="C41" s="264">
        <f>(C33+C34+C35+C36+C37+C38+C39+C40)/(8)</f>
        <v>75.19</v>
      </c>
      <c r="D41" s="264">
        <f>(D33+D34+D35+D36+D37+D38+D39+D40)/(8)</f>
        <v>18.11375</v>
      </c>
      <c r="E41" s="264">
        <f>(E33+E34+E35+E36+E37+E38+E39+E40)/(8)</f>
        <v>6.69625</v>
      </c>
      <c r="F41" s="266"/>
      <c r="G41" s="266"/>
      <c r="H41" s="264">
        <f>(H33+H34+H35+H36+H37+H38+H39+H40)/(8)</f>
        <v>76.297499999999999</v>
      </c>
      <c r="I41" s="264">
        <f>(I33+I34+I35+I36+I37+I38+I39+I40)/(8)</f>
        <v>17.303750000000001</v>
      </c>
      <c r="J41" s="264">
        <f>(J33+J34+J35+J36+J37+J38+J39+J40)/(8)</f>
        <v>6.3987499999999997</v>
      </c>
      <c r="K41" s="266"/>
      <c r="L41" s="266"/>
      <c r="M41" s="264">
        <f>(M33+M34+M35+M36+M37+M38+M39+M40)/(8)</f>
        <v>77.188749999999999</v>
      </c>
      <c r="N41" s="264">
        <f>(N33+N34+N35+N36+N37+N38+N39+N40)/(8)</f>
        <v>16.653749999999999</v>
      </c>
      <c r="O41" s="264">
        <f>(O33+O34+O35+O36+O37+O38+O39+O40)/(8)</f>
        <v>6.1574999999999989</v>
      </c>
      <c r="P41" s="266"/>
      <c r="Q41" s="266"/>
      <c r="R41" s="264">
        <f>(R33+R34+R35+R36+R37+R38+R39+R40)/(8)</f>
        <v>77.783749999999998</v>
      </c>
      <c r="S41" s="264">
        <f>(S33+S34+S35+S36+S37+S38+S39+S40)/(8)</f>
        <v>16.22</v>
      </c>
      <c r="T41" s="264">
        <f>(T33+T34+T35+T36+T37+T38+T39+T40)/(8)</f>
        <v>5.9962499999999999</v>
      </c>
      <c r="U41" s="266"/>
      <c r="V41" s="266"/>
      <c r="W41" s="264">
        <f>(W33+W34+W35+W36+W37+W38+W39+W40)/(8)</f>
        <v>78.81</v>
      </c>
      <c r="X41" s="264">
        <f>(X33+X34+X35+X36+X37+X38+X39+X40)/(8)</f>
        <v>15.470000000000002</v>
      </c>
      <c r="Y41" s="264">
        <f>(Y33+Y34+Y35+Y36+Y37+Y38+Y39+Y40)/(8)</f>
        <v>5.7199999999999989</v>
      </c>
      <c r="Z41" s="266"/>
      <c r="AA41" s="266"/>
      <c r="AB41" s="266"/>
      <c r="AC41" s="266"/>
    </row>
    <row r="42" spans="1:29" ht="3" customHeight="1" x14ac:dyDescent="0.25">
      <c r="A42" s="233"/>
      <c r="B42" s="266"/>
      <c r="C42" s="266"/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6"/>
      <c r="O42" s="266"/>
      <c r="P42" s="266"/>
      <c r="Q42" s="266"/>
      <c r="R42" s="266"/>
      <c r="S42" s="266"/>
      <c r="T42" s="266"/>
      <c r="U42" s="266"/>
      <c r="V42" s="266"/>
      <c r="W42" s="266"/>
      <c r="X42" s="266"/>
      <c r="Y42" s="269"/>
      <c r="Z42" s="266"/>
      <c r="AA42" s="266"/>
      <c r="AB42" s="266"/>
      <c r="AC42" s="266"/>
    </row>
    <row r="43" spans="1:29" ht="13.5" customHeight="1" x14ac:dyDescent="0.25">
      <c r="A43" s="233"/>
      <c r="B43" s="258" t="s">
        <v>165</v>
      </c>
      <c r="C43" s="258"/>
      <c r="D43" s="258"/>
      <c r="E43" s="258"/>
      <c r="F43" s="266"/>
      <c r="G43" s="258" t="s">
        <v>166</v>
      </c>
      <c r="H43" s="258"/>
      <c r="I43" s="258"/>
      <c r="J43" s="258"/>
      <c r="K43" s="266"/>
      <c r="L43" s="258" t="s">
        <v>167</v>
      </c>
      <c r="M43" s="258"/>
      <c r="N43" s="258"/>
      <c r="O43" s="258"/>
      <c r="P43" s="266"/>
      <c r="Q43" s="258" t="s">
        <v>168</v>
      </c>
      <c r="R43" s="258"/>
      <c r="S43" s="258"/>
      <c r="T43" s="258"/>
      <c r="U43" s="266"/>
      <c r="V43" s="266"/>
      <c r="W43" s="266"/>
      <c r="X43" s="266"/>
      <c r="Y43" s="269"/>
      <c r="Z43" s="266"/>
      <c r="AA43" s="266"/>
      <c r="AB43" s="266"/>
      <c r="AC43" s="266"/>
    </row>
    <row r="44" spans="1:29" ht="13.5" customHeight="1" x14ac:dyDescent="0.25">
      <c r="A44" s="233"/>
      <c r="B44" s="259" t="s">
        <v>176</v>
      </c>
      <c r="C44" s="259"/>
      <c r="D44" s="259"/>
      <c r="E44" s="259"/>
      <c r="F44" s="266"/>
      <c r="G44" s="259" t="s">
        <v>176</v>
      </c>
      <c r="H44" s="259"/>
      <c r="I44" s="259"/>
      <c r="J44" s="259"/>
      <c r="K44" s="266"/>
      <c r="L44" s="259" t="s">
        <v>176</v>
      </c>
      <c r="M44" s="259"/>
      <c r="N44" s="259"/>
      <c r="O44" s="259"/>
      <c r="P44" s="266"/>
      <c r="Q44" s="259" t="s">
        <v>176</v>
      </c>
      <c r="R44" s="259"/>
      <c r="S44" s="259"/>
      <c r="T44" s="259"/>
      <c r="U44" s="266"/>
      <c r="V44" s="266"/>
      <c r="W44" s="266"/>
      <c r="X44" s="266"/>
      <c r="Y44" s="269"/>
      <c r="Z44" s="266"/>
      <c r="AA44" s="266"/>
      <c r="AB44" s="266"/>
      <c r="AC44" s="266"/>
    </row>
    <row r="45" spans="1:29" ht="13.5" customHeight="1" x14ac:dyDescent="0.25">
      <c r="A45" s="233"/>
      <c r="B45" s="260" t="s">
        <v>189</v>
      </c>
      <c r="C45" s="260" t="s">
        <v>190</v>
      </c>
      <c r="D45" s="260" t="s">
        <v>191</v>
      </c>
      <c r="E45" s="260" t="s">
        <v>192</v>
      </c>
      <c r="F45" s="266"/>
      <c r="G45" s="260" t="s">
        <v>189</v>
      </c>
      <c r="H45" s="260" t="s">
        <v>190</v>
      </c>
      <c r="I45" s="260" t="s">
        <v>191</v>
      </c>
      <c r="J45" s="260" t="s">
        <v>192</v>
      </c>
      <c r="K45" s="266"/>
      <c r="L45" s="260" t="s">
        <v>189</v>
      </c>
      <c r="M45" s="260" t="s">
        <v>190</v>
      </c>
      <c r="N45" s="260" t="s">
        <v>191</v>
      </c>
      <c r="O45" s="260" t="s">
        <v>192</v>
      </c>
      <c r="P45" s="266"/>
      <c r="Q45" s="260" t="s">
        <v>189</v>
      </c>
      <c r="R45" s="260" t="s">
        <v>190</v>
      </c>
      <c r="S45" s="260" t="s">
        <v>191</v>
      </c>
      <c r="T45" s="260" t="s">
        <v>192</v>
      </c>
      <c r="U45" s="266"/>
      <c r="V45" s="266" t="s">
        <v>214</v>
      </c>
      <c r="W45" s="266"/>
      <c r="X45" s="266"/>
      <c r="Y45" s="269"/>
      <c r="Z45" s="266"/>
      <c r="AA45" s="266"/>
      <c r="AB45" s="266"/>
      <c r="AC45" s="266"/>
    </row>
    <row r="46" spans="1:29" ht="9.75" customHeight="1" x14ac:dyDescent="0.25">
      <c r="A46" s="261" t="s">
        <v>193</v>
      </c>
      <c r="B46" s="262" t="s">
        <v>198</v>
      </c>
      <c r="C46" s="263">
        <v>82.02</v>
      </c>
      <c r="D46" s="263">
        <v>13.13</v>
      </c>
      <c r="E46" s="264">
        <v>4.8499999999999996</v>
      </c>
      <c r="F46" s="265"/>
      <c r="G46" s="262" t="s">
        <v>200</v>
      </c>
      <c r="H46" s="263">
        <v>82.82</v>
      </c>
      <c r="I46" s="263">
        <v>12.54</v>
      </c>
      <c r="J46" s="264">
        <v>4.6399999999999997</v>
      </c>
      <c r="K46" s="265"/>
      <c r="L46" s="262" t="s">
        <v>202</v>
      </c>
      <c r="M46" s="263">
        <v>83.85</v>
      </c>
      <c r="N46" s="263">
        <v>11.79</v>
      </c>
      <c r="O46" s="264">
        <v>4.3600000000000003</v>
      </c>
      <c r="P46" s="265"/>
      <c r="Q46" s="262" t="s">
        <v>204</v>
      </c>
      <c r="R46" s="263">
        <v>84.96</v>
      </c>
      <c r="S46" s="263">
        <v>10.98</v>
      </c>
      <c r="T46" s="264">
        <v>4.0599999999999996</v>
      </c>
      <c r="U46" s="265"/>
      <c r="V46" s="270" t="s">
        <v>215</v>
      </c>
      <c r="W46" s="270"/>
      <c r="X46" s="270"/>
      <c r="Y46" s="271"/>
      <c r="Z46" s="266"/>
      <c r="AA46" s="266"/>
      <c r="AB46" s="266"/>
      <c r="AC46" s="266"/>
    </row>
    <row r="47" spans="1:29" ht="9.75" customHeight="1" x14ac:dyDescent="0.25">
      <c r="A47" s="261" t="s">
        <v>199</v>
      </c>
      <c r="B47" s="262" t="s">
        <v>200</v>
      </c>
      <c r="C47" s="263">
        <v>81.58</v>
      </c>
      <c r="D47" s="263">
        <v>13.45</v>
      </c>
      <c r="E47" s="264">
        <v>4.97</v>
      </c>
      <c r="F47" s="265"/>
      <c r="G47" s="262" t="s">
        <v>202</v>
      </c>
      <c r="H47" s="263">
        <v>82.4</v>
      </c>
      <c r="I47" s="263">
        <v>12.85</v>
      </c>
      <c r="J47" s="264">
        <v>4.75</v>
      </c>
      <c r="K47" s="265"/>
      <c r="L47" s="262" t="s">
        <v>204</v>
      </c>
      <c r="M47" s="263">
        <v>83.44</v>
      </c>
      <c r="N47" s="263">
        <v>12.09</v>
      </c>
      <c r="O47" s="264">
        <v>4.47</v>
      </c>
      <c r="P47" s="265"/>
      <c r="Q47" s="262" t="s">
        <v>206</v>
      </c>
      <c r="R47" s="263">
        <v>84.57</v>
      </c>
      <c r="S47" s="263">
        <v>11.27</v>
      </c>
      <c r="T47" s="264">
        <v>4.16</v>
      </c>
      <c r="U47" s="265"/>
      <c r="V47" s="265"/>
      <c r="W47" s="265"/>
      <c r="X47" s="265"/>
      <c r="Y47" s="271"/>
      <c r="Z47" s="266"/>
      <c r="AA47" s="266"/>
      <c r="AB47" s="266"/>
      <c r="AC47" s="266"/>
    </row>
    <row r="48" spans="1:29" ht="9.75" customHeight="1" x14ac:dyDescent="0.25">
      <c r="A48" s="261" t="s">
        <v>201</v>
      </c>
      <c r="B48" s="262" t="s">
        <v>202</v>
      </c>
      <c r="C48" s="263">
        <v>81.11</v>
      </c>
      <c r="D48" s="263">
        <v>13.79</v>
      </c>
      <c r="E48" s="264">
        <v>5.0999999999999996</v>
      </c>
      <c r="F48" s="265"/>
      <c r="G48" s="262" t="s">
        <v>204</v>
      </c>
      <c r="H48" s="263">
        <v>81.95</v>
      </c>
      <c r="I48" s="263">
        <v>13.18</v>
      </c>
      <c r="J48" s="264">
        <v>4.87</v>
      </c>
      <c r="K48" s="265"/>
      <c r="L48" s="262" t="s">
        <v>206</v>
      </c>
      <c r="M48" s="263">
        <v>83.02</v>
      </c>
      <c r="N48" s="263">
        <v>12.4</v>
      </c>
      <c r="O48" s="264">
        <v>4.58</v>
      </c>
      <c r="P48" s="265"/>
      <c r="Q48" s="262" t="s">
        <v>208</v>
      </c>
      <c r="R48" s="263">
        <v>84.17</v>
      </c>
      <c r="S48" s="263">
        <v>11.56</v>
      </c>
      <c r="T48" s="264">
        <v>4.2699999999999996</v>
      </c>
      <c r="U48" s="265"/>
      <c r="V48" s="270" t="s">
        <v>221</v>
      </c>
      <c r="W48" s="270"/>
      <c r="X48" s="270"/>
      <c r="Y48" s="271"/>
      <c r="Z48" s="266"/>
      <c r="AA48" s="266"/>
      <c r="AB48" s="266"/>
      <c r="AC48" s="266"/>
    </row>
    <row r="49" spans="1:29" ht="9.75" customHeight="1" x14ac:dyDescent="0.25">
      <c r="A49" s="261" t="s">
        <v>203</v>
      </c>
      <c r="B49" s="262" t="s">
        <v>204</v>
      </c>
      <c r="C49" s="263">
        <v>80.62</v>
      </c>
      <c r="D49" s="263">
        <v>14.15</v>
      </c>
      <c r="E49" s="264">
        <v>5.23</v>
      </c>
      <c r="F49" s="265"/>
      <c r="G49" s="262" t="s">
        <v>206</v>
      </c>
      <c r="H49" s="263">
        <v>81.47</v>
      </c>
      <c r="I49" s="263">
        <v>13.53</v>
      </c>
      <c r="J49" s="264">
        <v>5</v>
      </c>
      <c r="K49" s="265"/>
      <c r="L49" s="262" t="s">
        <v>208</v>
      </c>
      <c r="M49" s="263">
        <v>82.56</v>
      </c>
      <c r="N49" s="263">
        <v>12.73</v>
      </c>
      <c r="O49" s="264">
        <v>4.71</v>
      </c>
      <c r="P49" s="265"/>
      <c r="Q49" s="262" t="s">
        <v>210</v>
      </c>
      <c r="R49" s="263">
        <v>83.74</v>
      </c>
      <c r="S49" s="263">
        <v>11.87</v>
      </c>
      <c r="T49" s="264">
        <v>4.3899999999999997</v>
      </c>
      <c r="U49" s="265"/>
      <c r="V49" s="265"/>
      <c r="W49" s="265"/>
      <c r="X49" s="265"/>
      <c r="Y49" s="271"/>
      <c r="Z49" s="266"/>
      <c r="AA49" s="266"/>
      <c r="AB49" s="266"/>
      <c r="AC49" s="266"/>
    </row>
    <row r="50" spans="1:29" ht="9.75" customHeight="1" x14ac:dyDescent="0.25">
      <c r="A50" s="261" t="s">
        <v>205</v>
      </c>
      <c r="B50" s="262" t="s">
        <v>206</v>
      </c>
      <c r="C50" s="263">
        <v>80.099999999999994</v>
      </c>
      <c r="D50" s="263">
        <v>14.53</v>
      </c>
      <c r="E50" s="264">
        <v>5.37</v>
      </c>
      <c r="F50" s="265"/>
      <c r="G50" s="262" t="s">
        <v>208</v>
      </c>
      <c r="H50" s="263">
        <v>80.97</v>
      </c>
      <c r="I50" s="263">
        <v>13.89</v>
      </c>
      <c r="J50" s="264">
        <v>5.14</v>
      </c>
      <c r="K50" s="265"/>
      <c r="L50" s="262" t="s">
        <v>210</v>
      </c>
      <c r="M50" s="263">
        <v>82.08</v>
      </c>
      <c r="N50" s="263">
        <v>13.08</v>
      </c>
      <c r="O50" s="264">
        <v>4.84</v>
      </c>
      <c r="P50" s="265"/>
      <c r="Q50" s="262" t="s">
        <v>212</v>
      </c>
      <c r="R50" s="263">
        <v>83.29</v>
      </c>
      <c r="S50" s="263">
        <v>12.2</v>
      </c>
      <c r="T50" s="264">
        <v>4.51</v>
      </c>
      <c r="U50" s="265"/>
      <c r="V50" s="265"/>
      <c r="W50" s="265"/>
      <c r="X50" s="265"/>
      <c r="Y50" s="271"/>
      <c r="Z50" s="266"/>
      <c r="AA50" s="266"/>
      <c r="AB50" s="266"/>
      <c r="AC50" s="266"/>
    </row>
    <row r="51" spans="1:29" ht="9.75" customHeight="1" x14ac:dyDescent="0.25">
      <c r="A51" s="261" t="s">
        <v>207</v>
      </c>
      <c r="B51" s="262" t="s">
        <v>208</v>
      </c>
      <c r="C51" s="263">
        <v>79.55</v>
      </c>
      <c r="D51" s="263">
        <v>14.93</v>
      </c>
      <c r="E51" s="264">
        <v>5.52</v>
      </c>
      <c r="F51" s="265"/>
      <c r="G51" s="262" t="s">
        <v>210</v>
      </c>
      <c r="H51" s="263">
        <v>80.44</v>
      </c>
      <c r="I51" s="263">
        <v>14.28</v>
      </c>
      <c r="J51" s="264">
        <v>5.28</v>
      </c>
      <c r="K51" s="265"/>
      <c r="L51" s="262" t="s">
        <v>212</v>
      </c>
      <c r="M51" s="263">
        <v>81.58</v>
      </c>
      <c r="N51" s="263">
        <v>13.45</v>
      </c>
      <c r="O51" s="264">
        <v>4.97</v>
      </c>
      <c r="P51" s="265"/>
      <c r="Q51" s="262" t="s">
        <v>217</v>
      </c>
      <c r="R51" s="263">
        <v>82.81</v>
      </c>
      <c r="S51" s="263">
        <v>12.55</v>
      </c>
      <c r="T51" s="264">
        <v>4.6399999999999997</v>
      </c>
      <c r="U51" s="265"/>
      <c r="V51" s="265"/>
      <c r="W51" s="265"/>
      <c r="X51" s="265"/>
      <c r="Y51" s="271"/>
      <c r="Z51" s="266"/>
      <c r="AA51" s="266"/>
      <c r="AB51" s="266"/>
      <c r="AC51" s="266"/>
    </row>
    <row r="52" spans="1:29" ht="9.75" customHeight="1" x14ac:dyDescent="0.25">
      <c r="A52" s="261" t="s">
        <v>209</v>
      </c>
      <c r="B52" s="262" t="s">
        <v>210</v>
      </c>
      <c r="C52" s="263">
        <v>78.98</v>
      </c>
      <c r="D52" s="263">
        <v>15.35</v>
      </c>
      <c r="E52" s="264">
        <v>5.67</v>
      </c>
      <c r="F52" s="265"/>
      <c r="G52" s="262" t="s">
        <v>212</v>
      </c>
      <c r="H52" s="263">
        <v>79.88</v>
      </c>
      <c r="I52" s="263">
        <v>14.69</v>
      </c>
      <c r="J52" s="264">
        <v>5.43</v>
      </c>
      <c r="K52" s="265"/>
      <c r="L52" s="262" t="s">
        <v>217</v>
      </c>
      <c r="M52" s="263">
        <v>81.040000000000006</v>
      </c>
      <c r="N52" s="263">
        <v>13.84</v>
      </c>
      <c r="O52" s="264">
        <v>5.12</v>
      </c>
      <c r="P52" s="265"/>
      <c r="Q52" s="262" t="s">
        <v>218</v>
      </c>
      <c r="R52" s="263">
        <v>82.3</v>
      </c>
      <c r="S52" s="263">
        <v>12.92</v>
      </c>
      <c r="T52" s="264">
        <v>4.78</v>
      </c>
      <c r="U52" s="265"/>
      <c r="V52" s="265"/>
      <c r="W52" s="265"/>
      <c r="X52" s="265"/>
      <c r="Y52" s="271"/>
      <c r="Z52" s="266"/>
      <c r="AA52" s="266"/>
      <c r="AB52" s="266"/>
      <c r="AC52" s="266"/>
    </row>
    <row r="53" spans="1:29" ht="9.75" customHeight="1" x14ac:dyDescent="0.25">
      <c r="A53" s="261" t="s">
        <v>211</v>
      </c>
      <c r="B53" s="262" t="s">
        <v>212</v>
      </c>
      <c r="C53" s="263">
        <v>78.37</v>
      </c>
      <c r="D53" s="263">
        <v>15.79</v>
      </c>
      <c r="E53" s="264">
        <v>5.84</v>
      </c>
      <c r="F53" s="265"/>
      <c r="G53" s="262" t="s">
        <v>217</v>
      </c>
      <c r="H53" s="263">
        <v>79.290000000000006</v>
      </c>
      <c r="I53" s="263">
        <v>15.12</v>
      </c>
      <c r="J53" s="264">
        <v>5.59</v>
      </c>
      <c r="K53" s="265"/>
      <c r="L53" s="262" t="s">
        <v>218</v>
      </c>
      <c r="M53" s="263">
        <v>80.48</v>
      </c>
      <c r="N53" s="263">
        <v>14.25</v>
      </c>
      <c r="O53" s="264">
        <v>5.27</v>
      </c>
      <c r="P53" s="265"/>
      <c r="Q53" s="262" t="s">
        <v>219</v>
      </c>
      <c r="R53" s="263">
        <v>81.77</v>
      </c>
      <c r="S53" s="263">
        <v>13.31</v>
      </c>
      <c r="T53" s="264">
        <v>4.92</v>
      </c>
      <c r="U53" s="265"/>
      <c r="V53" s="265"/>
      <c r="W53" s="265"/>
      <c r="X53" s="265"/>
      <c r="Y53" s="271"/>
      <c r="Z53" s="266"/>
      <c r="AA53" s="266"/>
      <c r="AB53" s="266"/>
      <c r="AC53" s="266"/>
    </row>
    <row r="54" spans="1:29" ht="13.5" customHeight="1" x14ac:dyDescent="0.25">
      <c r="A54" s="268" t="s">
        <v>213</v>
      </c>
      <c r="B54" s="272"/>
      <c r="C54" s="264">
        <f>(C46+C47+C48+C49+C50+C51+C52+C53)/(8)</f>
        <v>80.291249999999991</v>
      </c>
      <c r="D54" s="264">
        <f>(D46+D47+D48+D49+D50+D51+D52+D53)/(8)</f>
        <v>14.389999999999997</v>
      </c>
      <c r="E54" s="264">
        <f>(E46+E47+E48+E49+E50+E51+E52+E53)/(8)</f>
        <v>5.3187499999999996</v>
      </c>
      <c r="F54" s="272"/>
      <c r="G54" s="272"/>
      <c r="H54" s="264">
        <f>(H46+H47+H48+H49+H50+H51+H52+H53)/(8)</f>
        <v>81.152500000000003</v>
      </c>
      <c r="I54" s="264">
        <f>(I46+I47+I48+I49+I50+I51+I52+I53)/(8)</f>
        <v>13.760000000000002</v>
      </c>
      <c r="J54" s="264">
        <f>(J46+J47+J48+J49+J50+J51+J52+J53)/(8)</f>
        <v>5.0875000000000004</v>
      </c>
      <c r="K54" s="272"/>
      <c r="L54" s="272"/>
      <c r="M54" s="264">
        <f>(M46+M47+M48+M49+M50+M51+M52+M53)/(8)</f>
        <v>82.256249999999994</v>
      </c>
      <c r="N54" s="264">
        <f>(N46+N47+N48+N49+N50+N51+N52+N53)/(8)</f>
        <v>12.953750000000001</v>
      </c>
      <c r="O54" s="264">
        <f>(O46+O47+O48+O49+O50+O51+O52+O53)/(8)</f>
        <v>4.7899999999999991</v>
      </c>
      <c r="P54" s="272"/>
      <c r="Q54" s="272"/>
      <c r="R54" s="264">
        <f>(R46+R47+R48+R49+R50+R51+R52+R53)/(8)</f>
        <v>83.451250000000002</v>
      </c>
      <c r="S54" s="264">
        <f>(S46+S47+S48+S49+S50+S51+S52+S53)/(8)</f>
        <v>12.0825</v>
      </c>
      <c r="T54" s="264">
        <f>(T46+T47+T48+T49+T50+T51+T52+T53)/(8)</f>
        <v>4.4662500000000005</v>
      </c>
      <c r="U54" s="272"/>
      <c r="V54" s="272"/>
      <c r="W54" s="272"/>
      <c r="X54" s="272"/>
      <c r="Y54" s="273"/>
      <c r="Z54" s="266"/>
      <c r="AA54" s="266"/>
      <c r="AB54" s="266"/>
      <c r="AC54" s="266"/>
    </row>
    <row r="55" spans="1:29" ht="3" customHeight="1" x14ac:dyDescent="0.25">
      <c r="A55" s="247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72"/>
      <c r="Q55" s="272"/>
      <c r="R55" s="272"/>
      <c r="S55" s="272"/>
      <c r="T55" s="272"/>
      <c r="U55" s="272"/>
      <c r="V55" s="272"/>
      <c r="W55" s="272"/>
      <c r="X55" s="272"/>
      <c r="Y55" s="273"/>
      <c r="Z55" s="266"/>
      <c r="AA55" s="266"/>
      <c r="AB55" s="266"/>
      <c r="AC55" s="266"/>
    </row>
    <row r="56" spans="1:29" ht="6" customHeight="1" x14ac:dyDescent="0.25">
      <c r="B56" s="266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66"/>
      <c r="W56" s="266"/>
      <c r="X56" s="266"/>
      <c r="Y56" s="266"/>
      <c r="Z56" s="266"/>
      <c r="AA56" s="266"/>
      <c r="AB56" s="266"/>
      <c r="AC56" s="266"/>
    </row>
    <row r="57" spans="1:29" x14ac:dyDescent="0.25">
      <c r="A57" s="256" t="s">
        <v>183</v>
      </c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66"/>
      <c r="AA57" s="266"/>
      <c r="AB57" s="266"/>
      <c r="AC57" s="266"/>
    </row>
    <row r="58" spans="1:29" ht="13.5" customHeight="1" x14ac:dyDescent="0.25">
      <c r="A58" s="233"/>
      <c r="B58" s="258" t="s">
        <v>184</v>
      </c>
      <c r="C58" s="258"/>
      <c r="D58" s="258"/>
      <c r="E58" s="258"/>
      <c r="F58" s="266"/>
      <c r="G58" s="258" t="s">
        <v>185</v>
      </c>
      <c r="H58" s="258"/>
      <c r="I58" s="258"/>
      <c r="J58" s="258"/>
      <c r="K58" s="257"/>
      <c r="L58" s="258" t="s">
        <v>186</v>
      </c>
      <c r="M58" s="258"/>
      <c r="N58" s="258"/>
      <c r="O58" s="258"/>
      <c r="P58" s="257"/>
      <c r="Q58" s="258" t="s">
        <v>187</v>
      </c>
      <c r="R58" s="258"/>
      <c r="S58" s="258"/>
      <c r="T58" s="258"/>
      <c r="U58" s="257"/>
      <c r="V58" s="258" t="s">
        <v>188</v>
      </c>
      <c r="W58" s="258"/>
      <c r="X58" s="258"/>
      <c r="Y58" s="258"/>
      <c r="Z58" s="266"/>
      <c r="AA58" s="266"/>
      <c r="AB58" s="266"/>
      <c r="AC58" s="266"/>
    </row>
    <row r="59" spans="1:29" ht="13.5" customHeight="1" x14ac:dyDescent="0.25">
      <c r="A59" s="233"/>
      <c r="B59" s="259" t="s">
        <v>179</v>
      </c>
      <c r="C59" s="259"/>
      <c r="D59" s="259"/>
      <c r="E59" s="259"/>
      <c r="F59" s="266"/>
      <c r="G59" s="259" t="s">
        <v>179</v>
      </c>
      <c r="H59" s="259"/>
      <c r="I59" s="259"/>
      <c r="J59" s="259"/>
      <c r="K59" s="257"/>
      <c r="L59" s="259" t="s">
        <v>179</v>
      </c>
      <c r="M59" s="259"/>
      <c r="N59" s="259"/>
      <c r="O59" s="259"/>
      <c r="P59" s="257"/>
      <c r="Q59" s="259" t="s">
        <v>179</v>
      </c>
      <c r="R59" s="259"/>
      <c r="S59" s="259"/>
      <c r="T59" s="259"/>
      <c r="U59" s="257"/>
      <c r="V59" s="259" t="s">
        <v>179</v>
      </c>
      <c r="W59" s="259"/>
      <c r="X59" s="259"/>
      <c r="Y59" s="259"/>
      <c r="Z59" s="266"/>
      <c r="AA59" s="266"/>
      <c r="AB59" s="266"/>
      <c r="AC59" s="266"/>
    </row>
    <row r="60" spans="1:29" ht="13.5" customHeight="1" x14ac:dyDescent="0.25">
      <c r="A60" s="233"/>
      <c r="B60" s="260" t="s">
        <v>189</v>
      </c>
      <c r="C60" s="260" t="s">
        <v>190</v>
      </c>
      <c r="D60" s="260" t="s">
        <v>191</v>
      </c>
      <c r="E60" s="260" t="s">
        <v>192</v>
      </c>
      <c r="F60" s="266"/>
      <c r="G60" s="260" t="s">
        <v>189</v>
      </c>
      <c r="H60" s="260" t="s">
        <v>190</v>
      </c>
      <c r="I60" s="260" t="s">
        <v>191</v>
      </c>
      <c r="J60" s="260" t="s">
        <v>192</v>
      </c>
      <c r="K60" s="257"/>
      <c r="L60" s="260" t="s">
        <v>189</v>
      </c>
      <c r="M60" s="260" t="s">
        <v>190</v>
      </c>
      <c r="N60" s="260" t="s">
        <v>191</v>
      </c>
      <c r="O60" s="260" t="s">
        <v>192</v>
      </c>
      <c r="P60" s="257"/>
      <c r="Q60" s="260" t="s">
        <v>189</v>
      </c>
      <c r="R60" s="260" t="s">
        <v>190</v>
      </c>
      <c r="S60" s="260" t="s">
        <v>191</v>
      </c>
      <c r="T60" s="260" t="s">
        <v>192</v>
      </c>
      <c r="U60" s="257"/>
      <c r="V60" s="260" t="s">
        <v>189</v>
      </c>
      <c r="W60" s="260" t="s">
        <v>190</v>
      </c>
      <c r="X60" s="260" t="s">
        <v>191</v>
      </c>
      <c r="Y60" s="260" t="s">
        <v>192</v>
      </c>
      <c r="Z60" s="266"/>
      <c r="AA60" s="266"/>
      <c r="AB60" s="266"/>
      <c r="AC60" s="266"/>
    </row>
    <row r="61" spans="1:29" ht="9.75" customHeight="1" x14ac:dyDescent="0.25">
      <c r="A61" s="261" t="s">
        <v>193</v>
      </c>
      <c r="B61" s="262" t="s">
        <v>194</v>
      </c>
      <c r="C61" s="263">
        <v>75.290000000000006</v>
      </c>
      <c r="D61" s="263">
        <v>16.2</v>
      </c>
      <c r="E61" s="264">
        <v>8.51</v>
      </c>
      <c r="F61" s="265"/>
      <c r="G61" s="262" t="s">
        <v>195</v>
      </c>
      <c r="H61" s="263">
        <v>76.39</v>
      </c>
      <c r="I61" s="263">
        <v>15.48</v>
      </c>
      <c r="J61" s="264">
        <v>8.1300000000000008</v>
      </c>
      <c r="K61" s="265"/>
      <c r="L61" s="262" t="s">
        <v>196</v>
      </c>
      <c r="M61" s="263">
        <v>77.290000000000006</v>
      </c>
      <c r="N61" s="263">
        <v>14.89</v>
      </c>
      <c r="O61" s="264">
        <v>7.82</v>
      </c>
      <c r="P61" s="265"/>
      <c r="Q61" s="262" t="s">
        <v>197</v>
      </c>
      <c r="R61" s="263">
        <v>77.88</v>
      </c>
      <c r="S61" s="263">
        <v>14.5</v>
      </c>
      <c r="T61" s="264">
        <v>7.62</v>
      </c>
      <c r="U61" s="265"/>
      <c r="V61" s="262" t="s">
        <v>198</v>
      </c>
      <c r="W61" s="263">
        <v>78.91</v>
      </c>
      <c r="X61" s="263">
        <v>13.83</v>
      </c>
      <c r="Y61" s="264">
        <v>7.26</v>
      </c>
      <c r="Z61" s="266"/>
      <c r="AA61" s="266"/>
      <c r="AB61" s="266"/>
      <c r="AC61" s="266"/>
    </row>
    <row r="62" spans="1:29" ht="9.75" customHeight="1" x14ac:dyDescent="0.25">
      <c r="A62" s="261" t="s">
        <v>199</v>
      </c>
      <c r="B62" s="262" t="s">
        <v>195</v>
      </c>
      <c r="C62" s="263">
        <v>74.73</v>
      </c>
      <c r="D62" s="263">
        <v>16.57</v>
      </c>
      <c r="E62" s="264">
        <v>8.6999999999999993</v>
      </c>
      <c r="F62" s="265"/>
      <c r="G62" s="262" t="s">
        <v>196</v>
      </c>
      <c r="H62" s="263">
        <v>75.849999999999994</v>
      </c>
      <c r="I62" s="263">
        <v>15.83</v>
      </c>
      <c r="J62" s="264">
        <v>8.32</v>
      </c>
      <c r="K62" s="265"/>
      <c r="L62" s="262" t="s">
        <v>197</v>
      </c>
      <c r="M62" s="263">
        <v>76.756</v>
      </c>
      <c r="N62" s="263">
        <v>15.24</v>
      </c>
      <c r="O62" s="264">
        <v>8</v>
      </c>
      <c r="P62" s="265"/>
      <c r="Q62" s="262" t="s">
        <v>198</v>
      </c>
      <c r="R62" s="263">
        <v>77.36</v>
      </c>
      <c r="S62" s="263">
        <v>14.84</v>
      </c>
      <c r="T62" s="264">
        <v>7.8</v>
      </c>
      <c r="U62" s="265"/>
      <c r="V62" s="262" t="s">
        <v>200</v>
      </c>
      <c r="W62" s="263">
        <v>78.400000000000006</v>
      </c>
      <c r="X62" s="263">
        <v>14.16</v>
      </c>
      <c r="Y62" s="264">
        <v>7.44</v>
      </c>
      <c r="Z62" s="266"/>
      <c r="AA62" s="266"/>
      <c r="AB62" s="266"/>
      <c r="AC62" s="266"/>
    </row>
    <row r="63" spans="1:29" ht="9.75" customHeight="1" x14ac:dyDescent="0.25">
      <c r="A63" s="261" t="s">
        <v>201</v>
      </c>
      <c r="B63" s="262" t="s">
        <v>196</v>
      </c>
      <c r="C63" s="263">
        <v>74.150000000000006</v>
      </c>
      <c r="D63" s="263">
        <v>16.95</v>
      </c>
      <c r="E63" s="264">
        <v>8.9</v>
      </c>
      <c r="F63" s="265"/>
      <c r="G63" s="262" t="s">
        <v>197</v>
      </c>
      <c r="H63" s="263">
        <v>75.290000000000006</v>
      </c>
      <c r="I63" s="263">
        <v>16.2</v>
      </c>
      <c r="J63" s="264">
        <v>8.51</v>
      </c>
      <c r="K63" s="265"/>
      <c r="L63" s="262" t="s">
        <v>198</v>
      </c>
      <c r="M63" s="263">
        <v>76.2</v>
      </c>
      <c r="N63" s="263">
        <v>15.6</v>
      </c>
      <c r="O63" s="264">
        <v>8.1999999999999993</v>
      </c>
      <c r="P63" s="265"/>
      <c r="Q63" s="262" t="s">
        <v>200</v>
      </c>
      <c r="R63" s="263">
        <v>76.819999999999993</v>
      </c>
      <c r="S63" s="263">
        <v>15.2</v>
      </c>
      <c r="T63" s="264">
        <v>7.98</v>
      </c>
      <c r="U63" s="265"/>
      <c r="V63" s="262" t="s">
        <v>202</v>
      </c>
      <c r="W63" s="263">
        <v>77.88</v>
      </c>
      <c r="X63" s="263">
        <v>14.5</v>
      </c>
      <c r="Y63" s="264">
        <v>7.62</v>
      </c>
      <c r="Z63" s="266"/>
      <c r="AA63" s="266"/>
      <c r="AB63" s="266"/>
      <c r="AC63" s="266"/>
    </row>
    <row r="64" spans="1:29" ht="9.75" customHeight="1" x14ac:dyDescent="0.25">
      <c r="A64" s="261" t="s">
        <v>203</v>
      </c>
      <c r="B64" s="262" t="s">
        <v>197</v>
      </c>
      <c r="C64" s="263">
        <v>73.53</v>
      </c>
      <c r="D64" s="263">
        <v>17.350000000000001</v>
      </c>
      <c r="E64" s="264">
        <v>9.1199999999999992</v>
      </c>
      <c r="F64" s="265"/>
      <c r="G64" s="262" t="s">
        <v>198</v>
      </c>
      <c r="H64" s="263">
        <v>74.69</v>
      </c>
      <c r="I64" s="263">
        <v>16.59</v>
      </c>
      <c r="J64" s="264">
        <v>8.7200000000000006</v>
      </c>
      <c r="K64" s="265"/>
      <c r="L64" s="262" t="s">
        <v>200</v>
      </c>
      <c r="M64" s="263">
        <v>75.62</v>
      </c>
      <c r="N64" s="263">
        <v>15.98</v>
      </c>
      <c r="O64" s="264">
        <v>8.4</v>
      </c>
      <c r="P64" s="265"/>
      <c r="Q64" s="262" t="s">
        <v>202</v>
      </c>
      <c r="R64" s="263">
        <v>76.25</v>
      </c>
      <c r="S64" s="263">
        <v>15.57</v>
      </c>
      <c r="T64" s="264">
        <v>8.18</v>
      </c>
      <c r="U64" s="265"/>
      <c r="V64" s="262" t="s">
        <v>204</v>
      </c>
      <c r="W64" s="263">
        <v>77.319999999999993</v>
      </c>
      <c r="X64" s="263">
        <v>14.87</v>
      </c>
      <c r="Y64" s="264">
        <v>7.81</v>
      </c>
      <c r="Z64" s="266"/>
      <c r="AA64" s="266"/>
      <c r="AB64" s="266"/>
      <c r="AC64" s="266"/>
    </row>
    <row r="65" spans="1:29" ht="9.75" customHeight="1" x14ac:dyDescent="0.25">
      <c r="A65" s="261" t="s">
        <v>205</v>
      </c>
      <c r="B65" s="262" t="s">
        <v>198</v>
      </c>
      <c r="C65" s="263">
        <v>72.88</v>
      </c>
      <c r="D65" s="263">
        <v>17.78</v>
      </c>
      <c r="E65" s="264">
        <v>9.34</v>
      </c>
      <c r="F65" s="265"/>
      <c r="G65" s="262" t="s">
        <v>200</v>
      </c>
      <c r="H65" s="263">
        <v>74.069999999999993</v>
      </c>
      <c r="I65" s="263">
        <v>17</v>
      </c>
      <c r="J65" s="264">
        <v>8.93</v>
      </c>
      <c r="K65" s="267"/>
      <c r="L65" s="262" t="s">
        <v>202</v>
      </c>
      <c r="M65" s="263">
        <v>75.010000000000005</v>
      </c>
      <c r="N65" s="263">
        <v>16.38</v>
      </c>
      <c r="O65" s="264">
        <v>8.61</v>
      </c>
      <c r="P65" s="265"/>
      <c r="Q65" s="262" t="s">
        <v>204</v>
      </c>
      <c r="R65" s="263">
        <v>75.64</v>
      </c>
      <c r="S65" s="263">
        <v>15.97</v>
      </c>
      <c r="T65" s="264">
        <v>8.39</v>
      </c>
      <c r="U65" s="265"/>
      <c r="V65" s="262" t="s">
        <v>206</v>
      </c>
      <c r="W65" s="263">
        <v>76.739999999999995</v>
      </c>
      <c r="X65" s="263">
        <v>15.25</v>
      </c>
      <c r="Y65" s="264">
        <v>8.01</v>
      </c>
      <c r="Z65" s="266"/>
      <c r="AA65" s="266"/>
      <c r="AB65" s="266"/>
      <c r="AC65" s="266"/>
    </row>
    <row r="66" spans="1:29" ht="9.75" customHeight="1" x14ac:dyDescent="0.25">
      <c r="A66" s="261" t="s">
        <v>207</v>
      </c>
      <c r="B66" s="262" t="s">
        <v>200</v>
      </c>
      <c r="C66" s="263">
        <v>72.209999999999994</v>
      </c>
      <c r="D66" s="263">
        <v>18.22</v>
      </c>
      <c r="E66" s="264">
        <v>9.57</v>
      </c>
      <c r="F66" s="265"/>
      <c r="G66" s="262" t="s">
        <v>202</v>
      </c>
      <c r="H66" s="263">
        <v>73.41</v>
      </c>
      <c r="I66" s="263">
        <v>17.43</v>
      </c>
      <c r="J66" s="264">
        <v>9.16</v>
      </c>
      <c r="K66" s="265"/>
      <c r="L66" s="262" t="s">
        <v>204</v>
      </c>
      <c r="M66" s="263">
        <v>74.37</v>
      </c>
      <c r="N66" s="263">
        <v>16.8</v>
      </c>
      <c r="O66" s="264">
        <v>8.83</v>
      </c>
      <c r="P66" s="265"/>
      <c r="Q66" s="262" t="s">
        <v>206</v>
      </c>
      <c r="R66" s="263">
        <v>75.02</v>
      </c>
      <c r="S66" s="263">
        <v>16.38</v>
      </c>
      <c r="T66" s="264">
        <v>8.6</v>
      </c>
      <c r="U66" s="265"/>
      <c r="V66" s="262" t="s">
        <v>208</v>
      </c>
      <c r="W66" s="263">
        <v>76.13</v>
      </c>
      <c r="X66" s="263">
        <v>15.65</v>
      </c>
      <c r="Y66" s="264">
        <v>8.2200000000000006</v>
      </c>
      <c r="Z66" s="266"/>
      <c r="AA66" s="266"/>
      <c r="AB66" s="266"/>
      <c r="AC66" s="266"/>
    </row>
    <row r="67" spans="1:29" ht="9.75" customHeight="1" x14ac:dyDescent="0.25">
      <c r="A67" s="261" t="s">
        <v>209</v>
      </c>
      <c r="B67" s="262" t="s">
        <v>202</v>
      </c>
      <c r="C67" s="263">
        <v>71.510000000000005</v>
      </c>
      <c r="D67" s="263">
        <v>18.68</v>
      </c>
      <c r="E67" s="264">
        <v>9.81</v>
      </c>
      <c r="F67" s="265"/>
      <c r="G67" s="262" t="s">
        <v>204</v>
      </c>
      <c r="H67" s="263">
        <v>72.709999999999994</v>
      </c>
      <c r="I67" s="263">
        <v>17.89</v>
      </c>
      <c r="J67" s="264">
        <v>9.4</v>
      </c>
      <c r="K67" s="265"/>
      <c r="L67" s="262" t="s">
        <v>206</v>
      </c>
      <c r="M67" s="263">
        <v>73.69</v>
      </c>
      <c r="N67" s="263">
        <v>17.25</v>
      </c>
      <c r="O67" s="264">
        <v>9.06</v>
      </c>
      <c r="P67" s="265"/>
      <c r="Q67" s="262" t="s">
        <v>208</v>
      </c>
      <c r="R67" s="263">
        <v>74.36</v>
      </c>
      <c r="S67" s="263">
        <v>16.809999999999999</v>
      </c>
      <c r="T67" s="264">
        <v>8.83</v>
      </c>
      <c r="U67" s="265"/>
      <c r="V67" s="262" t="s">
        <v>210</v>
      </c>
      <c r="W67" s="263">
        <v>75.489999999999995</v>
      </c>
      <c r="X67" s="263">
        <v>16.07</v>
      </c>
      <c r="Y67" s="264">
        <v>8.44</v>
      </c>
      <c r="Z67" s="266"/>
      <c r="AA67" s="266"/>
      <c r="AB67" s="266"/>
      <c r="AC67" s="266"/>
    </row>
    <row r="68" spans="1:29" ht="9.75" customHeight="1" x14ac:dyDescent="0.25">
      <c r="A68" s="261" t="s">
        <v>211</v>
      </c>
      <c r="B68" s="262" t="s">
        <v>204</v>
      </c>
      <c r="C68" s="263">
        <v>70.760000000000005</v>
      </c>
      <c r="D68" s="263">
        <v>19.170000000000002</v>
      </c>
      <c r="E68" s="264">
        <v>10.07</v>
      </c>
      <c r="F68" s="265"/>
      <c r="G68" s="262" t="s">
        <v>206</v>
      </c>
      <c r="H68" s="263">
        <v>71.989999999999995</v>
      </c>
      <c r="I68" s="263">
        <v>18.36</v>
      </c>
      <c r="J68" s="264">
        <v>9.65</v>
      </c>
      <c r="K68" s="265"/>
      <c r="L68" s="262" t="s">
        <v>208</v>
      </c>
      <c r="M68" s="263">
        <v>72.989999999999995</v>
      </c>
      <c r="N68" s="263">
        <v>17.71</v>
      </c>
      <c r="O68" s="264">
        <v>9.3000000000000007</v>
      </c>
      <c r="P68" s="265"/>
      <c r="Q68" s="262" t="s">
        <v>210</v>
      </c>
      <c r="R68" s="263">
        <v>73.66</v>
      </c>
      <c r="S68" s="263">
        <v>17.27</v>
      </c>
      <c r="T68" s="264">
        <v>9.07</v>
      </c>
      <c r="U68" s="265"/>
      <c r="V68" s="262" t="s">
        <v>212</v>
      </c>
      <c r="W68" s="263">
        <v>74.819999999999993</v>
      </c>
      <c r="X68" s="263">
        <v>16.510000000000002</v>
      </c>
      <c r="Y68" s="264">
        <v>8.67</v>
      </c>
      <c r="Z68" s="266"/>
      <c r="AA68" s="266"/>
      <c r="AB68" s="266"/>
      <c r="AC68" s="266"/>
    </row>
    <row r="69" spans="1:29" ht="13.5" customHeight="1" x14ac:dyDescent="0.25">
      <c r="A69" s="268" t="s">
        <v>213</v>
      </c>
      <c r="B69" s="266"/>
      <c r="C69" s="264">
        <f>(C61+C62+C63+C64+C65+C66+C67+C68)/(8)</f>
        <v>73.132500000000007</v>
      </c>
      <c r="D69" s="264">
        <f>(D61+D62+D63+D64+D65+D66+D67+D68)/(8)</f>
        <v>17.615000000000002</v>
      </c>
      <c r="E69" s="264">
        <f>(E61+E62+E63+E64+E65+E66+E67+E68)/(8)</f>
        <v>9.2524999999999995</v>
      </c>
      <c r="F69" s="266"/>
      <c r="G69" s="266"/>
      <c r="H69" s="264">
        <f>(H61+H62+H63+H64+H65+H66+H67+H68)/(8)</f>
        <v>74.300000000000011</v>
      </c>
      <c r="I69" s="264">
        <f>(I61+I62+I63+I64+I65+I66+I67+I68)/(8)</f>
        <v>16.8475</v>
      </c>
      <c r="J69" s="264">
        <f>(J61+J62+J63+J64+J65+J66+J67+J68)/(8)</f>
        <v>8.8524999999999991</v>
      </c>
      <c r="K69" s="266"/>
      <c r="L69" s="266"/>
      <c r="M69" s="264">
        <f>(M61+M62+M63+M64+M65+M66+M67+M68)/(8)</f>
        <v>75.240749999999991</v>
      </c>
      <c r="N69" s="264">
        <f>(N61+N62+N63+N64+N65+N66+N67+N68)/(8)</f>
        <v>16.231249999999999</v>
      </c>
      <c r="O69" s="264">
        <f>(O61+O62+O63+O64+O65+O66+O67+O68)/(8)</f>
        <v>8.5274999999999999</v>
      </c>
      <c r="P69" s="266"/>
      <c r="Q69" s="274"/>
      <c r="R69" s="264">
        <f>(R61+R62+R63+R64+R65+R66+R67+R68)/(8)</f>
        <v>75.873749999999987</v>
      </c>
      <c r="S69" s="264">
        <f>(S61+S62+S63+S64+S65+S66+S67+S68)/(8)</f>
        <v>15.817499999999999</v>
      </c>
      <c r="T69" s="264">
        <f>(T61+T62+T63+T64+T65+T66+T67+T68)/(8)</f>
        <v>8.3087499999999999</v>
      </c>
      <c r="U69" s="266"/>
      <c r="V69" s="266"/>
      <c r="W69" s="264">
        <f>(W61+W62+W63+W64+W65+W66+W67+W68)/(8)</f>
        <v>76.961250000000007</v>
      </c>
      <c r="X69" s="264">
        <f>(X61+X62+X63+X64+X65+X66+X67+X68)/(8)</f>
        <v>15.105000000000002</v>
      </c>
      <c r="Y69" s="264">
        <f>(Y61+Y62+Y63+Y64+Y65+Y66+Y67+Y68)/(8)</f>
        <v>7.9337499999999999</v>
      </c>
      <c r="Z69" s="266"/>
      <c r="AA69" s="266"/>
      <c r="AB69" s="266"/>
      <c r="AC69" s="266"/>
    </row>
    <row r="70" spans="1:29" ht="3" customHeight="1" x14ac:dyDescent="0.25">
      <c r="A70" s="233"/>
      <c r="B70" s="266"/>
      <c r="C70" s="266"/>
      <c r="D70" s="266"/>
      <c r="E70" s="266"/>
      <c r="F70" s="266"/>
      <c r="G70" s="266"/>
      <c r="H70" s="266"/>
      <c r="I70" s="266"/>
      <c r="J70" s="266"/>
      <c r="K70" s="266"/>
      <c r="L70" s="266"/>
      <c r="M70" s="266"/>
      <c r="N70" s="266"/>
      <c r="O70" s="266"/>
      <c r="P70" s="266"/>
      <c r="Q70" s="266"/>
      <c r="R70" s="266"/>
      <c r="S70" s="266"/>
      <c r="T70" s="266"/>
      <c r="U70" s="266"/>
      <c r="V70" s="266"/>
      <c r="W70" s="266"/>
      <c r="X70" s="266"/>
      <c r="Y70" s="269"/>
      <c r="Z70" s="266"/>
      <c r="AA70" s="266"/>
      <c r="AB70" s="266"/>
      <c r="AC70" s="266"/>
    </row>
    <row r="71" spans="1:29" ht="13.5" customHeight="1" x14ac:dyDescent="0.25">
      <c r="A71" s="233"/>
      <c r="B71" s="258" t="s">
        <v>165</v>
      </c>
      <c r="C71" s="258"/>
      <c r="D71" s="258"/>
      <c r="E71" s="258"/>
      <c r="F71" s="266"/>
      <c r="G71" s="258" t="s">
        <v>166</v>
      </c>
      <c r="H71" s="258"/>
      <c r="I71" s="258"/>
      <c r="J71" s="258"/>
      <c r="K71" s="266"/>
      <c r="L71" s="258" t="s">
        <v>167</v>
      </c>
      <c r="M71" s="258"/>
      <c r="N71" s="258"/>
      <c r="O71" s="258"/>
      <c r="P71" s="266"/>
      <c r="Q71" s="258" t="s">
        <v>168</v>
      </c>
      <c r="R71" s="258"/>
      <c r="S71" s="258"/>
      <c r="T71" s="258"/>
      <c r="U71" s="266"/>
      <c r="V71" s="266"/>
      <c r="W71" s="266"/>
      <c r="X71" s="266"/>
      <c r="Y71" s="269"/>
      <c r="Z71" s="266"/>
      <c r="AA71" s="266"/>
      <c r="AB71" s="266"/>
      <c r="AC71" s="266"/>
    </row>
    <row r="72" spans="1:29" ht="13.5" customHeight="1" x14ac:dyDescent="0.25">
      <c r="A72" s="233"/>
      <c r="B72" s="259" t="s">
        <v>179</v>
      </c>
      <c r="C72" s="259"/>
      <c r="D72" s="259"/>
      <c r="E72" s="259"/>
      <c r="F72" s="266"/>
      <c r="G72" s="259" t="s">
        <v>179</v>
      </c>
      <c r="H72" s="259"/>
      <c r="I72" s="259"/>
      <c r="J72" s="259"/>
      <c r="K72" s="266"/>
      <c r="L72" s="259" t="s">
        <v>179</v>
      </c>
      <c r="M72" s="259"/>
      <c r="N72" s="259"/>
      <c r="O72" s="259"/>
      <c r="P72" s="266"/>
      <c r="Q72" s="259" t="s">
        <v>179</v>
      </c>
      <c r="R72" s="259"/>
      <c r="S72" s="259"/>
      <c r="T72" s="259"/>
      <c r="U72" s="266"/>
      <c r="V72" s="266"/>
      <c r="W72" s="266"/>
      <c r="X72" s="266"/>
      <c r="Y72" s="269"/>
      <c r="Z72" s="266"/>
      <c r="AA72" s="266"/>
      <c r="AB72" s="266"/>
      <c r="AC72" s="266"/>
    </row>
    <row r="73" spans="1:29" ht="13.5" customHeight="1" x14ac:dyDescent="0.25">
      <c r="A73" s="233"/>
      <c r="B73" s="260" t="s">
        <v>189</v>
      </c>
      <c r="C73" s="260" t="s">
        <v>190</v>
      </c>
      <c r="D73" s="260" t="s">
        <v>191</v>
      </c>
      <c r="E73" s="260" t="s">
        <v>192</v>
      </c>
      <c r="F73" s="266"/>
      <c r="G73" s="260" t="s">
        <v>189</v>
      </c>
      <c r="H73" s="260" t="s">
        <v>190</v>
      </c>
      <c r="I73" s="260" t="s">
        <v>191</v>
      </c>
      <c r="J73" s="260" t="s">
        <v>192</v>
      </c>
      <c r="K73" s="266"/>
      <c r="L73" s="260" t="s">
        <v>189</v>
      </c>
      <c r="M73" s="260" t="s">
        <v>190</v>
      </c>
      <c r="N73" s="260" t="s">
        <v>191</v>
      </c>
      <c r="O73" s="260" t="s">
        <v>192</v>
      </c>
      <c r="P73" s="266"/>
      <c r="Q73" s="260" t="s">
        <v>189</v>
      </c>
      <c r="R73" s="260" t="s">
        <v>190</v>
      </c>
      <c r="S73" s="260" t="s">
        <v>191</v>
      </c>
      <c r="T73" s="260" t="s">
        <v>192</v>
      </c>
      <c r="U73" s="266"/>
      <c r="V73" s="266" t="s">
        <v>214</v>
      </c>
      <c r="W73" s="266"/>
      <c r="X73" s="266"/>
      <c r="Y73" s="269"/>
      <c r="Z73" s="266"/>
      <c r="AA73" s="266"/>
      <c r="AB73" s="266"/>
      <c r="AC73" s="266"/>
    </row>
    <row r="74" spans="1:29" ht="9.75" customHeight="1" x14ac:dyDescent="0.25">
      <c r="A74" s="261" t="s">
        <v>193</v>
      </c>
      <c r="B74" s="262" t="s">
        <v>200</v>
      </c>
      <c r="C74" s="263">
        <v>80.38</v>
      </c>
      <c r="D74" s="263">
        <v>12.86</v>
      </c>
      <c r="E74" s="264">
        <v>6.76</v>
      </c>
      <c r="F74" s="265"/>
      <c r="G74" s="262" t="s">
        <v>202</v>
      </c>
      <c r="H74" s="263">
        <v>81.239999999999995</v>
      </c>
      <c r="I74" s="263">
        <v>12.3</v>
      </c>
      <c r="J74" s="264">
        <v>6.46</v>
      </c>
      <c r="K74" s="265"/>
      <c r="L74" s="262" t="s">
        <v>204</v>
      </c>
      <c r="M74" s="263">
        <v>82.34</v>
      </c>
      <c r="N74" s="263">
        <v>11.58</v>
      </c>
      <c r="O74" s="264">
        <v>6.08</v>
      </c>
      <c r="P74" s="265"/>
      <c r="Q74" s="262" t="s">
        <v>206</v>
      </c>
      <c r="R74" s="263">
        <v>83.53</v>
      </c>
      <c r="S74" s="263">
        <v>10.8</v>
      </c>
      <c r="T74" s="264">
        <v>5.67</v>
      </c>
      <c r="U74" s="265"/>
      <c r="V74" s="270" t="s">
        <v>215</v>
      </c>
      <c r="W74" s="270"/>
      <c r="X74" s="270"/>
      <c r="Y74" s="271"/>
      <c r="Z74" s="266"/>
      <c r="AA74" s="266"/>
      <c r="AB74" s="266"/>
      <c r="AC74" s="266"/>
    </row>
    <row r="75" spans="1:29" ht="9.75" customHeight="1" x14ac:dyDescent="0.25">
      <c r="A75" s="261" t="s">
        <v>199</v>
      </c>
      <c r="B75" s="262" t="s">
        <v>202</v>
      </c>
      <c r="C75" s="263">
        <v>79.91</v>
      </c>
      <c r="D75" s="263">
        <v>13.17</v>
      </c>
      <c r="E75" s="264">
        <v>6.92</v>
      </c>
      <c r="F75" s="265"/>
      <c r="G75" s="262" t="s">
        <v>204</v>
      </c>
      <c r="H75" s="263">
        <v>80.78</v>
      </c>
      <c r="I75" s="263">
        <v>12.6</v>
      </c>
      <c r="J75" s="264">
        <v>6.62</v>
      </c>
      <c r="K75" s="265"/>
      <c r="L75" s="262" t="s">
        <v>206</v>
      </c>
      <c r="M75" s="263">
        <v>81.91</v>
      </c>
      <c r="N75" s="263">
        <v>11.86</v>
      </c>
      <c r="O75" s="264">
        <v>6.23</v>
      </c>
      <c r="P75" s="265"/>
      <c r="Q75" s="262" t="s">
        <v>208</v>
      </c>
      <c r="R75" s="263">
        <v>83.11</v>
      </c>
      <c r="S75" s="263">
        <v>11.07</v>
      </c>
      <c r="T75" s="264">
        <v>5.82</v>
      </c>
      <c r="U75" s="265"/>
      <c r="V75" s="265"/>
      <c r="W75" s="265"/>
      <c r="X75" s="265"/>
      <c r="Y75" s="271"/>
      <c r="Z75" s="266"/>
      <c r="AA75" s="266"/>
      <c r="AB75" s="266"/>
      <c r="AC75" s="266"/>
    </row>
    <row r="76" spans="1:29" ht="9.75" customHeight="1" x14ac:dyDescent="0.25">
      <c r="A76" s="261" t="s">
        <v>201</v>
      </c>
      <c r="B76" s="262" t="s">
        <v>204</v>
      </c>
      <c r="C76" s="263">
        <v>79.41</v>
      </c>
      <c r="D76" s="263">
        <v>13.5</v>
      </c>
      <c r="E76" s="264">
        <v>7.09</v>
      </c>
      <c r="F76" s="265"/>
      <c r="G76" s="262" t="s">
        <v>206</v>
      </c>
      <c r="H76" s="263">
        <v>80.3</v>
      </c>
      <c r="I76" s="263">
        <v>12.92</v>
      </c>
      <c r="J76" s="264">
        <v>6.78</v>
      </c>
      <c r="K76" s="265"/>
      <c r="L76" s="262" t="s">
        <v>208</v>
      </c>
      <c r="M76" s="263">
        <v>81.44</v>
      </c>
      <c r="N76" s="263">
        <v>12.17</v>
      </c>
      <c r="O76" s="264">
        <v>6.39</v>
      </c>
      <c r="P76" s="265"/>
      <c r="Q76" s="262" t="s">
        <v>210</v>
      </c>
      <c r="R76" s="263">
        <v>82.67</v>
      </c>
      <c r="S76" s="263">
        <v>11.36</v>
      </c>
      <c r="T76" s="264">
        <v>5.97</v>
      </c>
      <c r="U76" s="265"/>
      <c r="V76" s="270" t="s">
        <v>223</v>
      </c>
      <c r="W76" s="270"/>
      <c r="X76" s="270"/>
      <c r="Y76" s="271"/>
      <c r="Z76" s="266"/>
      <c r="AA76" s="266"/>
      <c r="AB76" s="266"/>
      <c r="AC76" s="266"/>
    </row>
    <row r="77" spans="1:29" ht="9.75" customHeight="1" x14ac:dyDescent="0.25">
      <c r="A77" s="261" t="s">
        <v>203</v>
      </c>
      <c r="B77" s="262" t="s">
        <v>206</v>
      </c>
      <c r="C77" s="263">
        <v>78.88</v>
      </c>
      <c r="D77" s="263">
        <v>13.85</v>
      </c>
      <c r="E77" s="264">
        <v>7.27</v>
      </c>
      <c r="F77" s="265"/>
      <c r="G77" s="262" t="s">
        <v>208</v>
      </c>
      <c r="H77" s="263">
        <v>79.790000000000006</v>
      </c>
      <c r="I77" s="263">
        <v>13.25</v>
      </c>
      <c r="J77" s="264">
        <v>6.96</v>
      </c>
      <c r="K77" s="265"/>
      <c r="L77" s="262" t="s">
        <v>210</v>
      </c>
      <c r="M77" s="263">
        <v>80.959999999999994</v>
      </c>
      <c r="N77" s="263">
        <v>12.48</v>
      </c>
      <c r="O77" s="264">
        <v>6.56</v>
      </c>
      <c r="P77" s="265"/>
      <c r="Q77" s="262" t="s">
        <v>212</v>
      </c>
      <c r="R77" s="263">
        <v>82.22</v>
      </c>
      <c r="S77" s="263">
        <v>11.66</v>
      </c>
      <c r="T77" s="264">
        <v>6.12</v>
      </c>
      <c r="U77" s="265"/>
      <c r="V77" s="265"/>
      <c r="W77" s="265"/>
      <c r="X77" s="265"/>
      <c r="Y77" s="271"/>
      <c r="Z77" s="266"/>
      <c r="AA77" s="266"/>
      <c r="AB77" s="266"/>
      <c r="AC77" s="266"/>
    </row>
    <row r="78" spans="1:29" ht="9.75" customHeight="1" x14ac:dyDescent="0.25">
      <c r="A78" s="261" t="s">
        <v>205</v>
      </c>
      <c r="B78" s="262" t="s">
        <v>208</v>
      </c>
      <c r="C78" s="263">
        <v>78.33</v>
      </c>
      <c r="D78" s="263">
        <v>14.21</v>
      </c>
      <c r="E78" s="264">
        <v>7.46</v>
      </c>
      <c r="F78" s="265"/>
      <c r="G78" s="262" t="s">
        <v>210</v>
      </c>
      <c r="H78" s="263">
        <v>79.260000000000005</v>
      </c>
      <c r="I78" s="263">
        <v>13.6</v>
      </c>
      <c r="J78" s="264">
        <v>7.14</v>
      </c>
      <c r="K78" s="265"/>
      <c r="L78" s="262" t="s">
        <v>212</v>
      </c>
      <c r="M78" s="263">
        <v>80.45</v>
      </c>
      <c r="N78" s="263">
        <v>12.82</v>
      </c>
      <c r="O78" s="264">
        <v>6.73</v>
      </c>
      <c r="P78" s="265"/>
      <c r="Q78" s="262" t="s">
        <v>217</v>
      </c>
      <c r="R78" s="263">
        <v>81.73</v>
      </c>
      <c r="S78" s="263">
        <v>11.98</v>
      </c>
      <c r="T78" s="264">
        <v>6.29</v>
      </c>
      <c r="U78" s="265"/>
      <c r="V78" s="265"/>
      <c r="W78" s="265"/>
      <c r="X78" s="265"/>
      <c r="Y78" s="271"/>
      <c r="Z78" s="266"/>
      <c r="AA78" s="266"/>
      <c r="AB78" s="266"/>
      <c r="AC78" s="266"/>
    </row>
    <row r="79" spans="1:29" ht="9.75" customHeight="1" x14ac:dyDescent="0.25">
      <c r="A79" s="261" t="s">
        <v>207</v>
      </c>
      <c r="B79" s="262" t="s">
        <v>210</v>
      </c>
      <c r="C79" s="263">
        <v>77.75</v>
      </c>
      <c r="D79" s="263">
        <v>14.59</v>
      </c>
      <c r="E79" s="264">
        <v>7.66</v>
      </c>
      <c r="F79" s="265"/>
      <c r="G79" s="262" t="s">
        <v>212</v>
      </c>
      <c r="H79" s="263">
        <v>78.7</v>
      </c>
      <c r="I79" s="263">
        <v>13.96</v>
      </c>
      <c r="J79" s="264">
        <v>7.34</v>
      </c>
      <c r="K79" s="265"/>
      <c r="L79" s="262" t="s">
        <v>217</v>
      </c>
      <c r="M79" s="263">
        <v>79.91</v>
      </c>
      <c r="N79" s="263">
        <v>13.17</v>
      </c>
      <c r="O79" s="264">
        <v>6.92</v>
      </c>
      <c r="P79" s="265"/>
      <c r="Q79" s="262" t="s">
        <v>218</v>
      </c>
      <c r="R79" s="263">
        <v>81.22</v>
      </c>
      <c r="S79" s="263">
        <v>12.31</v>
      </c>
      <c r="T79" s="264">
        <v>6.47</v>
      </c>
      <c r="U79" s="265"/>
      <c r="V79" s="265"/>
      <c r="W79" s="265"/>
      <c r="X79" s="265"/>
      <c r="Y79" s="271"/>
      <c r="Z79" s="266"/>
      <c r="AA79" s="266"/>
      <c r="AB79" s="266"/>
      <c r="AC79" s="266"/>
    </row>
    <row r="80" spans="1:29" ht="9.75" customHeight="1" x14ac:dyDescent="0.25">
      <c r="A80" s="261" t="s">
        <v>209</v>
      </c>
      <c r="B80" s="262" t="s">
        <v>212</v>
      </c>
      <c r="C80" s="263">
        <v>77.14</v>
      </c>
      <c r="D80" s="263">
        <v>14.99</v>
      </c>
      <c r="E80" s="264">
        <v>7.87</v>
      </c>
      <c r="F80" s="265"/>
      <c r="G80" s="262" t="s">
        <v>217</v>
      </c>
      <c r="H80" s="263">
        <v>78.099999999999994</v>
      </c>
      <c r="I80" s="263">
        <v>14.36</v>
      </c>
      <c r="J80" s="264">
        <v>7.54</v>
      </c>
      <c r="K80" s="265"/>
      <c r="L80" s="262" t="s">
        <v>218</v>
      </c>
      <c r="M80" s="263">
        <v>79.34</v>
      </c>
      <c r="N80" s="263">
        <v>13.55</v>
      </c>
      <c r="O80" s="264">
        <v>7.11</v>
      </c>
      <c r="P80" s="265"/>
      <c r="Q80" s="262" t="s">
        <v>219</v>
      </c>
      <c r="R80" s="263">
        <v>80.680000000000007</v>
      </c>
      <c r="S80" s="263">
        <v>12.67</v>
      </c>
      <c r="T80" s="264">
        <v>6.65</v>
      </c>
      <c r="U80" s="265"/>
      <c r="V80" s="265"/>
      <c r="W80" s="265"/>
      <c r="X80" s="265"/>
      <c r="Y80" s="271"/>
      <c r="Z80" s="266"/>
      <c r="AA80" s="266"/>
      <c r="AB80" s="266"/>
      <c r="AC80" s="266"/>
    </row>
    <row r="81" spans="1:29" ht="9.75" customHeight="1" x14ac:dyDescent="0.25">
      <c r="A81" s="261" t="s">
        <v>211</v>
      </c>
      <c r="B81" s="262" t="s">
        <v>217</v>
      </c>
      <c r="C81" s="263">
        <v>76.489999999999995</v>
      </c>
      <c r="D81" s="263">
        <v>15.41</v>
      </c>
      <c r="E81" s="264">
        <v>8.1</v>
      </c>
      <c r="F81" s="265"/>
      <c r="G81" s="262" t="s">
        <v>218</v>
      </c>
      <c r="H81" s="263">
        <v>77.47</v>
      </c>
      <c r="I81" s="263">
        <v>14.77</v>
      </c>
      <c r="J81" s="264">
        <v>7.76</v>
      </c>
      <c r="K81" s="265"/>
      <c r="L81" s="262" t="s">
        <v>219</v>
      </c>
      <c r="M81" s="263">
        <v>78.739999999999995</v>
      </c>
      <c r="N81" s="263">
        <v>13.94</v>
      </c>
      <c r="O81" s="264">
        <v>7.32</v>
      </c>
      <c r="P81" s="265"/>
      <c r="Q81" s="262" t="s">
        <v>220</v>
      </c>
      <c r="R81" s="263">
        <v>80.11</v>
      </c>
      <c r="S81" s="263">
        <v>13.04</v>
      </c>
      <c r="T81" s="264">
        <v>6.85</v>
      </c>
      <c r="U81" s="265"/>
      <c r="V81" s="265"/>
      <c r="W81" s="265"/>
      <c r="X81" s="265"/>
      <c r="Y81" s="271"/>
      <c r="Z81" s="266"/>
      <c r="AA81" s="266"/>
      <c r="AB81" s="266"/>
      <c r="AC81" s="266"/>
    </row>
    <row r="82" spans="1:29" ht="13.5" customHeight="1" x14ac:dyDescent="0.25">
      <c r="A82" s="268" t="s">
        <v>213</v>
      </c>
      <c r="B82" s="266"/>
      <c r="C82" s="264">
        <f>(C74+C75+C76+C77+C78+C79+C80+C81)/(8)</f>
        <v>78.536249999999995</v>
      </c>
      <c r="D82" s="264">
        <f>(D74+D75+D76+D77+D78+D79+D80+D81)/(8)</f>
        <v>14.0725</v>
      </c>
      <c r="E82" s="264">
        <f>(E74+E75+E76+E77+E78+E79+E80+E81)/(8)</f>
        <v>7.3912499999999994</v>
      </c>
      <c r="F82" s="266"/>
      <c r="G82" s="266"/>
      <c r="H82" s="264">
        <f>(H74+H75+H76+H77+H78+H79+H80+H81)/(8)</f>
        <v>79.454999999999998</v>
      </c>
      <c r="I82" s="264">
        <f>(I74+I75+I76+I77+I78+I79+I80+I81)/(8)</f>
        <v>13.469999999999999</v>
      </c>
      <c r="J82" s="264">
        <f>(J74+J75+J76+J77+J78+J79+J80+J81)/(8)</f>
        <v>7.0749999999999993</v>
      </c>
      <c r="K82" s="266"/>
      <c r="L82" s="266"/>
      <c r="M82" s="264">
        <f>(M74+M75+M76+M77+M78+M79+M80+M81)/(8)</f>
        <v>80.636250000000004</v>
      </c>
      <c r="N82" s="264">
        <f>(N74+N75+N76+N77+N78+N79+N80+N81)/(8)</f>
        <v>12.696249999999999</v>
      </c>
      <c r="O82" s="264">
        <f>(O74+O75+O76+O77+O78+O79+O80+O81)/(8)</f>
        <v>6.6674999999999995</v>
      </c>
      <c r="P82" s="266"/>
      <c r="Q82" s="266"/>
      <c r="R82" s="264">
        <f>(R74+R75+R76+R77+R78+R79+R80+R81)/(8)</f>
        <v>81.908750000000012</v>
      </c>
      <c r="S82" s="264">
        <f>(S74+S75+S76+S77+S78+S79+S80+S81)/(8)</f>
        <v>11.861250000000002</v>
      </c>
      <c r="T82" s="264">
        <f>(T74+T75+T76+T77+T78+T79+T80+T81)/(8)</f>
        <v>6.23</v>
      </c>
      <c r="U82" s="266"/>
      <c r="V82" s="266"/>
      <c r="W82" s="266"/>
      <c r="X82" s="266"/>
      <c r="Y82" s="269"/>
      <c r="Z82" s="266"/>
      <c r="AA82" s="266"/>
      <c r="AB82" s="266"/>
      <c r="AC82" s="266"/>
    </row>
    <row r="83" spans="1:29" ht="3" customHeight="1" x14ac:dyDescent="0.25">
      <c r="A83" s="247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3"/>
      <c r="Z83" s="266"/>
      <c r="AA83" s="266"/>
      <c r="AB83" s="266"/>
      <c r="AC83" s="266"/>
    </row>
    <row r="84" spans="1:29" x14ac:dyDescent="0.25">
      <c r="B84" s="266"/>
      <c r="C84" s="266"/>
      <c r="D84" s="266"/>
      <c r="E84" s="266"/>
      <c r="F84" s="266"/>
      <c r="G84" s="266"/>
      <c r="H84" s="266"/>
      <c r="I84" s="266"/>
      <c r="J84" s="266"/>
      <c r="K84" s="266"/>
      <c r="L84" s="266"/>
      <c r="M84" s="266"/>
      <c r="N84" s="266"/>
      <c r="O84" s="266"/>
      <c r="P84" s="266"/>
      <c r="Q84" s="266"/>
      <c r="R84" s="266"/>
      <c r="S84" s="266"/>
      <c r="T84" s="266"/>
      <c r="U84" s="266"/>
      <c r="V84" s="266"/>
      <c r="W84" s="266"/>
      <c r="X84" s="266"/>
      <c r="Y84" s="266"/>
      <c r="Z84" s="266"/>
      <c r="AA84" s="266"/>
      <c r="AB84" s="266"/>
      <c r="AC84" s="266"/>
    </row>
    <row r="85" spans="1:29" x14ac:dyDescent="0.25">
      <c r="B85" s="266"/>
      <c r="C85" s="266"/>
      <c r="D85" s="266"/>
      <c r="E85" s="266"/>
      <c r="F85" s="266"/>
      <c r="G85" s="266"/>
      <c r="H85" s="266"/>
      <c r="I85" s="266"/>
      <c r="J85" s="266"/>
      <c r="K85" s="266"/>
      <c r="L85" s="266"/>
      <c r="M85" s="266"/>
      <c r="N85" s="266"/>
      <c r="O85" s="266"/>
      <c r="P85" s="266"/>
      <c r="Q85" s="266"/>
      <c r="R85" s="266"/>
      <c r="S85" s="266"/>
      <c r="T85" s="266"/>
      <c r="U85" s="266"/>
      <c r="V85" s="266"/>
      <c r="W85" s="266"/>
      <c r="X85" s="266"/>
      <c r="Y85" s="266"/>
      <c r="Z85" s="266"/>
      <c r="AA85" s="266"/>
      <c r="AB85" s="266"/>
      <c r="AC85" s="266"/>
    </row>
    <row r="86" spans="1:29" x14ac:dyDescent="0.25"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Z86" s="266"/>
      <c r="AA86" s="266"/>
      <c r="AB86" s="266"/>
      <c r="AC86" s="266"/>
    </row>
    <row r="87" spans="1:29" x14ac:dyDescent="0.25">
      <c r="B87" s="266"/>
      <c r="C87" s="266"/>
      <c r="D87" s="266"/>
      <c r="E87" s="266"/>
      <c r="F87" s="266"/>
      <c r="G87" s="266"/>
      <c r="H87" s="266"/>
      <c r="I87" s="266"/>
      <c r="J87" s="266"/>
      <c r="K87" s="266"/>
      <c r="L87" s="266"/>
      <c r="M87" s="266"/>
      <c r="N87" s="266"/>
      <c r="O87" s="266"/>
      <c r="P87" s="266"/>
      <c r="Q87" s="266"/>
      <c r="R87" s="266"/>
      <c r="S87" s="266"/>
      <c r="T87" s="266"/>
      <c r="U87" s="266"/>
      <c r="V87" s="266"/>
      <c r="W87" s="266"/>
      <c r="X87" s="266"/>
      <c r="Y87" s="266"/>
      <c r="Z87" s="266"/>
      <c r="AA87" s="266"/>
      <c r="AB87" s="266"/>
      <c r="AC87" s="266"/>
    </row>
    <row r="88" spans="1:29" x14ac:dyDescent="0.25">
      <c r="B88" s="266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266"/>
      <c r="N88" s="266"/>
      <c r="O88" s="266"/>
      <c r="P88" s="266"/>
      <c r="Q88" s="266"/>
      <c r="R88" s="266"/>
      <c r="S88" s="266"/>
      <c r="T88" s="266"/>
      <c r="U88" s="266"/>
      <c r="V88" s="266"/>
      <c r="W88" s="266"/>
      <c r="X88" s="266"/>
      <c r="Y88" s="266"/>
      <c r="Z88" s="266"/>
      <c r="AA88" s="266"/>
      <c r="AB88" s="266"/>
      <c r="AC88" s="266"/>
    </row>
    <row r="89" spans="1:29" x14ac:dyDescent="0.25">
      <c r="B89" s="266"/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6"/>
      <c r="N89" s="266"/>
      <c r="O89" s="266"/>
      <c r="P89" s="266"/>
      <c r="Q89" s="266"/>
      <c r="R89" s="266"/>
      <c r="S89" s="266"/>
      <c r="T89" s="266"/>
      <c r="U89" s="266"/>
      <c r="V89" s="266"/>
      <c r="W89" s="266"/>
      <c r="X89" s="266"/>
      <c r="Y89" s="266"/>
      <c r="Z89" s="266"/>
      <c r="AA89" s="266"/>
      <c r="AB89" s="266"/>
      <c r="AC89" s="266"/>
    </row>
    <row r="90" spans="1:29" x14ac:dyDescent="0.25">
      <c r="B90" s="266"/>
      <c r="C90" s="266"/>
      <c r="D90" s="266"/>
      <c r="E90" s="266"/>
      <c r="F90" s="266"/>
      <c r="G90" s="266"/>
      <c r="H90" s="266"/>
      <c r="I90" s="266"/>
      <c r="J90" s="266"/>
      <c r="K90" s="266"/>
      <c r="L90" s="266"/>
      <c r="M90" s="266"/>
      <c r="N90" s="266"/>
      <c r="O90" s="266"/>
      <c r="P90" s="266"/>
      <c r="Q90" s="266"/>
      <c r="R90" s="266"/>
      <c r="S90" s="266"/>
      <c r="T90" s="266"/>
      <c r="U90" s="266"/>
      <c r="V90" s="266"/>
      <c r="W90" s="266"/>
      <c r="X90" s="266"/>
      <c r="Y90" s="266"/>
      <c r="Z90" s="266"/>
      <c r="AA90" s="266"/>
      <c r="AB90" s="266"/>
      <c r="AC90" s="266"/>
    </row>
    <row r="91" spans="1:29" x14ac:dyDescent="0.25">
      <c r="B91" s="266"/>
      <c r="C91" s="266"/>
      <c r="D91" s="266"/>
      <c r="E91" s="266"/>
      <c r="F91" s="266"/>
      <c r="G91" s="266"/>
      <c r="H91" s="266"/>
      <c r="I91" s="266"/>
      <c r="J91" s="266"/>
      <c r="K91" s="266"/>
      <c r="L91" s="266"/>
      <c r="M91" s="266"/>
      <c r="N91" s="266"/>
      <c r="O91" s="266"/>
      <c r="P91" s="266"/>
      <c r="Q91" s="266"/>
      <c r="R91" s="266"/>
      <c r="S91" s="266"/>
      <c r="T91" s="266"/>
      <c r="U91" s="266"/>
      <c r="V91" s="266"/>
      <c r="W91" s="266"/>
      <c r="X91" s="266"/>
      <c r="Y91" s="266"/>
      <c r="Z91" s="266"/>
      <c r="AA91" s="266"/>
      <c r="AB91" s="266"/>
      <c r="AC91" s="266"/>
    </row>
    <row r="92" spans="1:29" x14ac:dyDescent="0.25">
      <c r="B92" s="266"/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6"/>
      <c r="N92" s="266"/>
      <c r="O92" s="266"/>
      <c r="P92" s="266"/>
      <c r="Q92" s="266"/>
      <c r="R92" s="266"/>
      <c r="S92" s="266"/>
      <c r="T92" s="266"/>
      <c r="U92" s="266"/>
      <c r="V92" s="266"/>
      <c r="W92" s="266"/>
      <c r="X92" s="266"/>
      <c r="Y92" s="266"/>
      <c r="Z92" s="266"/>
      <c r="AA92" s="266"/>
      <c r="AB92" s="266"/>
      <c r="AC92" s="266"/>
    </row>
    <row r="93" spans="1:29" x14ac:dyDescent="0.25">
      <c r="B93" s="266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266"/>
      <c r="N93" s="266"/>
      <c r="O93" s="266"/>
      <c r="P93" s="266"/>
      <c r="Q93" s="266"/>
      <c r="R93" s="266"/>
      <c r="S93" s="266"/>
      <c r="T93" s="266"/>
      <c r="U93" s="266"/>
      <c r="V93" s="266"/>
      <c r="W93" s="266"/>
      <c r="X93" s="266"/>
      <c r="Y93" s="266"/>
      <c r="Z93" s="266"/>
      <c r="AA93" s="266"/>
      <c r="AB93" s="266"/>
      <c r="AC93" s="266"/>
    </row>
    <row r="94" spans="1:29" x14ac:dyDescent="0.25">
      <c r="B94" s="266"/>
      <c r="C94" s="266"/>
      <c r="D94" s="266"/>
      <c r="E94" s="266"/>
      <c r="F94" s="266"/>
      <c r="G94" s="266"/>
      <c r="H94" s="266"/>
      <c r="I94" s="266"/>
      <c r="J94" s="266"/>
      <c r="K94" s="266"/>
      <c r="L94" s="266"/>
      <c r="M94" s="266"/>
      <c r="N94" s="266"/>
      <c r="O94" s="266"/>
      <c r="P94" s="266"/>
      <c r="Q94" s="266"/>
      <c r="R94" s="266"/>
      <c r="S94" s="266"/>
      <c r="T94" s="266"/>
      <c r="U94" s="266"/>
      <c r="V94" s="266"/>
      <c r="W94" s="266"/>
      <c r="X94" s="266"/>
      <c r="Y94" s="266"/>
      <c r="Z94" s="266"/>
      <c r="AA94" s="266"/>
      <c r="AB94" s="266"/>
      <c r="AC94" s="266"/>
    </row>
    <row r="95" spans="1:29" x14ac:dyDescent="0.25">
      <c r="B95" s="266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6"/>
      <c r="R95" s="266"/>
      <c r="S95" s="266"/>
      <c r="T95" s="266"/>
      <c r="U95" s="266"/>
      <c r="V95" s="266"/>
      <c r="W95" s="266"/>
      <c r="X95" s="266"/>
      <c r="Y95" s="266"/>
      <c r="Z95" s="266"/>
      <c r="AA95" s="266"/>
      <c r="AB95" s="266"/>
      <c r="AC95" s="266"/>
    </row>
    <row r="96" spans="1:29" x14ac:dyDescent="0.25">
      <c r="B96" s="266"/>
      <c r="C96" s="266"/>
      <c r="D96" s="266"/>
      <c r="E96" s="266"/>
      <c r="F96" s="266"/>
      <c r="G96" s="266"/>
      <c r="H96" s="266"/>
      <c r="I96" s="266"/>
      <c r="J96" s="266"/>
      <c r="K96" s="266"/>
      <c r="L96" s="266"/>
      <c r="M96" s="266"/>
      <c r="N96" s="266"/>
      <c r="O96" s="266"/>
      <c r="P96" s="266"/>
      <c r="Q96" s="266"/>
      <c r="R96" s="266"/>
      <c r="S96" s="266"/>
      <c r="T96" s="266"/>
      <c r="U96" s="266"/>
      <c r="V96" s="266"/>
      <c r="W96" s="266"/>
      <c r="X96" s="266"/>
      <c r="Y96" s="266"/>
      <c r="Z96" s="266"/>
      <c r="AA96" s="266"/>
      <c r="AB96" s="266"/>
      <c r="AC96" s="266"/>
    </row>
    <row r="97" spans="2:29" x14ac:dyDescent="0.25"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66"/>
      <c r="N97" s="266"/>
      <c r="O97" s="266"/>
      <c r="P97" s="266"/>
      <c r="Q97" s="266"/>
      <c r="R97" s="266"/>
      <c r="S97" s="266"/>
      <c r="T97" s="266"/>
      <c r="U97" s="266"/>
      <c r="V97" s="266"/>
      <c r="W97" s="266"/>
      <c r="X97" s="266"/>
      <c r="Y97" s="266"/>
      <c r="Z97" s="266"/>
      <c r="AA97" s="266"/>
      <c r="AB97" s="266"/>
      <c r="AC97" s="266"/>
    </row>
    <row r="98" spans="2:29" x14ac:dyDescent="0.25">
      <c r="B98" s="266"/>
      <c r="C98" s="266"/>
      <c r="D98" s="266"/>
      <c r="E98" s="266"/>
      <c r="F98" s="266"/>
      <c r="G98" s="266"/>
      <c r="H98" s="266"/>
      <c r="I98" s="266"/>
      <c r="J98" s="266"/>
      <c r="K98" s="266"/>
      <c r="L98" s="266"/>
      <c r="M98" s="266"/>
      <c r="N98" s="266"/>
      <c r="O98" s="266"/>
      <c r="P98" s="266"/>
      <c r="Q98" s="266"/>
      <c r="R98" s="266"/>
      <c r="S98" s="266"/>
      <c r="T98" s="266"/>
      <c r="U98" s="266"/>
      <c r="V98" s="266"/>
      <c r="W98" s="266"/>
      <c r="X98" s="266"/>
      <c r="Y98" s="266"/>
      <c r="Z98" s="266"/>
      <c r="AA98" s="266"/>
      <c r="AB98" s="266"/>
      <c r="AC98" s="266"/>
    </row>
    <row r="99" spans="2:29" x14ac:dyDescent="0.25">
      <c r="B99" s="266"/>
      <c r="C99" s="266"/>
      <c r="D99" s="266"/>
      <c r="E99" s="266"/>
      <c r="F99" s="266"/>
      <c r="G99" s="266"/>
      <c r="H99" s="266"/>
      <c r="I99" s="266"/>
      <c r="J99" s="266"/>
      <c r="K99" s="266"/>
      <c r="L99" s="266"/>
      <c r="M99" s="266"/>
      <c r="N99" s="266"/>
      <c r="O99" s="266"/>
      <c r="P99" s="266"/>
      <c r="Q99" s="266"/>
      <c r="R99" s="266"/>
      <c r="S99" s="266"/>
      <c r="T99" s="266"/>
      <c r="U99" s="266"/>
      <c r="V99" s="266"/>
      <c r="W99" s="266"/>
      <c r="X99" s="266"/>
      <c r="Y99" s="266"/>
      <c r="Z99" s="266"/>
      <c r="AA99" s="266"/>
      <c r="AB99" s="266"/>
      <c r="AC99" s="266"/>
    </row>
    <row r="100" spans="2:29" x14ac:dyDescent="0.25">
      <c r="B100" s="266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266"/>
      <c r="N100" s="266"/>
      <c r="O100" s="266"/>
      <c r="P100" s="266"/>
      <c r="Q100" s="266"/>
      <c r="R100" s="266"/>
      <c r="S100" s="266"/>
      <c r="T100" s="266"/>
      <c r="U100" s="266"/>
      <c r="V100" s="266"/>
      <c r="W100" s="266"/>
      <c r="X100" s="266"/>
      <c r="Y100" s="266"/>
      <c r="Z100" s="266"/>
      <c r="AA100" s="266"/>
      <c r="AB100" s="266"/>
      <c r="AC100" s="266"/>
    </row>
    <row r="101" spans="2:29" x14ac:dyDescent="0.25">
      <c r="B101" s="266"/>
      <c r="C101" s="266"/>
      <c r="D101" s="266"/>
      <c r="E101" s="266"/>
      <c r="F101" s="266"/>
      <c r="G101" s="266"/>
      <c r="H101" s="266"/>
      <c r="I101" s="266"/>
      <c r="J101" s="266"/>
      <c r="K101" s="266"/>
      <c r="L101" s="266"/>
      <c r="M101" s="266"/>
      <c r="N101" s="266"/>
      <c r="O101" s="266"/>
      <c r="P101" s="266"/>
      <c r="Q101" s="266"/>
      <c r="R101" s="266"/>
      <c r="S101" s="266"/>
      <c r="T101" s="266"/>
      <c r="U101" s="266"/>
      <c r="V101" s="266"/>
      <c r="W101" s="266"/>
      <c r="X101" s="266"/>
      <c r="Y101" s="266"/>
      <c r="Z101" s="266"/>
      <c r="AA101" s="266"/>
      <c r="AB101" s="266"/>
      <c r="AC101" s="266"/>
    </row>
    <row r="102" spans="2:29" x14ac:dyDescent="0.25">
      <c r="B102" s="266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266"/>
      <c r="N102" s="266"/>
      <c r="O102" s="266"/>
      <c r="P102" s="266"/>
      <c r="Q102" s="266"/>
      <c r="R102" s="266"/>
      <c r="S102" s="266"/>
      <c r="T102" s="266"/>
      <c r="U102" s="266"/>
      <c r="V102" s="266"/>
      <c r="W102" s="266"/>
      <c r="X102" s="266"/>
      <c r="Y102" s="266"/>
      <c r="Z102" s="266"/>
      <c r="AA102" s="266"/>
      <c r="AB102" s="266"/>
      <c r="AC102" s="266"/>
    </row>
    <row r="103" spans="2:29" x14ac:dyDescent="0.25">
      <c r="B103" s="266"/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6"/>
      <c r="N103" s="266"/>
      <c r="O103" s="266"/>
      <c r="P103" s="266"/>
      <c r="Q103" s="266"/>
      <c r="R103" s="266"/>
      <c r="S103" s="266"/>
      <c r="T103" s="266"/>
      <c r="U103" s="266"/>
      <c r="V103" s="266"/>
      <c r="W103" s="266"/>
      <c r="X103" s="266"/>
      <c r="Y103" s="266"/>
      <c r="Z103" s="266"/>
      <c r="AA103" s="266"/>
      <c r="AB103" s="266"/>
      <c r="AC103" s="266"/>
    </row>
    <row r="104" spans="2:29" x14ac:dyDescent="0.25">
      <c r="B104" s="266"/>
      <c r="C104" s="266"/>
      <c r="D104" s="266"/>
      <c r="E104" s="266"/>
      <c r="F104" s="266"/>
      <c r="G104" s="266"/>
      <c r="H104" s="266"/>
      <c r="I104" s="266"/>
      <c r="J104" s="266"/>
      <c r="K104" s="266"/>
      <c r="L104" s="266"/>
      <c r="M104" s="266"/>
      <c r="N104" s="266"/>
      <c r="O104" s="266"/>
      <c r="P104" s="266"/>
      <c r="Q104" s="266"/>
      <c r="R104" s="266"/>
      <c r="S104" s="266"/>
      <c r="T104" s="266"/>
      <c r="U104" s="266"/>
      <c r="V104" s="266"/>
      <c r="W104" s="266"/>
      <c r="X104" s="266"/>
      <c r="Y104" s="266"/>
      <c r="Z104" s="266"/>
      <c r="AA104" s="266"/>
      <c r="AB104" s="266"/>
      <c r="AC104" s="266"/>
    </row>
    <row r="105" spans="2:29" x14ac:dyDescent="0.25">
      <c r="B105" s="266"/>
      <c r="C105" s="266"/>
      <c r="D105" s="266"/>
      <c r="E105" s="266"/>
      <c r="F105" s="266"/>
      <c r="G105" s="266"/>
      <c r="H105" s="266"/>
      <c r="I105" s="266"/>
      <c r="J105" s="266"/>
      <c r="K105" s="266"/>
      <c r="L105" s="266"/>
      <c r="M105" s="266"/>
      <c r="N105" s="266"/>
      <c r="O105" s="266"/>
      <c r="P105" s="266"/>
      <c r="Q105" s="266"/>
      <c r="R105" s="266"/>
      <c r="S105" s="266"/>
      <c r="T105" s="266"/>
      <c r="U105" s="266"/>
      <c r="V105" s="266"/>
      <c r="W105" s="266"/>
      <c r="X105" s="266"/>
      <c r="Y105" s="266"/>
      <c r="Z105" s="266"/>
      <c r="AA105" s="266"/>
      <c r="AB105" s="266"/>
      <c r="AC105" s="266"/>
    </row>
    <row r="106" spans="2:29" x14ac:dyDescent="0.25">
      <c r="B106" s="266"/>
      <c r="C106" s="266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</row>
    <row r="107" spans="2:29" x14ac:dyDescent="0.25">
      <c r="B107" s="266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/>
      <c r="W107" s="266"/>
      <c r="X107" s="266"/>
      <c r="Y107" s="266"/>
      <c r="Z107" s="266"/>
      <c r="AA107" s="266"/>
      <c r="AB107" s="266"/>
      <c r="AC107" s="266"/>
    </row>
    <row r="108" spans="2:29" x14ac:dyDescent="0.25">
      <c r="B108" s="266"/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</row>
    <row r="109" spans="2:29" x14ac:dyDescent="0.25">
      <c r="B109" s="266"/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6"/>
      <c r="V109" s="266"/>
      <c r="W109" s="266"/>
      <c r="X109" s="266"/>
      <c r="Y109" s="266"/>
      <c r="Z109" s="266"/>
      <c r="AA109" s="266"/>
      <c r="AB109" s="266"/>
      <c r="AC109" s="266"/>
    </row>
    <row r="110" spans="2:29" x14ac:dyDescent="0.25">
      <c r="B110" s="266"/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6"/>
      <c r="V110" s="266"/>
      <c r="W110" s="266"/>
      <c r="X110" s="266"/>
      <c r="Y110" s="266"/>
      <c r="Z110" s="266"/>
      <c r="AA110" s="266"/>
      <c r="AB110" s="266"/>
      <c r="AC110" s="266"/>
    </row>
    <row r="111" spans="2:29" x14ac:dyDescent="0.25">
      <c r="B111" s="266"/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6"/>
      <c r="V111" s="266"/>
      <c r="W111" s="266"/>
      <c r="X111" s="266"/>
      <c r="Y111" s="266"/>
      <c r="Z111" s="266"/>
      <c r="AA111" s="266"/>
      <c r="AB111" s="266"/>
      <c r="AC111" s="266"/>
    </row>
    <row r="112" spans="2:29" x14ac:dyDescent="0.25">
      <c r="B112" s="266"/>
      <c r="C112" s="266"/>
      <c r="D112" s="266"/>
      <c r="E112" s="266"/>
      <c r="F112" s="266"/>
      <c r="G112" s="266"/>
      <c r="H112" s="266"/>
      <c r="I112" s="266"/>
      <c r="J112" s="266"/>
      <c r="K112" s="266"/>
      <c r="L112" s="266"/>
      <c r="M112" s="266"/>
      <c r="N112" s="266"/>
      <c r="O112" s="266"/>
      <c r="P112" s="266"/>
      <c r="Q112" s="266"/>
      <c r="R112" s="266"/>
      <c r="S112" s="266"/>
      <c r="T112" s="266"/>
      <c r="U112" s="266"/>
      <c r="V112" s="266"/>
      <c r="W112" s="266"/>
      <c r="X112" s="266"/>
      <c r="Y112" s="266"/>
      <c r="Z112" s="266"/>
      <c r="AA112" s="266"/>
      <c r="AB112" s="266"/>
      <c r="AC112" s="266"/>
    </row>
    <row r="113" spans="2:29" x14ac:dyDescent="0.25">
      <c r="B113" s="266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6"/>
      <c r="R113" s="266"/>
      <c r="S113" s="266"/>
      <c r="T113" s="266"/>
      <c r="U113" s="266"/>
      <c r="V113" s="266"/>
      <c r="W113" s="266"/>
      <c r="X113" s="266"/>
      <c r="Y113" s="266"/>
      <c r="Z113" s="266"/>
      <c r="AA113" s="266"/>
      <c r="AB113" s="266"/>
      <c r="AC113" s="266"/>
    </row>
    <row r="114" spans="2:29" x14ac:dyDescent="0.25">
      <c r="B114" s="266"/>
      <c r="C114" s="266"/>
      <c r="D114" s="266"/>
      <c r="E114" s="266"/>
      <c r="F114" s="266"/>
      <c r="G114" s="266"/>
      <c r="H114" s="266"/>
      <c r="I114" s="266"/>
      <c r="J114" s="266"/>
      <c r="K114" s="266"/>
      <c r="L114" s="266"/>
      <c r="M114" s="266"/>
      <c r="N114" s="266"/>
      <c r="O114" s="266"/>
      <c r="P114" s="266"/>
      <c r="Q114" s="266"/>
      <c r="R114" s="266"/>
      <c r="S114" s="266"/>
      <c r="T114" s="266"/>
      <c r="U114" s="266"/>
      <c r="V114" s="266"/>
      <c r="W114" s="266"/>
      <c r="X114" s="266"/>
      <c r="Y114" s="266"/>
      <c r="Z114" s="266"/>
      <c r="AA114" s="266"/>
      <c r="AB114" s="266"/>
      <c r="AC114" s="266"/>
    </row>
    <row r="115" spans="2:29" x14ac:dyDescent="0.25">
      <c r="B115" s="266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266"/>
      <c r="N115" s="266"/>
      <c r="O115" s="266"/>
      <c r="P115" s="266"/>
      <c r="Q115" s="266"/>
      <c r="R115" s="266"/>
      <c r="S115" s="266"/>
      <c r="T115" s="266"/>
      <c r="U115" s="266"/>
      <c r="V115" s="266"/>
      <c r="W115" s="266"/>
      <c r="X115" s="266"/>
      <c r="Y115" s="266"/>
      <c r="Z115" s="266"/>
      <c r="AA115" s="266"/>
      <c r="AB115" s="266"/>
      <c r="AC115" s="266"/>
    </row>
    <row r="116" spans="2:29" x14ac:dyDescent="0.25">
      <c r="B116" s="266"/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6"/>
      <c r="N116" s="266"/>
      <c r="O116" s="266"/>
      <c r="P116" s="266"/>
      <c r="Q116" s="266"/>
      <c r="R116" s="266"/>
      <c r="S116" s="266"/>
      <c r="T116" s="266"/>
      <c r="U116" s="266"/>
      <c r="V116" s="266"/>
      <c r="W116" s="266"/>
      <c r="X116" s="266"/>
      <c r="Y116" s="266"/>
      <c r="Z116" s="266"/>
      <c r="AA116" s="266"/>
      <c r="AB116" s="266"/>
      <c r="AC116" s="266"/>
    </row>
    <row r="117" spans="2:29" x14ac:dyDescent="0.25">
      <c r="B117" s="266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266"/>
      <c r="N117" s="266"/>
      <c r="O117" s="266"/>
      <c r="P117" s="266"/>
      <c r="Q117" s="266"/>
      <c r="R117" s="266"/>
      <c r="S117" s="266"/>
      <c r="T117" s="266"/>
      <c r="U117" s="266"/>
      <c r="V117" s="266"/>
      <c r="W117" s="266"/>
      <c r="X117" s="266"/>
      <c r="Y117" s="266"/>
      <c r="Z117" s="266"/>
      <c r="AA117" s="266"/>
      <c r="AB117" s="266"/>
      <c r="AC117" s="266"/>
    </row>
    <row r="118" spans="2:29" x14ac:dyDescent="0.25">
      <c r="B118" s="266"/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6"/>
      <c r="N118" s="266"/>
      <c r="O118" s="266"/>
      <c r="P118" s="266"/>
      <c r="Q118" s="266"/>
      <c r="R118" s="266"/>
      <c r="S118" s="266"/>
      <c r="T118" s="266"/>
      <c r="U118" s="266"/>
      <c r="V118" s="266"/>
      <c r="W118" s="266"/>
      <c r="X118" s="266"/>
      <c r="Y118" s="266"/>
      <c r="Z118" s="266"/>
      <c r="AA118" s="266"/>
      <c r="AB118" s="266"/>
      <c r="AC118" s="266"/>
    </row>
    <row r="119" spans="2:29" x14ac:dyDescent="0.25">
      <c r="B119" s="266"/>
      <c r="C119" s="266"/>
      <c r="D119" s="266"/>
      <c r="E119" s="266"/>
      <c r="F119" s="266"/>
      <c r="G119" s="266"/>
      <c r="H119" s="266"/>
      <c r="I119" s="266"/>
      <c r="J119" s="266"/>
      <c r="K119" s="266"/>
      <c r="L119" s="266"/>
      <c r="M119" s="266"/>
      <c r="N119" s="266"/>
      <c r="O119" s="266"/>
      <c r="P119" s="266"/>
      <c r="Q119" s="266"/>
      <c r="R119" s="266"/>
      <c r="S119" s="266"/>
      <c r="T119" s="266"/>
      <c r="U119" s="266"/>
      <c r="V119" s="266"/>
      <c r="W119" s="266"/>
      <c r="X119" s="266"/>
      <c r="Y119" s="266"/>
      <c r="Z119" s="266"/>
      <c r="AA119" s="266"/>
      <c r="AB119" s="266"/>
      <c r="AC119" s="266"/>
    </row>
    <row r="120" spans="2:29" x14ac:dyDescent="0.25">
      <c r="B120" s="266"/>
      <c r="C120" s="266"/>
      <c r="D120" s="266"/>
      <c r="E120" s="266"/>
      <c r="F120" s="266"/>
      <c r="G120" s="266"/>
      <c r="H120" s="266"/>
      <c r="I120" s="266"/>
      <c r="J120" s="266"/>
      <c r="K120" s="266"/>
      <c r="L120" s="266"/>
      <c r="M120" s="266"/>
      <c r="N120" s="266"/>
      <c r="O120" s="266"/>
      <c r="P120" s="266"/>
      <c r="Q120" s="266"/>
      <c r="R120" s="266"/>
      <c r="S120" s="266"/>
      <c r="T120" s="266"/>
      <c r="U120" s="266"/>
      <c r="V120" s="266"/>
      <c r="W120" s="266"/>
      <c r="X120" s="266"/>
      <c r="Y120" s="266"/>
      <c r="Z120" s="266"/>
      <c r="AA120" s="266"/>
      <c r="AB120" s="266"/>
      <c r="AC120" s="266"/>
    </row>
    <row r="121" spans="2:29" x14ac:dyDescent="0.25">
      <c r="B121" s="266"/>
      <c r="C121" s="266"/>
      <c r="D121" s="266"/>
      <c r="E121" s="266"/>
      <c r="F121" s="266"/>
      <c r="G121" s="266"/>
      <c r="H121" s="266"/>
      <c r="I121" s="266"/>
      <c r="J121" s="266"/>
      <c r="K121" s="266"/>
      <c r="L121" s="266"/>
      <c r="M121" s="266"/>
      <c r="N121" s="266"/>
      <c r="O121" s="266"/>
      <c r="P121" s="266"/>
      <c r="Q121" s="266"/>
      <c r="R121" s="266"/>
      <c r="S121" s="266"/>
      <c r="T121" s="266"/>
      <c r="U121" s="266"/>
      <c r="V121" s="266"/>
      <c r="W121" s="266"/>
      <c r="X121" s="266"/>
      <c r="Y121" s="266"/>
      <c r="Z121" s="266"/>
      <c r="AA121" s="266"/>
      <c r="AB121" s="266"/>
      <c r="AC121" s="266"/>
    </row>
    <row r="122" spans="2:29" x14ac:dyDescent="0.25">
      <c r="B122" s="266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266"/>
      <c r="N122" s="266"/>
      <c r="O122" s="266"/>
      <c r="P122" s="266"/>
      <c r="Q122" s="266"/>
      <c r="R122" s="266"/>
      <c r="S122" s="266"/>
      <c r="T122" s="266"/>
      <c r="U122" s="266"/>
      <c r="V122" s="266"/>
      <c r="W122" s="266"/>
      <c r="X122" s="266"/>
      <c r="Y122" s="266"/>
      <c r="Z122" s="266"/>
      <c r="AA122" s="266"/>
      <c r="AB122" s="266"/>
      <c r="AC122" s="266"/>
    </row>
    <row r="123" spans="2:29" x14ac:dyDescent="0.25">
      <c r="B123" s="266"/>
      <c r="C123" s="266"/>
      <c r="D123" s="266"/>
      <c r="E123" s="266"/>
      <c r="F123" s="266"/>
      <c r="G123" s="266"/>
      <c r="H123" s="266"/>
      <c r="I123" s="266"/>
      <c r="J123" s="266"/>
      <c r="K123" s="266"/>
      <c r="L123" s="266"/>
      <c r="M123" s="266"/>
      <c r="N123" s="266"/>
      <c r="O123" s="266"/>
      <c r="P123" s="266"/>
      <c r="Q123" s="266"/>
      <c r="R123" s="266"/>
      <c r="S123" s="266"/>
      <c r="T123" s="266"/>
      <c r="U123" s="266"/>
      <c r="V123" s="266"/>
      <c r="W123" s="266"/>
      <c r="X123" s="266"/>
      <c r="Y123" s="266"/>
      <c r="Z123" s="266"/>
      <c r="AA123" s="266"/>
      <c r="AB123" s="266"/>
      <c r="AC123" s="266"/>
    </row>
    <row r="124" spans="2:29" x14ac:dyDescent="0.25">
      <c r="B124" s="266"/>
      <c r="C124" s="266"/>
      <c r="D124" s="266"/>
      <c r="E124" s="266"/>
      <c r="F124" s="266"/>
      <c r="G124" s="266"/>
      <c r="H124" s="266"/>
      <c r="I124" s="266"/>
      <c r="J124" s="266"/>
      <c r="K124" s="266"/>
      <c r="L124" s="266"/>
      <c r="M124" s="266"/>
      <c r="N124" s="266"/>
      <c r="O124" s="266"/>
      <c r="P124" s="266"/>
      <c r="Q124" s="266"/>
      <c r="R124" s="266"/>
      <c r="S124" s="266"/>
      <c r="T124" s="266"/>
      <c r="U124" s="266"/>
      <c r="V124" s="266"/>
      <c r="W124" s="266"/>
      <c r="X124" s="266"/>
      <c r="Y124" s="266"/>
      <c r="Z124" s="266"/>
      <c r="AA124" s="266"/>
      <c r="AB124" s="266"/>
      <c r="AC124" s="266"/>
    </row>
    <row r="125" spans="2:29" x14ac:dyDescent="0.25">
      <c r="B125" s="266"/>
      <c r="C125" s="266"/>
      <c r="D125" s="266"/>
      <c r="E125" s="266"/>
      <c r="F125" s="266"/>
      <c r="G125" s="266"/>
      <c r="H125" s="266"/>
      <c r="I125" s="266"/>
      <c r="J125" s="266"/>
      <c r="K125" s="266"/>
      <c r="L125" s="266"/>
      <c r="M125" s="266"/>
      <c r="N125" s="266"/>
      <c r="O125" s="266"/>
      <c r="P125" s="266"/>
      <c r="Q125" s="266"/>
      <c r="R125" s="266"/>
      <c r="S125" s="266"/>
      <c r="T125" s="266"/>
      <c r="U125" s="266"/>
      <c r="V125" s="266"/>
      <c r="W125" s="266"/>
      <c r="X125" s="266"/>
      <c r="Y125" s="266"/>
      <c r="Z125" s="266"/>
      <c r="AA125" s="266"/>
      <c r="AB125" s="266"/>
      <c r="AC125" s="266"/>
    </row>
    <row r="126" spans="2:29" x14ac:dyDescent="0.25">
      <c r="B126" s="266"/>
      <c r="C126" s="266"/>
      <c r="D126" s="266"/>
      <c r="E126" s="266"/>
      <c r="F126" s="266"/>
      <c r="G126" s="266"/>
      <c r="H126" s="266"/>
      <c r="I126" s="266"/>
      <c r="J126" s="266"/>
      <c r="K126" s="266"/>
      <c r="L126" s="266"/>
      <c r="M126" s="266"/>
      <c r="N126" s="266"/>
      <c r="O126" s="266"/>
      <c r="P126" s="266"/>
      <c r="Q126" s="266"/>
      <c r="R126" s="266"/>
      <c r="S126" s="266"/>
      <c r="T126" s="266"/>
      <c r="U126" s="266"/>
      <c r="V126" s="266"/>
      <c r="W126" s="266"/>
      <c r="X126" s="266"/>
      <c r="Y126" s="266"/>
      <c r="Z126" s="266"/>
      <c r="AA126" s="266"/>
      <c r="AB126" s="266"/>
      <c r="AC126" s="266"/>
    </row>
    <row r="127" spans="2:29" x14ac:dyDescent="0.25">
      <c r="B127" s="266"/>
      <c r="C127" s="266"/>
      <c r="D127" s="266"/>
      <c r="E127" s="266"/>
      <c r="F127" s="266"/>
      <c r="G127" s="266"/>
      <c r="H127" s="266"/>
      <c r="I127" s="266"/>
      <c r="J127" s="266"/>
      <c r="K127" s="266"/>
      <c r="L127" s="266"/>
      <c r="M127" s="266"/>
      <c r="N127" s="266"/>
      <c r="O127" s="266"/>
      <c r="P127" s="266"/>
      <c r="Q127" s="266"/>
      <c r="R127" s="266"/>
      <c r="S127" s="266"/>
      <c r="T127" s="266"/>
      <c r="U127" s="266"/>
      <c r="V127" s="266"/>
      <c r="W127" s="266"/>
      <c r="X127" s="266"/>
      <c r="Y127" s="266"/>
      <c r="Z127" s="266"/>
      <c r="AA127" s="266"/>
      <c r="AB127" s="266"/>
      <c r="AC127" s="266"/>
    </row>
    <row r="128" spans="2:29" x14ac:dyDescent="0.25"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  <c r="W128" s="266"/>
      <c r="X128" s="266"/>
      <c r="Y128" s="266"/>
      <c r="Z128" s="266"/>
      <c r="AA128" s="266"/>
      <c r="AB128" s="266"/>
      <c r="AC128" s="266"/>
    </row>
    <row r="129" spans="2:29" x14ac:dyDescent="0.25">
      <c r="B129" s="266"/>
      <c r="C129" s="266"/>
      <c r="D129" s="266"/>
      <c r="E129" s="266"/>
      <c r="F129" s="266"/>
      <c r="G129" s="266"/>
      <c r="H129" s="266"/>
      <c r="I129" s="266"/>
      <c r="J129" s="266"/>
      <c r="K129" s="266"/>
      <c r="L129" s="266"/>
      <c r="M129" s="266"/>
      <c r="N129" s="266"/>
      <c r="O129" s="266"/>
      <c r="P129" s="266"/>
      <c r="Q129" s="266"/>
      <c r="R129" s="266"/>
      <c r="S129" s="266"/>
      <c r="T129" s="266"/>
      <c r="U129" s="266"/>
      <c r="V129" s="266"/>
      <c r="W129" s="266"/>
      <c r="X129" s="266"/>
      <c r="Y129" s="266"/>
      <c r="Z129" s="266"/>
      <c r="AA129" s="266"/>
      <c r="AB129" s="266"/>
      <c r="AC129" s="266"/>
    </row>
    <row r="130" spans="2:29" x14ac:dyDescent="0.25">
      <c r="B130" s="266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266"/>
      <c r="N130" s="266"/>
      <c r="O130" s="266"/>
      <c r="P130" s="266"/>
      <c r="Q130" s="266"/>
      <c r="R130" s="266"/>
      <c r="S130" s="266"/>
      <c r="T130" s="266"/>
      <c r="U130" s="266"/>
      <c r="V130" s="266"/>
      <c r="W130" s="266"/>
      <c r="X130" s="266"/>
      <c r="Y130" s="266"/>
      <c r="Z130" s="266"/>
      <c r="AA130" s="266"/>
      <c r="AB130" s="266"/>
      <c r="AC130" s="266"/>
    </row>
    <row r="131" spans="2:29" x14ac:dyDescent="0.25">
      <c r="B131" s="266"/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6"/>
      <c r="N131" s="266"/>
      <c r="O131" s="266"/>
      <c r="P131" s="266"/>
      <c r="Q131" s="266"/>
      <c r="R131" s="266"/>
      <c r="S131" s="266"/>
      <c r="T131" s="266"/>
      <c r="U131" s="266"/>
      <c r="V131" s="266"/>
      <c r="W131" s="266"/>
      <c r="X131" s="266"/>
      <c r="Y131" s="266"/>
      <c r="Z131" s="266"/>
      <c r="AA131" s="266"/>
      <c r="AB131" s="266"/>
      <c r="AC131" s="266"/>
    </row>
    <row r="132" spans="2:29" x14ac:dyDescent="0.25">
      <c r="B132" s="266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266"/>
      <c r="N132" s="266"/>
      <c r="O132" s="266"/>
      <c r="P132" s="266"/>
      <c r="Q132" s="266"/>
      <c r="R132" s="266"/>
      <c r="S132" s="266"/>
      <c r="T132" s="266"/>
      <c r="U132" s="266"/>
      <c r="V132" s="266"/>
      <c r="W132" s="266"/>
      <c r="X132" s="266"/>
      <c r="Y132" s="266"/>
      <c r="Z132" s="266"/>
      <c r="AA132" s="266"/>
      <c r="AB132" s="266"/>
      <c r="AC132" s="266"/>
    </row>
    <row r="133" spans="2:29" x14ac:dyDescent="0.25">
      <c r="B133" s="266"/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6"/>
      <c r="N133" s="266"/>
      <c r="O133" s="266"/>
      <c r="P133" s="266"/>
      <c r="Q133" s="266"/>
      <c r="R133" s="266"/>
      <c r="S133" s="266"/>
      <c r="T133" s="266"/>
      <c r="U133" s="266"/>
      <c r="V133" s="266"/>
      <c r="W133" s="266"/>
      <c r="X133" s="266"/>
      <c r="Y133" s="266"/>
      <c r="Z133" s="266"/>
      <c r="AA133" s="266"/>
      <c r="AB133" s="266"/>
      <c r="AC133" s="266"/>
    </row>
    <row r="134" spans="2:29" x14ac:dyDescent="0.25">
      <c r="B134" s="266"/>
      <c r="C134" s="266"/>
      <c r="D134" s="266"/>
      <c r="E134" s="266"/>
      <c r="F134" s="266"/>
      <c r="G134" s="266"/>
      <c r="H134" s="266"/>
      <c r="I134" s="266"/>
      <c r="J134" s="266"/>
      <c r="K134" s="266"/>
      <c r="L134" s="266"/>
      <c r="M134" s="266"/>
      <c r="N134" s="266"/>
      <c r="O134" s="266"/>
      <c r="P134" s="266"/>
      <c r="Q134" s="266"/>
      <c r="R134" s="266"/>
      <c r="S134" s="266"/>
      <c r="T134" s="266"/>
      <c r="U134" s="266"/>
      <c r="V134" s="266"/>
      <c r="W134" s="266"/>
      <c r="X134" s="266"/>
      <c r="Y134" s="266"/>
      <c r="Z134" s="266"/>
      <c r="AA134" s="266"/>
      <c r="AB134" s="266"/>
      <c r="AC134" s="266"/>
    </row>
    <row r="135" spans="2:29" x14ac:dyDescent="0.25">
      <c r="B135" s="266"/>
      <c r="C135" s="266"/>
      <c r="D135" s="266"/>
      <c r="E135" s="266"/>
      <c r="F135" s="266"/>
      <c r="G135" s="266"/>
      <c r="H135" s="266"/>
      <c r="I135" s="266"/>
      <c r="J135" s="266"/>
      <c r="K135" s="266"/>
      <c r="L135" s="266"/>
      <c r="M135" s="266"/>
      <c r="N135" s="266"/>
      <c r="O135" s="266"/>
      <c r="P135" s="266"/>
      <c r="Q135" s="266"/>
      <c r="R135" s="266"/>
      <c r="S135" s="266"/>
      <c r="T135" s="266"/>
      <c r="U135" s="266"/>
      <c r="V135" s="266"/>
      <c r="W135" s="266"/>
      <c r="X135" s="266"/>
      <c r="Y135" s="266"/>
      <c r="Z135" s="266"/>
      <c r="AA135" s="266"/>
      <c r="AB135" s="266"/>
      <c r="AC135" s="266"/>
    </row>
    <row r="136" spans="2:29" x14ac:dyDescent="0.25">
      <c r="B136" s="266"/>
      <c r="C136" s="266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</row>
    <row r="137" spans="2:29" x14ac:dyDescent="0.25">
      <c r="B137" s="266"/>
      <c r="C137" s="266"/>
      <c r="D137" s="266"/>
      <c r="E137" s="266"/>
      <c r="F137" s="266"/>
      <c r="G137" s="266"/>
      <c r="H137" s="266"/>
      <c r="I137" s="266"/>
      <c r="J137" s="266"/>
      <c r="K137" s="266"/>
      <c r="L137" s="266"/>
      <c r="M137" s="266"/>
      <c r="N137" s="266"/>
      <c r="O137" s="266"/>
      <c r="P137" s="266"/>
      <c r="Q137" s="266"/>
      <c r="R137" s="266"/>
      <c r="S137" s="266"/>
      <c r="T137" s="266"/>
      <c r="U137" s="266"/>
      <c r="V137" s="266"/>
      <c r="W137" s="266"/>
      <c r="X137" s="266"/>
      <c r="Y137" s="266"/>
      <c r="Z137" s="266"/>
      <c r="AA137" s="266"/>
      <c r="AB137" s="266"/>
      <c r="AC137" s="266"/>
    </row>
    <row r="138" spans="2:29" x14ac:dyDescent="0.25">
      <c r="B138" s="266"/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266"/>
      <c r="N138" s="266"/>
      <c r="O138" s="266"/>
      <c r="P138" s="266"/>
      <c r="Q138" s="266"/>
      <c r="R138" s="266"/>
      <c r="S138" s="266"/>
      <c r="T138" s="266"/>
      <c r="U138" s="266"/>
      <c r="V138" s="266"/>
      <c r="W138" s="266"/>
      <c r="X138" s="266"/>
      <c r="Y138" s="266"/>
      <c r="Z138" s="266"/>
      <c r="AA138" s="266"/>
      <c r="AB138" s="266"/>
      <c r="AC138" s="266"/>
    </row>
    <row r="139" spans="2:29" x14ac:dyDescent="0.25">
      <c r="B139" s="266"/>
      <c r="C139" s="266"/>
      <c r="D139" s="266"/>
      <c r="E139" s="266"/>
      <c r="F139" s="266"/>
      <c r="G139" s="266"/>
      <c r="H139" s="266"/>
      <c r="I139" s="266"/>
      <c r="J139" s="266"/>
      <c r="K139" s="266"/>
      <c r="L139" s="266"/>
      <c r="M139" s="266"/>
      <c r="N139" s="266"/>
      <c r="O139" s="266"/>
      <c r="P139" s="266"/>
      <c r="Q139" s="266"/>
      <c r="R139" s="266"/>
      <c r="S139" s="266"/>
      <c r="T139" s="266"/>
      <c r="U139" s="266"/>
      <c r="V139" s="266"/>
      <c r="W139" s="266"/>
      <c r="X139" s="266"/>
      <c r="Y139" s="266"/>
      <c r="Z139" s="266"/>
      <c r="AA139" s="266"/>
      <c r="AB139" s="266"/>
      <c r="AC139" s="266"/>
    </row>
    <row r="140" spans="2:29" x14ac:dyDescent="0.25">
      <c r="B140" s="266"/>
      <c r="C140" s="266"/>
      <c r="D140" s="266"/>
      <c r="E140" s="266"/>
      <c r="F140" s="266"/>
      <c r="G140" s="266"/>
      <c r="H140" s="266"/>
      <c r="I140" s="266"/>
      <c r="J140" s="266"/>
      <c r="K140" s="266"/>
      <c r="L140" s="266"/>
      <c r="M140" s="266"/>
      <c r="N140" s="266"/>
      <c r="O140" s="266"/>
      <c r="P140" s="266"/>
      <c r="Q140" s="266"/>
      <c r="R140" s="266"/>
      <c r="S140" s="266"/>
      <c r="T140" s="266"/>
      <c r="U140" s="266"/>
      <c r="V140" s="266"/>
      <c r="W140" s="266"/>
      <c r="X140" s="266"/>
      <c r="Y140" s="266"/>
      <c r="Z140" s="266"/>
      <c r="AA140" s="266"/>
      <c r="AB140" s="266"/>
      <c r="AC140" s="266"/>
    </row>
    <row r="141" spans="2:29" x14ac:dyDescent="0.25">
      <c r="B141" s="266"/>
      <c r="C141" s="266"/>
      <c r="D141" s="266"/>
      <c r="E141" s="266"/>
      <c r="F141" s="266"/>
      <c r="G141" s="266"/>
      <c r="H141" s="266"/>
      <c r="I141" s="266"/>
      <c r="J141" s="266"/>
      <c r="K141" s="266"/>
      <c r="L141" s="266"/>
      <c r="M141" s="266"/>
      <c r="N141" s="266"/>
      <c r="O141" s="266"/>
      <c r="P141" s="266"/>
      <c r="Q141" s="266"/>
      <c r="R141" s="266"/>
      <c r="S141" s="266"/>
      <c r="T141" s="266"/>
      <c r="U141" s="266"/>
      <c r="V141" s="266"/>
      <c r="W141" s="266"/>
      <c r="X141" s="266"/>
      <c r="Y141" s="266"/>
      <c r="Z141" s="266"/>
      <c r="AA141" s="266"/>
      <c r="AB141" s="266"/>
      <c r="AC141" s="266"/>
    </row>
    <row r="142" spans="2:29" x14ac:dyDescent="0.25">
      <c r="B142" s="266"/>
      <c r="C142" s="266"/>
      <c r="D142" s="266"/>
      <c r="E142" s="266"/>
      <c r="F142" s="266"/>
      <c r="G142" s="266"/>
      <c r="H142" s="266"/>
      <c r="I142" s="266"/>
      <c r="J142" s="266"/>
      <c r="K142" s="266"/>
      <c r="L142" s="266"/>
      <c r="M142" s="266"/>
      <c r="N142" s="266"/>
      <c r="O142" s="266"/>
      <c r="P142" s="266"/>
      <c r="Q142" s="266"/>
      <c r="R142" s="266"/>
      <c r="S142" s="266"/>
      <c r="T142" s="266"/>
      <c r="U142" s="266"/>
      <c r="V142" s="266"/>
      <c r="W142" s="266"/>
      <c r="X142" s="266"/>
      <c r="Y142" s="266"/>
      <c r="Z142" s="266"/>
      <c r="AA142" s="266"/>
      <c r="AB142" s="266"/>
      <c r="AC142" s="266"/>
    </row>
    <row r="143" spans="2:29" x14ac:dyDescent="0.25">
      <c r="B143" s="266"/>
      <c r="C143" s="266"/>
      <c r="D143" s="266"/>
      <c r="E143" s="266"/>
      <c r="F143" s="266"/>
      <c r="G143" s="266"/>
      <c r="H143" s="266"/>
      <c r="I143" s="266"/>
      <c r="J143" s="266"/>
      <c r="K143" s="266"/>
      <c r="L143" s="266"/>
      <c r="M143" s="266"/>
      <c r="N143" s="266"/>
      <c r="O143" s="266"/>
      <c r="P143" s="266"/>
      <c r="Q143" s="266"/>
      <c r="R143" s="266"/>
      <c r="S143" s="266"/>
      <c r="T143" s="266"/>
      <c r="U143" s="266"/>
      <c r="V143" s="266"/>
      <c r="W143" s="266"/>
      <c r="X143" s="266"/>
      <c r="Y143" s="266"/>
      <c r="Z143" s="266"/>
      <c r="AA143" s="266"/>
      <c r="AB143" s="266"/>
      <c r="AC143" s="266"/>
    </row>
    <row r="144" spans="2:29" x14ac:dyDescent="0.25">
      <c r="B144" s="266"/>
      <c r="C144" s="266"/>
      <c r="D144" s="266"/>
      <c r="E144" s="266"/>
      <c r="F144" s="266"/>
      <c r="G144" s="266"/>
      <c r="H144" s="266"/>
      <c r="I144" s="266"/>
      <c r="J144" s="266"/>
      <c r="K144" s="266"/>
      <c r="L144" s="266"/>
      <c r="M144" s="266"/>
      <c r="N144" s="266"/>
      <c r="O144" s="266"/>
      <c r="P144" s="266"/>
      <c r="Q144" s="266"/>
      <c r="R144" s="266"/>
      <c r="S144" s="266"/>
      <c r="T144" s="266"/>
      <c r="U144" s="266"/>
      <c r="V144" s="266"/>
      <c r="W144" s="266"/>
      <c r="X144" s="266"/>
      <c r="Y144" s="266"/>
      <c r="Z144" s="266"/>
      <c r="AA144" s="266"/>
      <c r="AB144" s="266"/>
      <c r="AC144" s="266"/>
    </row>
    <row r="145" spans="2:29" x14ac:dyDescent="0.25">
      <c r="B145" s="266"/>
      <c r="C145" s="266"/>
      <c r="D145" s="266"/>
      <c r="E145" s="266"/>
      <c r="F145" s="266"/>
      <c r="G145" s="266"/>
      <c r="H145" s="266"/>
      <c r="I145" s="266"/>
      <c r="J145" s="266"/>
      <c r="K145" s="266"/>
      <c r="L145" s="266"/>
      <c r="M145" s="266"/>
      <c r="N145" s="266"/>
      <c r="O145" s="266"/>
      <c r="P145" s="266"/>
      <c r="Q145" s="266"/>
      <c r="R145" s="266"/>
      <c r="S145" s="266"/>
      <c r="T145" s="266"/>
      <c r="U145" s="266"/>
      <c r="V145" s="266"/>
      <c r="W145" s="266"/>
      <c r="X145" s="266"/>
      <c r="Y145" s="266"/>
      <c r="Z145" s="266"/>
      <c r="AA145" s="266"/>
      <c r="AB145" s="266"/>
      <c r="AC145" s="266"/>
    </row>
    <row r="146" spans="2:29" x14ac:dyDescent="0.25">
      <c r="B146" s="266"/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266"/>
      <c r="N146" s="266"/>
      <c r="O146" s="266"/>
      <c r="P146" s="266"/>
      <c r="Q146" s="266"/>
      <c r="R146" s="266"/>
      <c r="S146" s="266"/>
      <c r="T146" s="266"/>
      <c r="U146" s="266"/>
      <c r="V146" s="266"/>
      <c r="W146" s="266"/>
      <c r="X146" s="266"/>
      <c r="Y146" s="266"/>
      <c r="Z146" s="266"/>
      <c r="AA146" s="266"/>
      <c r="AB146" s="266"/>
      <c r="AC146" s="266"/>
    </row>
    <row r="147" spans="2:29" x14ac:dyDescent="0.25">
      <c r="B147" s="266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266"/>
      <c r="N147" s="266"/>
      <c r="O147" s="266"/>
      <c r="P147" s="266"/>
      <c r="Q147" s="266"/>
      <c r="R147" s="266"/>
      <c r="S147" s="266"/>
      <c r="T147" s="266"/>
      <c r="U147" s="266"/>
      <c r="V147" s="266"/>
      <c r="W147" s="266"/>
      <c r="X147" s="266"/>
      <c r="Y147" s="266"/>
      <c r="Z147" s="266"/>
      <c r="AA147" s="266"/>
      <c r="AB147" s="266"/>
      <c r="AC147" s="266"/>
    </row>
    <row r="148" spans="2:29" x14ac:dyDescent="0.25">
      <c r="B148" s="266"/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266"/>
      <c r="N148" s="266"/>
      <c r="O148" s="266"/>
      <c r="P148" s="266"/>
      <c r="Q148" s="266"/>
      <c r="R148" s="266"/>
      <c r="S148" s="266"/>
      <c r="T148" s="266"/>
      <c r="U148" s="266"/>
      <c r="V148" s="266"/>
      <c r="W148" s="266"/>
      <c r="X148" s="266"/>
      <c r="Y148" s="266"/>
      <c r="Z148" s="266"/>
      <c r="AA148" s="266"/>
      <c r="AB148" s="266"/>
      <c r="AC148" s="266"/>
    </row>
    <row r="149" spans="2:29" x14ac:dyDescent="0.25">
      <c r="B149" s="266"/>
      <c r="C149" s="266"/>
      <c r="D149" s="266"/>
      <c r="E149" s="266"/>
      <c r="F149" s="266"/>
      <c r="G149" s="266"/>
      <c r="H149" s="266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/>
      <c r="T149" s="266"/>
      <c r="U149" s="266"/>
      <c r="V149" s="266"/>
      <c r="W149" s="266"/>
      <c r="X149" s="266"/>
      <c r="Y149" s="266"/>
      <c r="Z149" s="266"/>
      <c r="AA149" s="266"/>
      <c r="AB149" s="266"/>
      <c r="AC149" s="266"/>
    </row>
    <row r="150" spans="2:29" x14ac:dyDescent="0.25">
      <c r="B150" s="266"/>
      <c r="C150" s="266"/>
      <c r="D150" s="266"/>
      <c r="E150" s="266"/>
      <c r="F150" s="266"/>
      <c r="G150" s="266"/>
      <c r="H150" s="266"/>
      <c r="I150" s="266"/>
      <c r="J150" s="266"/>
      <c r="K150" s="266"/>
      <c r="L150" s="266"/>
      <c r="M150" s="266"/>
      <c r="N150" s="266"/>
      <c r="O150" s="266"/>
      <c r="P150" s="266"/>
      <c r="Q150" s="266"/>
      <c r="R150" s="266"/>
      <c r="S150" s="266"/>
      <c r="T150" s="266"/>
      <c r="U150" s="266"/>
      <c r="V150" s="266"/>
      <c r="W150" s="266"/>
      <c r="X150" s="266"/>
      <c r="Y150" s="266"/>
      <c r="Z150" s="266"/>
      <c r="AA150" s="266"/>
      <c r="AB150" s="266"/>
      <c r="AC150" s="266"/>
    </row>
    <row r="151" spans="2:29" x14ac:dyDescent="0.25">
      <c r="B151" s="266"/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266"/>
      <c r="N151" s="266"/>
      <c r="O151" s="266"/>
      <c r="P151" s="266"/>
      <c r="Q151" s="266"/>
      <c r="R151" s="266"/>
      <c r="S151" s="266"/>
      <c r="T151" s="266"/>
      <c r="U151" s="266"/>
      <c r="V151" s="266"/>
      <c r="W151" s="266"/>
      <c r="X151" s="266"/>
      <c r="Y151" s="266"/>
      <c r="Z151" s="266"/>
      <c r="AA151" s="266"/>
      <c r="AB151" s="266"/>
      <c r="AC151" s="266"/>
    </row>
    <row r="152" spans="2:29" x14ac:dyDescent="0.25">
      <c r="B152" s="266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266"/>
      <c r="N152" s="266"/>
      <c r="O152" s="266"/>
      <c r="P152" s="266"/>
      <c r="Q152" s="266"/>
      <c r="R152" s="266"/>
      <c r="S152" s="266"/>
      <c r="T152" s="266"/>
      <c r="U152" s="266"/>
      <c r="V152" s="266"/>
      <c r="W152" s="266"/>
      <c r="X152" s="266"/>
      <c r="Y152" s="266"/>
      <c r="Z152" s="266"/>
      <c r="AA152" s="266"/>
      <c r="AB152" s="266"/>
      <c r="AC152" s="266"/>
    </row>
    <row r="153" spans="2:29" x14ac:dyDescent="0.25">
      <c r="B153" s="266"/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266"/>
      <c r="N153" s="266"/>
      <c r="O153" s="266"/>
      <c r="P153" s="266"/>
      <c r="Q153" s="266"/>
      <c r="R153" s="266"/>
      <c r="S153" s="266"/>
      <c r="T153" s="266"/>
      <c r="U153" s="266"/>
      <c r="V153" s="266"/>
      <c r="W153" s="266"/>
      <c r="X153" s="266"/>
      <c r="Y153" s="266"/>
      <c r="Z153" s="266"/>
      <c r="AA153" s="266"/>
      <c r="AB153" s="266"/>
      <c r="AC153" s="266"/>
    </row>
    <row r="154" spans="2:29" x14ac:dyDescent="0.25">
      <c r="B154" s="266"/>
      <c r="C154" s="266"/>
      <c r="D154" s="266"/>
      <c r="E154" s="26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  <c r="AA154" s="266"/>
      <c r="AB154" s="266"/>
      <c r="AC154" s="266"/>
    </row>
    <row r="155" spans="2:29" x14ac:dyDescent="0.25">
      <c r="B155" s="266"/>
      <c r="C155" s="266"/>
      <c r="D155" s="266"/>
      <c r="E155" s="266"/>
      <c r="F155" s="266"/>
      <c r="G155" s="266"/>
      <c r="H155" s="266"/>
      <c r="I155" s="266"/>
      <c r="J155" s="266"/>
      <c r="K155" s="266"/>
      <c r="L155" s="266"/>
      <c r="M155" s="266"/>
      <c r="N155" s="266"/>
      <c r="O155" s="266"/>
      <c r="P155" s="266"/>
      <c r="Q155" s="266"/>
      <c r="R155" s="266"/>
      <c r="S155" s="266"/>
      <c r="T155" s="266"/>
      <c r="U155" s="266"/>
      <c r="V155" s="266"/>
      <c r="W155" s="266"/>
      <c r="X155" s="266"/>
      <c r="Y155" s="266"/>
      <c r="Z155" s="266"/>
      <c r="AA155" s="266"/>
      <c r="AB155" s="266"/>
      <c r="AC155" s="266"/>
    </row>
    <row r="156" spans="2:29" x14ac:dyDescent="0.25">
      <c r="B156" s="266"/>
      <c r="C156" s="266"/>
      <c r="D156" s="266"/>
      <c r="E156" s="266"/>
      <c r="F156" s="266"/>
      <c r="G156" s="266"/>
      <c r="H156" s="266"/>
      <c r="I156" s="266"/>
      <c r="J156" s="266"/>
      <c r="K156" s="266"/>
      <c r="L156" s="266"/>
      <c r="M156" s="266"/>
      <c r="N156" s="266"/>
      <c r="O156" s="266"/>
      <c r="P156" s="266"/>
      <c r="Q156" s="266"/>
      <c r="R156" s="266"/>
      <c r="S156" s="266"/>
      <c r="T156" s="266"/>
      <c r="U156" s="266"/>
      <c r="V156" s="266"/>
      <c r="W156" s="266"/>
      <c r="X156" s="266"/>
      <c r="Y156" s="266"/>
      <c r="Z156" s="266"/>
      <c r="AA156" s="266"/>
      <c r="AB156" s="266"/>
      <c r="AC156" s="266"/>
    </row>
    <row r="157" spans="2:29" x14ac:dyDescent="0.25">
      <c r="B157" s="266"/>
      <c r="C157" s="266"/>
      <c r="D157" s="266"/>
      <c r="E157" s="266"/>
      <c r="F157" s="266"/>
      <c r="G157" s="266"/>
      <c r="H157" s="266"/>
      <c r="I157" s="266"/>
      <c r="J157" s="266"/>
      <c r="K157" s="266"/>
      <c r="L157" s="266"/>
      <c r="M157" s="266"/>
      <c r="N157" s="266"/>
      <c r="O157" s="266"/>
      <c r="P157" s="266"/>
      <c r="Q157" s="266"/>
      <c r="R157" s="266"/>
      <c r="S157" s="266"/>
      <c r="T157" s="266"/>
      <c r="U157" s="266"/>
      <c r="V157" s="266"/>
      <c r="W157" s="266"/>
      <c r="X157" s="266"/>
      <c r="Y157" s="266"/>
      <c r="Z157" s="266"/>
      <c r="AA157" s="266"/>
      <c r="AB157" s="266"/>
      <c r="AC157" s="266"/>
    </row>
    <row r="158" spans="2:29" x14ac:dyDescent="0.25">
      <c r="B158" s="266"/>
      <c r="C158" s="266"/>
      <c r="D158" s="266"/>
      <c r="E158" s="266"/>
      <c r="F158" s="266"/>
      <c r="G158" s="266"/>
      <c r="H158" s="266"/>
      <c r="I158" s="266"/>
      <c r="J158" s="266"/>
      <c r="K158" s="266"/>
      <c r="L158" s="266"/>
      <c r="M158" s="266"/>
      <c r="N158" s="266"/>
      <c r="O158" s="266"/>
      <c r="P158" s="266"/>
      <c r="Q158" s="266"/>
      <c r="R158" s="266"/>
      <c r="S158" s="266"/>
      <c r="T158" s="266"/>
      <c r="U158" s="266"/>
      <c r="V158" s="266"/>
      <c r="W158" s="266"/>
      <c r="X158" s="266"/>
      <c r="Y158" s="266"/>
      <c r="Z158" s="266"/>
      <c r="AA158" s="266"/>
      <c r="AB158" s="266"/>
      <c r="AC158" s="266"/>
    </row>
    <row r="159" spans="2:29" x14ac:dyDescent="0.25"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66"/>
      <c r="N159" s="266"/>
      <c r="O159" s="266"/>
      <c r="P159" s="266"/>
      <c r="Q159" s="266"/>
      <c r="R159" s="266"/>
      <c r="S159" s="266"/>
      <c r="T159" s="266"/>
      <c r="U159" s="266"/>
      <c r="V159" s="266"/>
      <c r="W159" s="266"/>
      <c r="X159" s="266"/>
      <c r="Y159" s="266"/>
      <c r="Z159" s="266"/>
      <c r="AA159" s="266"/>
      <c r="AB159" s="266"/>
      <c r="AC159" s="266"/>
    </row>
    <row r="160" spans="2:29" x14ac:dyDescent="0.25">
      <c r="B160" s="266"/>
      <c r="C160" s="266"/>
      <c r="D160" s="266"/>
      <c r="E160" s="266"/>
      <c r="F160" s="266"/>
      <c r="G160" s="266"/>
      <c r="H160" s="266"/>
      <c r="I160" s="266"/>
      <c r="J160" s="266"/>
      <c r="K160" s="266"/>
      <c r="L160" s="266"/>
      <c r="M160" s="266"/>
      <c r="N160" s="266"/>
      <c r="O160" s="266"/>
      <c r="P160" s="266"/>
      <c r="Q160" s="266"/>
      <c r="R160" s="266"/>
      <c r="S160" s="266"/>
      <c r="T160" s="266"/>
      <c r="U160" s="266"/>
      <c r="V160" s="266"/>
      <c r="W160" s="266"/>
      <c r="X160" s="266"/>
      <c r="Y160" s="266"/>
      <c r="Z160" s="266"/>
      <c r="AA160" s="266"/>
      <c r="AB160" s="266"/>
      <c r="AC160" s="266"/>
    </row>
    <row r="161" spans="2:29" x14ac:dyDescent="0.25">
      <c r="B161" s="266"/>
      <c r="C161" s="266"/>
      <c r="D161" s="266"/>
      <c r="E161" s="266"/>
      <c r="F161" s="266"/>
      <c r="G161" s="266"/>
      <c r="H161" s="266"/>
      <c r="I161" s="266"/>
      <c r="J161" s="266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  <c r="X161" s="266"/>
      <c r="Y161" s="266"/>
      <c r="Z161" s="266"/>
      <c r="AA161" s="266"/>
      <c r="AB161" s="266"/>
      <c r="AC161" s="266"/>
    </row>
    <row r="162" spans="2:29" x14ac:dyDescent="0.25">
      <c r="B162" s="266"/>
      <c r="C162" s="266"/>
      <c r="D162" s="266"/>
      <c r="E162" s="266"/>
      <c r="F162" s="266"/>
      <c r="G162" s="266"/>
      <c r="H162" s="266"/>
      <c r="I162" s="266"/>
      <c r="J162" s="266"/>
      <c r="K162" s="266"/>
      <c r="L162" s="266"/>
      <c r="M162" s="266"/>
      <c r="N162" s="266"/>
      <c r="O162" s="266"/>
      <c r="P162" s="266"/>
      <c r="Q162" s="266"/>
      <c r="R162" s="266"/>
      <c r="S162" s="266"/>
      <c r="T162" s="266"/>
      <c r="U162" s="266"/>
      <c r="V162" s="266"/>
      <c r="W162" s="266"/>
      <c r="X162" s="266"/>
      <c r="Y162" s="266"/>
      <c r="Z162" s="266"/>
      <c r="AA162" s="266"/>
      <c r="AB162" s="266"/>
      <c r="AC162" s="266"/>
    </row>
    <row r="163" spans="2:29" x14ac:dyDescent="0.25">
      <c r="B163" s="266"/>
      <c r="C163" s="266"/>
      <c r="D163" s="266"/>
      <c r="E163" s="266"/>
      <c r="F163" s="266"/>
      <c r="G163" s="266"/>
      <c r="H163" s="266"/>
      <c r="I163" s="266"/>
      <c r="J163" s="266"/>
      <c r="K163" s="266"/>
      <c r="L163" s="266"/>
      <c r="M163" s="266"/>
      <c r="N163" s="266"/>
      <c r="O163" s="266"/>
      <c r="P163" s="266"/>
      <c r="Q163" s="266"/>
      <c r="R163" s="266"/>
      <c r="S163" s="266"/>
      <c r="T163" s="266"/>
      <c r="U163" s="266"/>
      <c r="V163" s="266"/>
      <c r="W163" s="266"/>
      <c r="X163" s="266"/>
      <c r="Y163" s="266"/>
      <c r="Z163" s="266"/>
      <c r="AA163" s="266"/>
      <c r="AB163" s="266"/>
      <c r="AC163" s="266"/>
    </row>
    <row r="164" spans="2:29" x14ac:dyDescent="0.25">
      <c r="B164" s="266"/>
      <c r="C164" s="266"/>
      <c r="D164" s="266"/>
      <c r="E164" s="266"/>
      <c r="F164" s="266"/>
      <c r="G164" s="266"/>
      <c r="H164" s="266"/>
      <c r="I164" s="266"/>
      <c r="J164" s="266"/>
      <c r="K164" s="266"/>
      <c r="L164" s="266"/>
      <c r="M164" s="266"/>
      <c r="N164" s="266"/>
      <c r="O164" s="266"/>
      <c r="P164" s="266"/>
      <c r="Q164" s="266"/>
      <c r="R164" s="266"/>
      <c r="S164" s="266"/>
      <c r="T164" s="266"/>
      <c r="U164" s="266"/>
      <c r="V164" s="266"/>
      <c r="W164" s="266"/>
      <c r="X164" s="266"/>
      <c r="Y164" s="266"/>
      <c r="Z164" s="266"/>
      <c r="AA164" s="266"/>
      <c r="AB164" s="266"/>
      <c r="AC164" s="266"/>
    </row>
    <row r="165" spans="2:29" x14ac:dyDescent="0.25">
      <c r="B165" s="266"/>
      <c r="C165" s="266"/>
      <c r="D165" s="266"/>
      <c r="E165" s="266"/>
      <c r="F165" s="266"/>
      <c r="G165" s="266"/>
      <c r="H165" s="266"/>
      <c r="I165" s="266"/>
      <c r="J165" s="266"/>
      <c r="K165" s="266"/>
      <c r="L165" s="266"/>
      <c r="M165" s="266"/>
      <c r="N165" s="266"/>
      <c r="O165" s="266"/>
      <c r="P165" s="266"/>
      <c r="Q165" s="266"/>
      <c r="R165" s="266"/>
      <c r="S165" s="266"/>
      <c r="T165" s="266"/>
      <c r="U165" s="266"/>
      <c r="V165" s="266"/>
      <c r="W165" s="266"/>
      <c r="X165" s="266"/>
      <c r="Y165" s="266"/>
      <c r="Z165" s="266"/>
      <c r="AA165" s="266"/>
      <c r="AB165" s="266"/>
      <c r="AC165" s="266"/>
    </row>
    <row r="166" spans="2:29" x14ac:dyDescent="0.25">
      <c r="B166" s="266"/>
      <c r="C166" s="266"/>
      <c r="D166" s="266"/>
      <c r="E166" s="266"/>
      <c r="F166" s="266"/>
      <c r="G166" s="266"/>
      <c r="H166" s="266"/>
      <c r="I166" s="266"/>
      <c r="J166" s="266"/>
      <c r="K166" s="266"/>
      <c r="L166" s="266"/>
      <c r="M166" s="266"/>
      <c r="N166" s="266"/>
      <c r="O166" s="266"/>
      <c r="P166" s="266"/>
      <c r="Q166" s="266"/>
      <c r="R166" s="266"/>
      <c r="S166" s="266"/>
      <c r="T166" s="266"/>
      <c r="U166" s="266"/>
      <c r="V166" s="266"/>
      <c r="W166" s="266"/>
      <c r="X166" s="266"/>
      <c r="Y166" s="266"/>
      <c r="Z166" s="266"/>
      <c r="AA166" s="266"/>
      <c r="AB166" s="266"/>
      <c r="AC166" s="266"/>
    </row>
    <row r="167" spans="2:29" x14ac:dyDescent="0.25">
      <c r="B167" s="266"/>
      <c r="C167" s="266"/>
      <c r="D167" s="266"/>
      <c r="E167" s="266"/>
      <c r="F167" s="266"/>
      <c r="G167" s="266"/>
      <c r="H167" s="266"/>
      <c r="I167" s="266"/>
      <c r="J167" s="266"/>
      <c r="K167" s="266"/>
      <c r="L167" s="266"/>
      <c r="M167" s="266"/>
      <c r="N167" s="266"/>
      <c r="O167" s="266"/>
      <c r="P167" s="266"/>
      <c r="Q167" s="266"/>
      <c r="R167" s="266"/>
      <c r="S167" s="266"/>
      <c r="T167" s="266"/>
      <c r="U167" s="266"/>
      <c r="V167" s="266"/>
      <c r="W167" s="266"/>
      <c r="X167" s="266"/>
      <c r="Y167" s="266"/>
      <c r="Z167" s="266"/>
      <c r="AA167" s="266"/>
      <c r="AB167" s="266"/>
      <c r="AC167" s="266"/>
    </row>
    <row r="168" spans="2:29" x14ac:dyDescent="0.25">
      <c r="B168" s="266"/>
      <c r="C168" s="266"/>
      <c r="D168" s="266"/>
      <c r="E168" s="266"/>
      <c r="F168" s="266"/>
      <c r="G168" s="266"/>
      <c r="H168" s="266"/>
      <c r="I168" s="266"/>
      <c r="J168" s="266"/>
      <c r="K168" s="266"/>
      <c r="L168" s="266"/>
      <c r="M168" s="266"/>
      <c r="N168" s="266"/>
      <c r="O168" s="266"/>
      <c r="P168" s="266"/>
      <c r="Q168" s="266"/>
      <c r="R168" s="266"/>
      <c r="S168" s="266"/>
      <c r="T168" s="266"/>
      <c r="U168" s="266"/>
      <c r="V168" s="266"/>
      <c r="W168" s="266"/>
      <c r="X168" s="266"/>
      <c r="Y168" s="266"/>
      <c r="Z168" s="266"/>
      <c r="AA168" s="266"/>
      <c r="AB168" s="266"/>
      <c r="AC168" s="266"/>
    </row>
    <row r="169" spans="2:29" x14ac:dyDescent="0.25">
      <c r="B169" s="266"/>
      <c r="C169" s="266"/>
      <c r="D169" s="266"/>
      <c r="E169" s="266"/>
      <c r="F169" s="266"/>
      <c r="G169" s="266"/>
      <c r="H169" s="266"/>
      <c r="I169" s="266"/>
      <c r="J169" s="266"/>
      <c r="K169" s="266"/>
      <c r="L169" s="266"/>
      <c r="M169" s="266"/>
      <c r="N169" s="266"/>
      <c r="O169" s="266"/>
      <c r="P169" s="266"/>
      <c r="Q169" s="266"/>
      <c r="R169" s="266"/>
      <c r="S169" s="266"/>
      <c r="T169" s="266"/>
      <c r="U169" s="266"/>
      <c r="V169" s="266"/>
      <c r="W169" s="266"/>
      <c r="X169" s="266"/>
      <c r="Y169" s="266"/>
      <c r="Z169" s="266"/>
      <c r="AA169" s="266"/>
      <c r="AB169" s="266"/>
      <c r="AC169" s="266"/>
    </row>
    <row r="170" spans="2:29" x14ac:dyDescent="0.25">
      <c r="B170" s="266"/>
      <c r="C170" s="266"/>
      <c r="D170" s="266"/>
      <c r="E170" s="266"/>
      <c r="F170" s="266"/>
      <c r="G170" s="266"/>
      <c r="H170" s="266"/>
      <c r="I170" s="266"/>
      <c r="J170" s="266"/>
      <c r="K170" s="266"/>
      <c r="L170" s="266"/>
      <c r="M170" s="266"/>
      <c r="N170" s="266"/>
      <c r="O170" s="266"/>
      <c r="P170" s="266"/>
      <c r="Q170" s="266"/>
      <c r="R170" s="266"/>
      <c r="S170" s="266"/>
      <c r="T170" s="266"/>
      <c r="U170" s="266"/>
      <c r="V170" s="266"/>
      <c r="W170" s="266"/>
      <c r="X170" s="266"/>
      <c r="Y170" s="266"/>
      <c r="Z170" s="266"/>
      <c r="AA170" s="266"/>
      <c r="AB170" s="266"/>
      <c r="AC170" s="266"/>
    </row>
    <row r="171" spans="2:29" x14ac:dyDescent="0.25">
      <c r="B171" s="266"/>
      <c r="C171" s="266"/>
      <c r="D171" s="266"/>
      <c r="E171" s="266"/>
      <c r="F171" s="266"/>
      <c r="G171" s="266"/>
      <c r="H171" s="266"/>
      <c r="I171" s="266"/>
      <c r="J171" s="266"/>
      <c r="K171" s="266"/>
      <c r="L171" s="266"/>
      <c r="M171" s="266"/>
      <c r="N171" s="266"/>
      <c r="O171" s="266"/>
      <c r="P171" s="266"/>
      <c r="Q171" s="266"/>
      <c r="R171" s="266"/>
      <c r="S171" s="266"/>
      <c r="T171" s="266"/>
      <c r="U171" s="266"/>
      <c r="V171" s="266"/>
      <c r="W171" s="266"/>
      <c r="X171" s="266"/>
      <c r="Y171" s="266"/>
      <c r="Z171" s="266"/>
      <c r="AA171" s="266"/>
      <c r="AB171" s="266"/>
      <c r="AC171" s="266"/>
    </row>
    <row r="172" spans="2:29" x14ac:dyDescent="0.25">
      <c r="B172" s="266"/>
      <c r="C172" s="266"/>
      <c r="D172" s="266"/>
      <c r="E172" s="266"/>
      <c r="F172" s="266"/>
      <c r="G172" s="266"/>
      <c r="H172" s="266"/>
      <c r="I172" s="266"/>
      <c r="J172" s="266"/>
      <c r="K172" s="266"/>
      <c r="L172" s="266"/>
      <c r="M172" s="266"/>
      <c r="N172" s="266"/>
      <c r="O172" s="266"/>
      <c r="P172" s="266"/>
      <c r="Q172" s="266"/>
      <c r="R172" s="266"/>
      <c r="S172" s="266"/>
      <c r="T172" s="266"/>
      <c r="U172" s="266"/>
      <c r="V172" s="266"/>
      <c r="W172" s="266"/>
      <c r="X172" s="266"/>
      <c r="Y172" s="266"/>
      <c r="Z172" s="266"/>
      <c r="AA172" s="266"/>
      <c r="AB172" s="266"/>
      <c r="AC172" s="266"/>
    </row>
    <row r="173" spans="2:29" x14ac:dyDescent="0.25">
      <c r="B173" s="266"/>
      <c r="C173" s="266"/>
      <c r="D173" s="266"/>
      <c r="E173" s="266"/>
      <c r="F173" s="266"/>
      <c r="G173" s="266"/>
      <c r="H173" s="266"/>
      <c r="I173" s="266"/>
      <c r="J173" s="266"/>
      <c r="K173" s="266"/>
      <c r="L173" s="266"/>
      <c r="M173" s="266"/>
      <c r="N173" s="266"/>
      <c r="O173" s="266"/>
      <c r="P173" s="266"/>
      <c r="Q173" s="266"/>
      <c r="R173" s="266"/>
      <c r="S173" s="266"/>
      <c r="T173" s="266"/>
      <c r="U173" s="266"/>
      <c r="V173" s="266"/>
      <c r="W173" s="266"/>
      <c r="X173" s="266"/>
      <c r="Y173" s="266"/>
      <c r="Z173" s="266"/>
      <c r="AA173" s="266"/>
      <c r="AB173" s="266"/>
      <c r="AC173" s="266"/>
    </row>
    <row r="174" spans="2:29" x14ac:dyDescent="0.25">
      <c r="B174" s="266"/>
      <c r="C174" s="266"/>
      <c r="D174" s="266"/>
      <c r="E174" s="266"/>
      <c r="F174" s="266"/>
      <c r="G174" s="266"/>
      <c r="H174" s="266"/>
      <c r="I174" s="266"/>
      <c r="J174" s="266"/>
      <c r="K174" s="266"/>
      <c r="L174" s="266"/>
      <c r="M174" s="266"/>
      <c r="N174" s="266"/>
      <c r="O174" s="266"/>
      <c r="P174" s="266"/>
      <c r="Q174" s="266"/>
      <c r="R174" s="266"/>
      <c r="S174" s="266"/>
      <c r="T174" s="266"/>
      <c r="U174" s="266"/>
      <c r="V174" s="266"/>
      <c r="W174" s="266"/>
      <c r="X174" s="266"/>
      <c r="Y174" s="266"/>
      <c r="Z174" s="266"/>
      <c r="AA174" s="266"/>
      <c r="AB174" s="266"/>
      <c r="AC174" s="266"/>
    </row>
    <row r="175" spans="2:29" x14ac:dyDescent="0.25">
      <c r="B175" s="266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6"/>
      <c r="O175" s="266"/>
      <c r="P175" s="266"/>
      <c r="Q175" s="266"/>
      <c r="R175" s="266"/>
      <c r="S175" s="266"/>
      <c r="T175" s="266"/>
      <c r="U175" s="266"/>
      <c r="V175" s="266"/>
      <c r="W175" s="266"/>
      <c r="X175" s="266"/>
      <c r="Y175" s="266"/>
      <c r="Z175" s="266"/>
      <c r="AA175" s="266"/>
      <c r="AB175" s="266"/>
      <c r="AC175" s="266"/>
    </row>
    <row r="176" spans="2:29" x14ac:dyDescent="0.25">
      <c r="B176" s="266"/>
      <c r="C176" s="266"/>
      <c r="D176" s="266"/>
      <c r="E176" s="266"/>
      <c r="F176" s="266"/>
      <c r="G176" s="266"/>
      <c r="H176" s="266"/>
      <c r="I176" s="266"/>
      <c r="J176" s="266"/>
      <c r="K176" s="266"/>
      <c r="L176" s="266"/>
      <c r="M176" s="266"/>
      <c r="N176" s="266"/>
      <c r="O176" s="266"/>
      <c r="P176" s="266"/>
      <c r="Q176" s="266"/>
      <c r="R176" s="266"/>
      <c r="S176" s="266"/>
      <c r="T176" s="266"/>
      <c r="U176" s="266"/>
      <c r="V176" s="266"/>
      <c r="W176" s="266"/>
      <c r="X176" s="266"/>
      <c r="Y176" s="266"/>
      <c r="Z176" s="266"/>
      <c r="AA176" s="266"/>
      <c r="AB176" s="266"/>
      <c r="AC176" s="266"/>
    </row>
    <row r="177" spans="2:29" x14ac:dyDescent="0.25">
      <c r="B177" s="266"/>
      <c r="C177" s="266"/>
      <c r="D177" s="266"/>
      <c r="E177" s="266"/>
      <c r="F177" s="266"/>
      <c r="G177" s="266"/>
      <c r="H177" s="266"/>
      <c r="I177" s="266"/>
      <c r="J177" s="266"/>
      <c r="K177" s="266"/>
      <c r="L177" s="266"/>
      <c r="M177" s="266"/>
      <c r="N177" s="266"/>
      <c r="O177" s="266"/>
      <c r="P177" s="266"/>
      <c r="Q177" s="266"/>
      <c r="R177" s="266"/>
      <c r="S177" s="266"/>
      <c r="T177" s="266"/>
      <c r="U177" s="266"/>
      <c r="V177" s="266"/>
      <c r="W177" s="266"/>
      <c r="X177" s="266"/>
      <c r="Y177" s="266"/>
      <c r="Z177" s="266"/>
      <c r="AA177" s="266"/>
      <c r="AB177" s="266"/>
      <c r="AC177" s="266"/>
    </row>
    <row r="178" spans="2:29" x14ac:dyDescent="0.25">
      <c r="B178" s="266"/>
      <c r="C178" s="266"/>
      <c r="D178" s="266"/>
      <c r="E178" s="266"/>
      <c r="F178" s="266"/>
      <c r="G178" s="266"/>
      <c r="H178" s="266"/>
      <c r="I178" s="266"/>
      <c r="J178" s="266"/>
      <c r="K178" s="266"/>
      <c r="L178" s="266"/>
      <c r="M178" s="266"/>
      <c r="N178" s="266"/>
      <c r="O178" s="266"/>
      <c r="P178" s="266"/>
      <c r="Q178" s="266"/>
      <c r="R178" s="266"/>
      <c r="S178" s="266"/>
      <c r="T178" s="266"/>
      <c r="U178" s="266"/>
      <c r="V178" s="266"/>
      <c r="W178" s="266"/>
      <c r="X178" s="266"/>
      <c r="Y178" s="266"/>
      <c r="Z178" s="266"/>
      <c r="AA178" s="266"/>
      <c r="AB178" s="266"/>
      <c r="AC178" s="266"/>
    </row>
    <row r="179" spans="2:29" x14ac:dyDescent="0.25">
      <c r="B179" s="266"/>
      <c r="C179" s="266"/>
      <c r="D179" s="266"/>
      <c r="E179" s="266"/>
      <c r="F179" s="266"/>
      <c r="G179" s="266"/>
      <c r="H179" s="266"/>
      <c r="I179" s="266"/>
      <c r="J179" s="266"/>
      <c r="K179" s="266"/>
      <c r="L179" s="266"/>
      <c r="M179" s="266"/>
      <c r="N179" s="266"/>
      <c r="O179" s="266"/>
      <c r="P179" s="266"/>
      <c r="Q179" s="266"/>
      <c r="R179" s="266"/>
      <c r="S179" s="266"/>
      <c r="T179" s="266"/>
      <c r="U179" s="266"/>
      <c r="V179" s="266"/>
      <c r="W179" s="266"/>
      <c r="X179" s="266"/>
      <c r="Y179" s="266"/>
      <c r="Z179" s="266"/>
      <c r="AA179" s="266"/>
      <c r="AB179" s="266"/>
      <c r="AC179" s="266"/>
    </row>
    <row r="180" spans="2:29" x14ac:dyDescent="0.25">
      <c r="B180" s="266"/>
      <c r="C180" s="266"/>
      <c r="D180" s="266"/>
      <c r="E180" s="266"/>
      <c r="F180" s="266"/>
      <c r="G180" s="266"/>
      <c r="H180" s="266"/>
      <c r="I180" s="266"/>
      <c r="J180" s="266"/>
      <c r="K180" s="266"/>
      <c r="L180" s="266"/>
      <c r="M180" s="266"/>
      <c r="N180" s="266"/>
      <c r="O180" s="266"/>
      <c r="P180" s="266"/>
      <c r="Q180" s="266"/>
      <c r="R180" s="266"/>
      <c r="S180" s="266"/>
      <c r="T180" s="266"/>
      <c r="U180" s="266"/>
      <c r="V180" s="266"/>
      <c r="W180" s="266"/>
      <c r="X180" s="266"/>
      <c r="Y180" s="266"/>
      <c r="Z180" s="266"/>
      <c r="AA180" s="266"/>
      <c r="AB180" s="266"/>
      <c r="AC180" s="266"/>
    </row>
    <row r="181" spans="2:29" x14ac:dyDescent="0.25">
      <c r="B181" s="266"/>
      <c r="C181" s="266"/>
      <c r="D181" s="266"/>
      <c r="E181" s="266"/>
      <c r="F181" s="266"/>
      <c r="G181" s="266"/>
      <c r="H181" s="266"/>
      <c r="I181" s="266"/>
      <c r="J181" s="266"/>
      <c r="K181" s="266"/>
      <c r="L181" s="266"/>
      <c r="M181" s="266"/>
      <c r="N181" s="266"/>
      <c r="O181" s="266"/>
      <c r="P181" s="266"/>
      <c r="Q181" s="266"/>
      <c r="R181" s="266"/>
      <c r="S181" s="266"/>
      <c r="T181" s="266"/>
      <c r="U181" s="266"/>
      <c r="V181" s="266"/>
      <c r="W181" s="266"/>
      <c r="X181" s="266"/>
      <c r="Y181" s="266"/>
      <c r="Z181" s="266"/>
      <c r="AA181" s="266"/>
      <c r="AB181" s="266"/>
      <c r="AC181" s="266"/>
    </row>
    <row r="182" spans="2:29" x14ac:dyDescent="0.25">
      <c r="B182" s="266"/>
      <c r="C182" s="266"/>
      <c r="D182" s="266"/>
      <c r="E182" s="266"/>
      <c r="F182" s="266"/>
      <c r="G182" s="266"/>
      <c r="H182" s="266"/>
      <c r="I182" s="266"/>
      <c r="J182" s="266"/>
      <c r="K182" s="266"/>
      <c r="L182" s="266"/>
      <c r="M182" s="266"/>
      <c r="N182" s="266"/>
      <c r="O182" s="266"/>
      <c r="P182" s="266"/>
      <c r="Q182" s="266"/>
      <c r="R182" s="266"/>
      <c r="S182" s="266"/>
      <c r="T182" s="266"/>
      <c r="U182" s="266"/>
      <c r="V182" s="266"/>
      <c r="W182" s="266"/>
      <c r="X182" s="266"/>
      <c r="Y182" s="266"/>
      <c r="Z182" s="266"/>
      <c r="AA182" s="266"/>
      <c r="AB182" s="266"/>
      <c r="AC182" s="266"/>
    </row>
    <row r="183" spans="2:29" x14ac:dyDescent="0.25">
      <c r="B183" s="266"/>
      <c r="C183" s="266"/>
      <c r="D183" s="266"/>
      <c r="E183" s="266"/>
      <c r="F183" s="266"/>
      <c r="G183" s="266"/>
      <c r="H183" s="266"/>
      <c r="I183" s="266"/>
      <c r="J183" s="266"/>
      <c r="K183" s="266"/>
      <c r="L183" s="266"/>
      <c r="M183" s="266"/>
      <c r="N183" s="266"/>
      <c r="O183" s="266"/>
      <c r="P183" s="266"/>
      <c r="Q183" s="266"/>
      <c r="R183" s="266"/>
      <c r="S183" s="266"/>
      <c r="T183" s="266"/>
      <c r="U183" s="266"/>
      <c r="V183" s="266"/>
      <c r="W183" s="266"/>
      <c r="X183" s="266"/>
      <c r="Y183" s="266"/>
      <c r="Z183" s="266"/>
      <c r="AA183" s="266"/>
      <c r="AB183" s="266"/>
      <c r="AC183" s="266"/>
    </row>
    <row r="184" spans="2:29" x14ac:dyDescent="0.25">
      <c r="B184" s="266"/>
      <c r="C184" s="266"/>
      <c r="D184" s="266"/>
      <c r="E184" s="266"/>
      <c r="F184" s="266"/>
      <c r="G184" s="266"/>
      <c r="H184" s="266"/>
      <c r="I184" s="266"/>
      <c r="J184" s="266"/>
      <c r="K184" s="266"/>
      <c r="L184" s="266"/>
      <c r="M184" s="266"/>
      <c r="N184" s="266"/>
      <c r="O184" s="266"/>
      <c r="P184" s="266"/>
      <c r="Q184" s="266"/>
      <c r="R184" s="266"/>
      <c r="S184" s="266"/>
      <c r="T184" s="266"/>
      <c r="U184" s="266"/>
      <c r="V184" s="266"/>
      <c r="W184" s="266"/>
      <c r="X184" s="266"/>
      <c r="Y184" s="266"/>
      <c r="Z184" s="266"/>
      <c r="AA184" s="266"/>
      <c r="AB184" s="266"/>
      <c r="AC184" s="266"/>
    </row>
    <row r="185" spans="2:29" x14ac:dyDescent="0.25"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6"/>
      <c r="S185" s="266"/>
      <c r="T185" s="266"/>
      <c r="U185" s="266"/>
      <c r="V185" s="266"/>
      <c r="W185" s="266"/>
      <c r="X185" s="266"/>
      <c r="Y185" s="266"/>
      <c r="Z185" s="266"/>
      <c r="AA185" s="266"/>
      <c r="AB185" s="266"/>
      <c r="AC185" s="266"/>
    </row>
    <row r="186" spans="2:29" x14ac:dyDescent="0.25">
      <c r="B186" s="266"/>
      <c r="C186" s="266"/>
      <c r="D186" s="266"/>
      <c r="E186" s="266"/>
      <c r="F186" s="266"/>
      <c r="G186" s="266"/>
      <c r="H186" s="266"/>
      <c r="I186" s="266"/>
      <c r="J186" s="266"/>
      <c r="K186" s="266"/>
      <c r="L186" s="266"/>
      <c r="M186" s="266"/>
      <c r="N186" s="266"/>
      <c r="O186" s="266"/>
      <c r="P186" s="266"/>
      <c r="Q186" s="266"/>
      <c r="R186" s="266"/>
      <c r="S186" s="266"/>
      <c r="T186" s="266"/>
      <c r="U186" s="266"/>
      <c r="V186" s="266"/>
      <c r="W186" s="266"/>
      <c r="X186" s="266"/>
      <c r="Y186" s="266"/>
      <c r="Z186" s="266"/>
      <c r="AA186" s="266"/>
      <c r="AB186" s="266"/>
      <c r="AC186" s="266"/>
    </row>
    <row r="187" spans="2:29" x14ac:dyDescent="0.25">
      <c r="B187" s="266"/>
      <c r="C187" s="266"/>
      <c r="D187" s="266"/>
      <c r="E187" s="266"/>
      <c r="F187" s="266"/>
      <c r="G187" s="266"/>
      <c r="H187" s="266"/>
      <c r="I187" s="266"/>
      <c r="J187" s="266"/>
      <c r="K187" s="266"/>
      <c r="L187" s="266"/>
      <c r="M187" s="266"/>
      <c r="N187" s="266"/>
      <c r="O187" s="266"/>
      <c r="P187" s="266"/>
      <c r="Q187" s="266"/>
      <c r="R187" s="266"/>
      <c r="S187" s="266"/>
      <c r="T187" s="266"/>
      <c r="U187" s="266"/>
      <c r="V187" s="266"/>
      <c r="W187" s="266"/>
      <c r="X187" s="266"/>
      <c r="Y187" s="266"/>
      <c r="Z187" s="266"/>
      <c r="AA187" s="266"/>
      <c r="AB187" s="266"/>
      <c r="AC187" s="266"/>
    </row>
    <row r="188" spans="2:29" x14ac:dyDescent="0.25">
      <c r="B188" s="266"/>
      <c r="C188" s="266"/>
      <c r="D188" s="266"/>
      <c r="E188" s="266"/>
      <c r="F188" s="266"/>
      <c r="G188" s="266"/>
      <c r="H188" s="266"/>
      <c r="I188" s="266"/>
      <c r="J188" s="266"/>
      <c r="K188" s="266"/>
      <c r="L188" s="266"/>
      <c r="M188" s="266"/>
      <c r="N188" s="266"/>
      <c r="O188" s="266"/>
      <c r="P188" s="266"/>
      <c r="Q188" s="266"/>
      <c r="R188" s="266"/>
      <c r="S188" s="266"/>
      <c r="T188" s="266"/>
      <c r="U188" s="266"/>
      <c r="V188" s="266"/>
      <c r="W188" s="266"/>
      <c r="X188" s="266"/>
      <c r="Y188" s="266"/>
      <c r="Z188" s="266"/>
      <c r="AA188" s="266"/>
      <c r="AB188" s="266"/>
      <c r="AC188" s="266"/>
    </row>
    <row r="189" spans="2:29" x14ac:dyDescent="0.25">
      <c r="B189" s="266"/>
      <c r="C189" s="266"/>
      <c r="D189" s="266"/>
      <c r="E189" s="266"/>
      <c r="F189" s="266"/>
      <c r="G189" s="266"/>
      <c r="H189" s="266"/>
      <c r="I189" s="266"/>
      <c r="J189" s="266"/>
      <c r="K189" s="266"/>
      <c r="L189" s="266"/>
      <c r="M189" s="266"/>
      <c r="N189" s="266"/>
      <c r="O189" s="266"/>
      <c r="P189" s="266"/>
      <c r="Q189" s="266"/>
      <c r="R189" s="266"/>
      <c r="S189" s="266"/>
      <c r="T189" s="266"/>
      <c r="U189" s="266"/>
      <c r="V189" s="266"/>
      <c r="W189" s="266"/>
      <c r="X189" s="266"/>
      <c r="Y189" s="266"/>
      <c r="Z189" s="266"/>
      <c r="AA189" s="266"/>
      <c r="AB189" s="266"/>
      <c r="AC189" s="266"/>
    </row>
    <row r="190" spans="2:29" x14ac:dyDescent="0.25"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66"/>
      <c r="N190" s="266"/>
      <c r="O190" s="266"/>
      <c r="P190" s="266"/>
      <c r="Q190" s="266"/>
      <c r="R190" s="266"/>
      <c r="S190" s="266"/>
      <c r="T190" s="266"/>
      <c r="U190" s="266"/>
      <c r="V190" s="266"/>
      <c r="W190" s="266"/>
      <c r="X190" s="266"/>
      <c r="Y190" s="266"/>
      <c r="Z190" s="266"/>
      <c r="AA190" s="266"/>
      <c r="AB190" s="266"/>
      <c r="AC190" s="266"/>
    </row>
    <row r="191" spans="2:29" x14ac:dyDescent="0.25">
      <c r="B191" s="266"/>
      <c r="C191" s="266"/>
      <c r="D191" s="266"/>
      <c r="E191" s="266"/>
      <c r="F191" s="266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  <c r="AB191" s="266"/>
      <c r="AC191" s="266"/>
    </row>
    <row r="192" spans="2:29" x14ac:dyDescent="0.25">
      <c r="B192" s="266"/>
      <c r="C192" s="266"/>
      <c r="D192" s="266"/>
      <c r="E192" s="266"/>
      <c r="F192" s="266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  <c r="AB192" s="266"/>
      <c r="AC192" s="266"/>
    </row>
    <row r="193" spans="2:29" x14ac:dyDescent="0.25">
      <c r="B193" s="266"/>
      <c r="C193" s="266"/>
      <c r="D193" s="266"/>
      <c r="E193" s="266"/>
      <c r="F193" s="266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  <c r="AB193" s="266"/>
      <c r="AC193" s="266"/>
    </row>
    <row r="194" spans="2:29" x14ac:dyDescent="0.25">
      <c r="B194" s="266"/>
      <c r="C194" s="266"/>
      <c r="D194" s="266"/>
      <c r="E194" s="266"/>
      <c r="F194" s="266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  <c r="AB194" s="266"/>
      <c r="AC194" s="266"/>
    </row>
    <row r="195" spans="2:29" x14ac:dyDescent="0.25">
      <c r="B195" s="266"/>
      <c r="C195" s="266"/>
      <c r="D195" s="266"/>
      <c r="E195" s="266"/>
      <c r="F195" s="266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  <c r="AB195" s="266"/>
      <c r="AC195" s="266"/>
    </row>
    <row r="196" spans="2:29" x14ac:dyDescent="0.25">
      <c r="B196" s="266"/>
      <c r="C196" s="266"/>
      <c r="D196" s="266"/>
      <c r="E196" s="266"/>
      <c r="F196" s="266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  <c r="AB196" s="266"/>
      <c r="AC196" s="266"/>
    </row>
    <row r="197" spans="2:29" x14ac:dyDescent="0.25">
      <c r="B197" s="266"/>
      <c r="C197" s="266"/>
      <c r="D197" s="266"/>
      <c r="E197" s="266"/>
      <c r="F197" s="266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  <c r="AB197" s="266"/>
      <c r="AC197" s="266"/>
    </row>
    <row r="198" spans="2:29" x14ac:dyDescent="0.25">
      <c r="B198" s="266"/>
      <c r="C198" s="266"/>
      <c r="D198" s="266"/>
      <c r="E198" s="266"/>
      <c r="F198" s="266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  <c r="AB198" s="266"/>
      <c r="AC198" s="266"/>
    </row>
    <row r="199" spans="2:29" x14ac:dyDescent="0.25">
      <c r="B199" s="266"/>
      <c r="C199" s="266"/>
      <c r="D199" s="266"/>
      <c r="E199" s="266"/>
      <c r="F199" s="266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  <c r="AB199" s="266"/>
      <c r="AC199" s="266"/>
    </row>
    <row r="200" spans="2:29" x14ac:dyDescent="0.25">
      <c r="B200" s="266"/>
      <c r="C200" s="266"/>
      <c r="D200" s="266"/>
      <c r="E200" s="266"/>
      <c r="F200" s="266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  <c r="AB200" s="266"/>
      <c r="AC200" s="266"/>
    </row>
    <row r="201" spans="2:29" x14ac:dyDescent="0.25">
      <c r="B201" s="266"/>
      <c r="C201" s="266"/>
      <c r="D201" s="266"/>
      <c r="E201" s="266"/>
      <c r="F201" s="266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  <c r="AB201" s="266"/>
      <c r="AC201" s="266"/>
    </row>
    <row r="202" spans="2:29" x14ac:dyDescent="0.25">
      <c r="B202" s="266"/>
      <c r="C202" s="266"/>
      <c r="D202" s="266"/>
      <c r="E202" s="266"/>
      <c r="F202" s="266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  <c r="AB202" s="266"/>
      <c r="AC202" s="266"/>
    </row>
    <row r="203" spans="2:29" x14ac:dyDescent="0.25">
      <c r="B203" s="266"/>
      <c r="C203" s="266"/>
      <c r="D203" s="266"/>
      <c r="E203" s="266"/>
      <c r="F203" s="266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  <c r="AB203" s="266"/>
      <c r="AC203" s="266"/>
    </row>
    <row r="204" spans="2:29" x14ac:dyDescent="0.25">
      <c r="B204" s="266"/>
      <c r="C204" s="266"/>
      <c r="D204" s="266"/>
      <c r="E204" s="266"/>
      <c r="F204" s="266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  <c r="AB204" s="266"/>
      <c r="AC204" s="266"/>
    </row>
    <row r="205" spans="2:29" x14ac:dyDescent="0.25">
      <c r="B205" s="266"/>
      <c r="C205" s="266"/>
      <c r="D205" s="266"/>
      <c r="E205" s="266"/>
      <c r="F205" s="266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  <c r="AB205" s="266"/>
      <c r="AC205" s="266"/>
    </row>
    <row r="206" spans="2:29" x14ac:dyDescent="0.25">
      <c r="B206" s="266"/>
      <c r="C206" s="266"/>
      <c r="D206" s="266"/>
      <c r="E206" s="266"/>
      <c r="F206" s="266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  <c r="AB206" s="266"/>
      <c r="AC206" s="266"/>
    </row>
    <row r="207" spans="2:29" x14ac:dyDescent="0.25">
      <c r="B207" s="266"/>
      <c r="C207" s="266"/>
      <c r="D207" s="266"/>
      <c r="E207" s="266"/>
      <c r="F207" s="266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  <c r="AB207" s="266"/>
      <c r="AC207" s="266"/>
    </row>
    <row r="208" spans="2:29" x14ac:dyDescent="0.25">
      <c r="B208" s="266"/>
      <c r="C208" s="266"/>
      <c r="D208" s="266"/>
      <c r="E208" s="266"/>
      <c r="F208" s="266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  <c r="AB208" s="266"/>
      <c r="AC208" s="266"/>
    </row>
    <row r="209" spans="2:29" x14ac:dyDescent="0.25">
      <c r="B209" s="266"/>
      <c r="C209" s="266"/>
      <c r="D209" s="266"/>
      <c r="E209" s="266"/>
      <c r="F209" s="266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  <c r="AB209" s="266"/>
      <c r="AC209" s="266"/>
    </row>
    <row r="210" spans="2:29" x14ac:dyDescent="0.25">
      <c r="B210" s="266"/>
      <c r="C210" s="266"/>
      <c r="D210" s="266"/>
      <c r="E210" s="266"/>
      <c r="F210" s="266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  <c r="AB210" s="266"/>
      <c r="AC210" s="266"/>
    </row>
    <row r="211" spans="2:29" x14ac:dyDescent="0.25">
      <c r="B211" s="266"/>
      <c r="C211" s="266"/>
      <c r="D211" s="266"/>
      <c r="E211" s="266"/>
      <c r="F211" s="266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  <c r="AB211" s="266"/>
      <c r="AC211" s="266"/>
    </row>
    <row r="212" spans="2:29" x14ac:dyDescent="0.25">
      <c r="B212" s="266"/>
      <c r="C212" s="266"/>
      <c r="D212" s="266"/>
      <c r="E212" s="266"/>
      <c r="F212" s="266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  <c r="AB212" s="266"/>
      <c r="AC212" s="266"/>
    </row>
    <row r="213" spans="2:29" x14ac:dyDescent="0.25">
      <c r="B213" s="266"/>
      <c r="C213" s="266"/>
      <c r="D213" s="266"/>
      <c r="E213" s="266"/>
      <c r="F213" s="266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  <c r="AB213" s="266"/>
      <c r="AC213" s="266"/>
    </row>
    <row r="214" spans="2:29" x14ac:dyDescent="0.25">
      <c r="B214" s="266"/>
      <c r="C214" s="266"/>
      <c r="D214" s="266"/>
      <c r="E214" s="266"/>
      <c r="F214" s="266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  <c r="AB214" s="266"/>
      <c r="AC214" s="266"/>
    </row>
    <row r="215" spans="2:29" x14ac:dyDescent="0.25">
      <c r="B215" s="266"/>
      <c r="C215" s="266"/>
      <c r="D215" s="266"/>
      <c r="E215" s="266"/>
      <c r="F215" s="266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  <c r="AB215" s="266"/>
      <c r="AC215" s="266"/>
    </row>
    <row r="216" spans="2:29" x14ac:dyDescent="0.25">
      <c r="B216" s="266"/>
      <c r="C216" s="266"/>
      <c r="D216" s="266"/>
      <c r="E216" s="266"/>
      <c r="F216" s="266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  <c r="AB216" s="266"/>
      <c r="AC216" s="266"/>
    </row>
    <row r="217" spans="2:29" x14ac:dyDescent="0.25">
      <c r="B217" s="266"/>
      <c r="C217" s="266"/>
      <c r="D217" s="266"/>
      <c r="E217" s="266"/>
      <c r="F217" s="266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  <c r="AB217" s="266"/>
      <c r="AC217" s="266"/>
    </row>
    <row r="218" spans="2:29" x14ac:dyDescent="0.25">
      <c r="B218" s="266"/>
      <c r="C218" s="266"/>
      <c r="D218" s="266"/>
      <c r="E218" s="266"/>
      <c r="F218" s="266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  <c r="AB218" s="266"/>
      <c r="AC218" s="266"/>
    </row>
    <row r="219" spans="2:29" x14ac:dyDescent="0.25">
      <c r="B219" s="266"/>
      <c r="C219" s="266"/>
      <c r="D219" s="266"/>
      <c r="E219" s="266"/>
      <c r="F219" s="266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  <c r="AB219" s="266"/>
      <c r="AC219" s="266"/>
    </row>
    <row r="220" spans="2:29" x14ac:dyDescent="0.25">
      <c r="B220" s="266"/>
      <c r="C220" s="266"/>
      <c r="D220" s="266"/>
      <c r="E220" s="266"/>
      <c r="F220" s="266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  <c r="AB220" s="266"/>
      <c r="AC220" s="266"/>
    </row>
    <row r="221" spans="2:29" x14ac:dyDescent="0.25"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  <c r="AB221" s="266"/>
      <c r="AC221" s="266"/>
    </row>
    <row r="222" spans="2:29" x14ac:dyDescent="0.25">
      <c r="B222" s="266"/>
      <c r="C222" s="266"/>
      <c r="D222" s="266"/>
      <c r="E222" s="266"/>
      <c r="F222" s="266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  <c r="AB222" s="266"/>
      <c r="AC222" s="266"/>
    </row>
    <row r="223" spans="2:29" x14ac:dyDescent="0.25">
      <c r="B223" s="266"/>
      <c r="C223" s="266"/>
      <c r="D223" s="266"/>
      <c r="E223" s="266"/>
      <c r="F223" s="266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  <c r="AB223" s="266"/>
      <c r="AC223" s="266"/>
    </row>
    <row r="224" spans="2:29" x14ac:dyDescent="0.25">
      <c r="B224" s="266"/>
      <c r="C224" s="266"/>
      <c r="D224" s="266"/>
      <c r="E224" s="266"/>
      <c r="F224" s="266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</row>
    <row r="225" spans="2:29" x14ac:dyDescent="0.25">
      <c r="B225" s="266"/>
      <c r="C225" s="266"/>
      <c r="D225" s="266"/>
      <c r="E225" s="266"/>
      <c r="F225" s="266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</row>
    <row r="226" spans="2:29" x14ac:dyDescent="0.25">
      <c r="B226" s="266"/>
      <c r="C226" s="266"/>
      <c r="D226" s="266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</row>
    <row r="227" spans="2:29" x14ac:dyDescent="0.25">
      <c r="B227" s="266"/>
      <c r="C227" s="266"/>
      <c r="D227" s="266"/>
      <c r="E227" s="266"/>
      <c r="F227" s="266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  <c r="AB227" s="266"/>
      <c r="AC227" s="266"/>
    </row>
    <row r="228" spans="2:29" x14ac:dyDescent="0.25">
      <c r="B228" s="266"/>
      <c r="C228" s="266"/>
      <c r="D228" s="266"/>
      <c r="E228" s="266"/>
      <c r="F228" s="266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  <c r="AB228" s="266"/>
      <c r="AC228" s="266"/>
    </row>
    <row r="229" spans="2:29" x14ac:dyDescent="0.25">
      <c r="B229" s="266"/>
      <c r="C229" s="266"/>
      <c r="D229" s="266"/>
      <c r="E229" s="266"/>
      <c r="F229" s="266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  <c r="AB229" s="266"/>
      <c r="AC229" s="266"/>
    </row>
    <row r="230" spans="2:29" x14ac:dyDescent="0.25">
      <c r="B230" s="266"/>
      <c r="C230" s="266"/>
      <c r="D230" s="266"/>
      <c r="E230" s="266"/>
      <c r="F230" s="266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  <c r="AB230" s="266"/>
      <c r="AC230" s="266"/>
    </row>
    <row r="231" spans="2:29" x14ac:dyDescent="0.25">
      <c r="B231" s="266"/>
      <c r="C231" s="266"/>
      <c r="D231" s="266"/>
      <c r="E231" s="266"/>
      <c r="F231" s="266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  <c r="AB231" s="266"/>
      <c r="AC231" s="266"/>
    </row>
    <row r="232" spans="2:29" x14ac:dyDescent="0.25">
      <c r="B232" s="266"/>
      <c r="C232" s="266"/>
      <c r="D232" s="266"/>
      <c r="E232" s="266"/>
      <c r="F232" s="266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  <c r="AB232" s="266"/>
      <c r="AC232" s="266"/>
    </row>
    <row r="233" spans="2:29" x14ac:dyDescent="0.25">
      <c r="B233" s="266"/>
      <c r="C233" s="266"/>
      <c r="D233" s="266"/>
      <c r="E233" s="266"/>
      <c r="F233" s="266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  <c r="AB233" s="266"/>
      <c r="AC233" s="266"/>
    </row>
    <row r="234" spans="2:29" x14ac:dyDescent="0.25">
      <c r="B234" s="266"/>
      <c r="C234" s="266"/>
      <c r="D234" s="266"/>
      <c r="E234" s="266"/>
      <c r="F234" s="266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  <c r="AB234" s="266"/>
      <c r="AC234" s="266"/>
    </row>
    <row r="235" spans="2:29" x14ac:dyDescent="0.25">
      <c r="B235" s="266"/>
      <c r="C235" s="266"/>
      <c r="D235" s="266"/>
      <c r="E235" s="266"/>
      <c r="F235" s="266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  <c r="AB235" s="266"/>
      <c r="AC235" s="266"/>
    </row>
    <row r="236" spans="2:29" x14ac:dyDescent="0.25">
      <c r="B236" s="266"/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</row>
    <row r="237" spans="2:29" x14ac:dyDescent="0.25">
      <c r="B237" s="266"/>
      <c r="C237" s="266"/>
      <c r="D237" s="266"/>
      <c r="E237" s="266"/>
      <c r="F237" s="266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  <c r="AB237" s="266"/>
      <c r="AC237" s="266"/>
    </row>
    <row r="238" spans="2:29" x14ac:dyDescent="0.25">
      <c r="B238" s="266"/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</row>
    <row r="239" spans="2:29" x14ac:dyDescent="0.25">
      <c r="B239" s="266"/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</row>
    <row r="240" spans="2:29" x14ac:dyDescent="0.25">
      <c r="B240" s="266"/>
      <c r="C240" s="266"/>
      <c r="D240" s="266"/>
      <c r="E240" s="266"/>
      <c r="F240" s="266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  <c r="AB240" s="266"/>
      <c r="AC240" s="266"/>
    </row>
    <row r="241" spans="2:29" x14ac:dyDescent="0.25">
      <c r="B241" s="266"/>
      <c r="C241" s="266"/>
      <c r="D241" s="266"/>
      <c r="E241" s="266"/>
      <c r="F241" s="266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  <c r="AB241" s="266"/>
      <c r="AC241" s="266"/>
    </row>
    <row r="242" spans="2:29" x14ac:dyDescent="0.25">
      <c r="B242" s="266"/>
      <c r="C242" s="266"/>
      <c r="D242" s="266"/>
      <c r="E242" s="266"/>
      <c r="F242" s="266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  <c r="AB242" s="266"/>
      <c r="AC242" s="266"/>
    </row>
    <row r="243" spans="2:29" x14ac:dyDescent="0.25">
      <c r="B243" s="266"/>
      <c r="C243" s="266"/>
      <c r="D243" s="266"/>
      <c r="E243" s="266"/>
      <c r="F243" s="266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  <c r="AB243" s="266"/>
      <c r="AC243" s="266"/>
    </row>
    <row r="244" spans="2:29" x14ac:dyDescent="0.25">
      <c r="B244" s="266"/>
      <c r="C244" s="266"/>
      <c r="D244" s="266"/>
      <c r="E244" s="266"/>
      <c r="F244" s="266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  <c r="AB244" s="266"/>
      <c r="AC244" s="266"/>
    </row>
    <row r="245" spans="2:29" x14ac:dyDescent="0.25">
      <c r="B245" s="266"/>
      <c r="C245" s="266"/>
      <c r="D245" s="266"/>
      <c r="E245" s="266"/>
      <c r="F245" s="266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  <c r="AB245" s="266"/>
      <c r="AC245" s="266"/>
    </row>
    <row r="246" spans="2:29" x14ac:dyDescent="0.25">
      <c r="B246" s="266"/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</row>
    <row r="247" spans="2:29" x14ac:dyDescent="0.25">
      <c r="B247" s="266"/>
      <c r="C247" s="266"/>
      <c r="D247" s="266"/>
      <c r="E247" s="266"/>
      <c r="F247" s="266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  <c r="AB247" s="266"/>
      <c r="AC247" s="266"/>
    </row>
    <row r="248" spans="2:29" x14ac:dyDescent="0.25">
      <c r="B248" s="266"/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</row>
    <row r="249" spans="2:29" x14ac:dyDescent="0.25">
      <c r="B249" s="266"/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</row>
    <row r="250" spans="2:29" x14ac:dyDescent="0.25">
      <c r="B250" s="266"/>
      <c r="C250" s="266"/>
      <c r="D250" s="266"/>
      <c r="E250" s="266"/>
      <c r="F250" s="266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  <c r="AB250" s="266"/>
      <c r="AC250" s="266"/>
    </row>
    <row r="251" spans="2:29" x14ac:dyDescent="0.25">
      <c r="B251" s="266"/>
      <c r="C251" s="266"/>
      <c r="D251" s="266"/>
      <c r="E251" s="266"/>
      <c r="F251" s="266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  <c r="AB251" s="266"/>
      <c r="AC251" s="266"/>
    </row>
    <row r="252" spans="2:29" x14ac:dyDescent="0.25"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  <c r="AB252" s="266"/>
      <c r="AC252" s="266"/>
    </row>
    <row r="253" spans="2:29" x14ac:dyDescent="0.25">
      <c r="B253" s="266"/>
      <c r="C253" s="266"/>
      <c r="D253" s="266"/>
      <c r="E253" s="266"/>
      <c r="F253" s="266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  <c r="AB253" s="266"/>
      <c r="AC253" s="266"/>
    </row>
    <row r="254" spans="2:29" x14ac:dyDescent="0.25">
      <c r="B254" s="266"/>
      <c r="C254" s="266"/>
      <c r="D254" s="266"/>
      <c r="E254" s="266"/>
      <c r="F254" s="266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  <c r="AB254" s="266"/>
      <c r="AC254" s="266"/>
    </row>
    <row r="255" spans="2:29" x14ac:dyDescent="0.25">
      <c r="B255" s="266"/>
      <c r="C255" s="266"/>
      <c r="D255" s="266"/>
      <c r="E255" s="266"/>
      <c r="F255" s="266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  <c r="AB255" s="266"/>
      <c r="AC255" s="266"/>
    </row>
    <row r="256" spans="2:29" x14ac:dyDescent="0.25">
      <c r="B256" s="266"/>
      <c r="C256" s="266"/>
      <c r="D256" s="266"/>
      <c r="E256" s="266"/>
      <c r="F256" s="266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  <c r="AB256" s="266"/>
      <c r="AC256" s="266"/>
    </row>
    <row r="257" spans="2:29" x14ac:dyDescent="0.25">
      <c r="B257" s="266"/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</row>
    <row r="258" spans="2:29" x14ac:dyDescent="0.25">
      <c r="B258" s="266"/>
      <c r="C258" s="266"/>
      <c r="D258" s="266"/>
      <c r="E258" s="266"/>
      <c r="F258" s="266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  <c r="AB258" s="266"/>
      <c r="AC258" s="266"/>
    </row>
    <row r="259" spans="2:29" x14ac:dyDescent="0.25">
      <c r="B259" s="266"/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</row>
    <row r="260" spans="2:29" x14ac:dyDescent="0.25">
      <c r="B260" s="266"/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</row>
    <row r="261" spans="2:29" x14ac:dyDescent="0.25">
      <c r="B261" s="266"/>
      <c r="C261" s="266"/>
      <c r="D261" s="266"/>
      <c r="E261" s="266"/>
      <c r="F261" s="266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  <c r="AB261" s="266"/>
      <c r="AC261" s="266"/>
    </row>
    <row r="262" spans="2:29" x14ac:dyDescent="0.25"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  <c r="AB262" s="266"/>
      <c r="AC262" s="266"/>
    </row>
    <row r="263" spans="2:29" x14ac:dyDescent="0.25">
      <c r="B263" s="266"/>
      <c r="C263" s="266"/>
      <c r="D263" s="266"/>
      <c r="E263" s="266"/>
      <c r="F263" s="266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  <c r="AB263" s="266"/>
      <c r="AC263" s="266"/>
    </row>
    <row r="264" spans="2:29" x14ac:dyDescent="0.25">
      <c r="B264" s="266"/>
      <c r="C264" s="266"/>
      <c r="D264" s="266"/>
      <c r="E264" s="266"/>
      <c r="F264" s="266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  <c r="AB264" s="266"/>
      <c r="AC264" s="266"/>
    </row>
    <row r="265" spans="2:29" x14ac:dyDescent="0.25">
      <c r="B265" s="266"/>
      <c r="C265" s="266"/>
      <c r="D265" s="266"/>
      <c r="E265" s="266"/>
      <c r="F265" s="266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  <c r="AB265" s="266"/>
      <c r="AC265" s="266"/>
    </row>
    <row r="266" spans="2:29" x14ac:dyDescent="0.25">
      <c r="B266" s="266"/>
      <c r="C266" s="266"/>
      <c r="D266" s="266"/>
      <c r="E266" s="266"/>
      <c r="F266" s="266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  <c r="AB266" s="266"/>
      <c r="AC266" s="266"/>
    </row>
    <row r="267" spans="2:29" x14ac:dyDescent="0.25">
      <c r="B267" s="266"/>
      <c r="C267" s="266"/>
      <c r="D267" s="266"/>
      <c r="E267" s="266"/>
      <c r="F267" s="266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  <c r="AB267" s="266"/>
      <c r="AC267" s="266"/>
    </row>
    <row r="268" spans="2:29" x14ac:dyDescent="0.25">
      <c r="B268" s="266"/>
      <c r="C268" s="266"/>
      <c r="D268" s="266"/>
      <c r="E268" s="266"/>
      <c r="F268" s="266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  <c r="AB268" s="266"/>
      <c r="AC268" s="266"/>
    </row>
    <row r="269" spans="2:29" x14ac:dyDescent="0.25">
      <c r="B269" s="266"/>
      <c r="C269" s="266"/>
      <c r="D269" s="266"/>
      <c r="E269" s="266"/>
      <c r="F269" s="266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  <c r="AB269" s="266"/>
      <c r="AC269" s="266"/>
    </row>
    <row r="270" spans="2:29" x14ac:dyDescent="0.25">
      <c r="B270" s="266"/>
      <c r="C270" s="266"/>
      <c r="D270" s="266"/>
      <c r="E270" s="266"/>
      <c r="F270" s="266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  <c r="AB270" s="266"/>
      <c r="AC270" s="266"/>
    </row>
    <row r="271" spans="2:29" x14ac:dyDescent="0.25">
      <c r="B271" s="266"/>
      <c r="C271" s="266"/>
      <c r="D271" s="266"/>
      <c r="E271" s="266"/>
      <c r="F271" s="266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  <c r="AB271" s="266"/>
      <c r="AC271" s="266"/>
    </row>
    <row r="272" spans="2:29" x14ac:dyDescent="0.25">
      <c r="B272" s="266"/>
      <c r="C272" s="266"/>
      <c r="D272" s="266"/>
      <c r="E272" s="266"/>
      <c r="F272" s="266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  <c r="AB272" s="266"/>
      <c r="AC272" s="266"/>
    </row>
    <row r="273" spans="2:29" x14ac:dyDescent="0.25">
      <c r="B273" s="266"/>
      <c r="C273" s="266"/>
      <c r="D273" s="266"/>
      <c r="E273" s="266"/>
      <c r="F273" s="266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  <c r="AB273" s="266"/>
      <c r="AC273" s="266"/>
    </row>
    <row r="274" spans="2:29" x14ac:dyDescent="0.25">
      <c r="B274" s="266"/>
      <c r="C274" s="266"/>
      <c r="D274" s="266"/>
      <c r="E274" s="266"/>
      <c r="F274" s="266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  <c r="AB274" s="266"/>
      <c r="AC274" s="266"/>
    </row>
    <row r="275" spans="2:29" x14ac:dyDescent="0.25">
      <c r="B275" s="266"/>
      <c r="C275" s="266"/>
      <c r="D275" s="266"/>
      <c r="E275" s="266"/>
      <c r="F275" s="266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  <c r="AB275" s="266"/>
      <c r="AC275" s="266"/>
    </row>
    <row r="276" spans="2:29" x14ac:dyDescent="0.25">
      <c r="B276" s="266"/>
      <c r="C276" s="266"/>
      <c r="D276" s="266"/>
      <c r="E276" s="266"/>
      <c r="F276" s="266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  <c r="AB276" s="266"/>
      <c r="AC276" s="266"/>
    </row>
    <row r="277" spans="2:29" x14ac:dyDescent="0.25">
      <c r="B277" s="266"/>
      <c r="C277" s="266"/>
      <c r="D277" s="266"/>
      <c r="E277" s="266"/>
      <c r="F277" s="266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  <c r="AB277" s="266"/>
      <c r="AC277" s="266"/>
    </row>
    <row r="278" spans="2:29" x14ac:dyDescent="0.25">
      <c r="B278" s="266"/>
      <c r="C278" s="266"/>
      <c r="D278" s="266"/>
      <c r="E278" s="266"/>
      <c r="F278" s="266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  <c r="AB278" s="266"/>
      <c r="AC278" s="266"/>
    </row>
    <row r="279" spans="2:29" x14ac:dyDescent="0.25">
      <c r="B279" s="266"/>
      <c r="C279" s="266"/>
      <c r="D279" s="266"/>
      <c r="E279" s="266"/>
      <c r="F279" s="266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  <c r="AB279" s="266"/>
      <c r="AC279" s="266"/>
    </row>
    <row r="280" spans="2:29" x14ac:dyDescent="0.25">
      <c r="B280" s="266"/>
      <c r="C280" s="266"/>
      <c r="D280" s="266"/>
      <c r="E280" s="266"/>
      <c r="F280" s="266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  <c r="AB280" s="266"/>
      <c r="AC280" s="266"/>
    </row>
    <row r="281" spans="2:29" x14ac:dyDescent="0.25">
      <c r="B281" s="266"/>
      <c r="C281" s="266"/>
      <c r="D281" s="266"/>
      <c r="E281" s="266"/>
      <c r="F281" s="266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  <c r="AB281" s="266"/>
      <c r="AC281" s="266"/>
    </row>
    <row r="282" spans="2:29" x14ac:dyDescent="0.25">
      <c r="B282" s="266"/>
      <c r="C282" s="266"/>
      <c r="D282" s="266"/>
      <c r="E282" s="266"/>
      <c r="F282" s="266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  <c r="AB282" s="266"/>
      <c r="AC282" s="266"/>
    </row>
    <row r="283" spans="2:29" x14ac:dyDescent="0.25"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  <c r="AB283" s="266"/>
      <c r="AC283" s="266"/>
    </row>
    <row r="284" spans="2:29" x14ac:dyDescent="0.25">
      <c r="B284" s="266"/>
      <c r="C284" s="266"/>
      <c r="D284" s="266"/>
      <c r="E284" s="266"/>
      <c r="F284" s="266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  <c r="AB284" s="266"/>
      <c r="AC284" s="266"/>
    </row>
    <row r="285" spans="2:29" x14ac:dyDescent="0.25">
      <c r="B285" s="266"/>
      <c r="C285" s="266"/>
      <c r="D285" s="266"/>
      <c r="E285" s="266"/>
      <c r="F285" s="266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  <c r="AB285" s="266"/>
      <c r="AC285" s="266"/>
    </row>
    <row r="286" spans="2:29" x14ac:dyDescent="0.25">
      <c r="B286" s="266"/>
      <c r="C286" s="266"/>
      <c r="D286" s="266"/>
      <c r="E286" s="266"/>
      <c r="F286" s="266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  <c r="AB286" s="266"/>
      <c r="AC286" s="266"/>
    </row>
    <row r="287" spans="2:29" x14ac:dyDescent="0.25">
      <c r="B287" s="266"/>
      <c r="C287" s="266"/>
      <c r="D287" s="266"/>
      <c r="E287" s="266"/>
      <c r="F287" s="266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  <c r="AB287" s="266"/>
      <c r="AC287" s="266"/>
    </row>
    <row r="288" spans="2:29" x14ac:dyDescent="0.25">
      <c r="B288" s="266"/>
      <c r="C288" s="266"/>
      <c r="D288" s="266"/>
      <c r="E288" s="266"/>
      <c r="F288" s="266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  <c r="AB288" s="266"/>
      <c r="AC288" s="266"/>
    </row>
    <row r="289" spans="2:29" x14ac:dyDescent="0.25">
      <c r="B289" s="266"/>
      <c r="C289" s="266"/>
      <c r="D289" s="266"/>
      <c r="E289" s="266"/>
      <c r="F289" s="266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  <c r="AB289" s="266"/>
      <c r="AC289" s="266"/>
    </row>
    <row r="290" spans="2:29" x14ac:dyDescent="0.25">
      <c r="B290" s="266"/>
      <c r="C290" s="266"/>
      <c r="D290" s="266"/>
      <c r="E290" s="266"/>
      <c r="F290" s="266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  <c r="AB290" s="266"/>
      <c r="AC290" s="266"/>
    </row>
    <row r="291" spans="2:29" x14ac:dyDescent="0.25">
      <c r="B291" s="266"/>
      <c r="C291" s="266"/>
      <c r="D291" s="266"/>
      <c r="E291" s="266"/>
      <c r="F291" s="266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  <c r="AB291" s="266"/>
      <c r="AC291" s="266"/>
    </row>
    <row r="292" spans="2:29" x14ac:dyDescent="0.25">
      <c r="B292" s="266"/>
      <c r="C292" s="266"/>
      <c r="D292" s="266"/>
      <c r="E292" s="266"/>
      <c r="F292" s="266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  <c r="AB292" s="266"/>
      <c r="AC292" s="266"/>
    </row>
    <row r="293" spans="2:29" x14ac:dyDescent="0.25">
      <c r="B293" s="266"/>
      <c r="C293" s="266"/>
      <c r="D293" s="266"/>
      <c r="E293" s="266"/>
      <c r="F293" s="266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  <c r="AB293" s="266"/>
      <c r="AC293" s="266"/>
    </row>
    <row r="294" spans="2:29" x14ac:dyDescent="0.25">
      <c r="B294" s="266"/>
      <c r="C294" s="266"/>
      <c r="D294" s="266"/>
      <c r="E294" s="266"/>
      <c r="F294" s="266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  <c r="AB294" s="266"/>
      <c r="AC294" s="266"/>
    </row>
    <row r="295" spans="2:29" x14ac:dyDescent="0.25">
      <c r="B295" s="266"/>
      <c r="C295" s="266"/>
      <c r="D295" s="266"/>
      <c r="E295" s="266"/>
      <c r="F295" s="266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  <c r="AB295" s="266"/>
      <c r="AC295" s="266"/>
    </row>
    <row r="296" spans="2:29" x14ac:dyDescent="0.25">
      <c r="B296" s="266"/>
      <c r="C296" s="266"/>
      <c r="D296" s="266"/>
      <c r="E296" s="266"/>
      <c r="F296" s="266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  <c r="AB296" s="266"/>
      <c r="AC296" s="266"/>
    </row>
    <row r="297" spans="2:29" x14ac:dyDescent="0.25">
      <c r="B297" s="266"/>
      <c r="C297" s="266"/>
      <c r="D297" s="266"/>
      <c r="E297" s="266"/>
      <c r="F297" s="266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  <c r="AB297" s="266"/>
      <c r="AC297" s="266"/>
    </row>
    <row r="298" spans="2:29" x14ac:dyDescent="0.25">
      <c r="B298" s="266"/>
      <c r="C298" s="266"/>
      <c r="D298" s="266"/>
      <c r="E298" s="266"/>
      <c r="F298" s="266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  <c r="AB298" s="266"/>
      <c r="AC298" s="266"/>
    </row>
    <row r="299" spans="2:29" x14ac:dyDescent="0.25">
      <c r="B299" s="266"/>
      <c r="C299" s="266"/>
      <c r="D299" s="266"/>
      <c r="E299" s="266"/>
      <c r="F299" s="266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  <c r="AB299" s="266"/>
      <c r="AC299" s="266"/>
    </row>
    <row r="300" spans="2:29" x14ac:dyDescent="0.25">
      <c r="B300" s="266"/>
      <c r="C300" s="266"/>
      <c r="D300" s="266"/>
      <c r="E300" s="266"/>
      <c r="F300" s="266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  <c r="AB300" s="266"/>
      <c r="AC300" s="266"/>
    </row>
    <row r="301" spans="2:29" x14ac:dyDescent="0.25">
      <c r="B301" s="266"/>
      <c r="C301" s="266"/>
      <c r="D301" s="266"/>
      <c r="E301" s="266"/>
      <c r="F301" s="266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  <c r="AB301" s="266"/>
      <c r="AC301" s="266"/>
    </row>
    <row r="302" spans="2:29" x14ac:dyDescent="0.25">
      <c r="B302" s="266"/>
      <c r="C302" s="266"/>
      <c r="D302" s="266"/>
      <c r="E302" s="266"/>
      <c r="F302" s="266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  <c r="AB302" s="266"/>
      <c r="AC302" s="266"/>
    </row>
    <row r="303" spans="2:29" x14ac:dyDescent="0.25">
      <c r="B303" s="266"/>
      <c r="C303" s="266"/>
      <c r="D303" s="266"/>
      <c r="E303" s="266"/>
      <c r="F303" s="266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  <c r="AB303" s="266"/>
      <c r="AC303" s="266"/>
    </row>
    <row r="304" spans="2:29" x14ac:dyDescent="0.25">
      <c r="B304" s="266"/>
      <c r="C304" s="266"/>
      <c r="D304" s="266"/>
      <c r="E304" s="266"/>
      <c r="F304" s="266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  <c r="AB304" s="266"/>
      <c r="AC304" s="266"/>
    </row>
    <row r="305" spans="2:29" x14ac:dyDescent="0.25">
      <c r="B305" s="266"/>
      <c r="C305" s="266"/>
      <c r="D305" s="266"/>
      <c r="E305" s="266"/>
      <c r="F305" s="266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  <c r="AB305" s="266"/>
      <c r="AC305" s="266"/>
    </row>
    <row r="306" spans="2:29" x14ac:dyDescent="0.25">
      <c r="B306" s="266"/>
      <c r="C306" s="266"/>
      <c r="D306" s="266"/>
      <c r="E306" s="266"/>
      <c r="F306" s="266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  <c r="AB306" s="266"/>
      <c r="AC306" s="266"/>
    </row>
    <row r="307" spans="2:29" x14ac:dyDescent="0.25">
      <c r="B307" s="266"/>
      <c r="C307" s="266"/>
      <c r="D307" s="266"/>
      <c r="E307" s="266"/>
      <c r="F307" s="266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  <c r="AB307" s="266"/>
      <c r="AC307" s="266"/>
    </row>
    <row r="308" spans="2:29" x14ac:dyDescent="0.25">
      <c r="B308" s="266"/>
      <c r="C308" s="266"/>
      <c r="D308" s="266"/>
      <c r="E308" s="266"/>
      <c r="F308" s="266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  <c r="AB308" s="266"/>
      <c r="AC308" s="266"/>
    </row>
    <row r="309" spans="2:29" x14ac:dyDescent="0.25">
      <c r="B309" s="266"/>
      <c r="C309" s="266"/>
      <c r="D309" s="266"/>
      <c r="E309" s="266"/>
      <c r="F309" s="266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  <c r="AB309" s="266"/>
      <c r="AC309" s="266"/>
    </row>
    <row r="310" spans="2:29" x14ac:dyDescent="0.25">
      <c r="B310" s="266"/>
      <c r="C310" s="266"/>
      <c r="D310" s="266"/>
      <c r="E310" s="266"/>
      <c r="F310" s="266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  <c r="AB310" s="266"/>
      <c r="AC310" s="266"/>
    </row>
    <row r="311" spans="2:29" x14ac:dyDescent="0.25">
      <c r="B311" s="266"/>
      <c r="C311" s="266"/>
      <c r="D311" s="266"/>
      <c r="E311" s="266"/>
      <c r="F311" s="266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  <c r="AB311" s="266"/>
      <c r="AC311" s="266"/>
    </row>
    <row r="312" spans="2:29" x14ac:dyDescent="0.25">
      <c r="B312" s="266"/>
      <c r="C312" s="266"/>
      <c r="D312" s="266"/>
      <c r="E312" s="266"/>
      <c r="F312" s="266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  <c r="AB312" s="266"/>
      <c r="AC312" s="266"/>
    </row>
    <row r="313" spans="2:29" x14ac:dyDescent="0.25">
      <c r="B313" s="266"/>
      <c r="C313" s="266"/>
      <c r="D313" s="266"/>
      <c r="E313" s="266"/>
      <c r="F313" s="266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  <c r="AB313" s="266"/>
      <c r="AC313" s="266"/>
    </row>
    <row r="314" spans="2:29" x14ac:dyDescent="0.25"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  <c r="AB314" s="266"/>
      <c r="AC314" s="266"/>
    </row>
    <row r="315" spans="2:29" x14ac:dyDescent="0.25">
      <c r="B315" s="266"/>
      <c r="C315" s="266"/>
      <c r="D315" s="266"/>
      <c r="E315" s="266"/>
      <c r="F315" s="266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  <c r="AB315" s="266"/>
      <c r="AC315" s="266"/>
    </row>
    <row r="316" spans="2:29" x14ac:dyDescent="0.25">
      <c r="B316" s="266"/>
      <c r="C316" s="266"/>
      <c r="D316" s="266"/>
      <c r="E316" s="266"/>
      <c r="F316" s="266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  <c r="AB316" s="266"/>
      <c r="AC316" s="266"/>
    </row>
    <row r="317" spans="2:29" x14ac:dyDescent="0.25">
      <c r="B317" s="266"/>
      <c r="C317" s="266"/>
      <c r="D317" s="266"/>
      <c r="E317" s="266"/>
      <c r="F317" s="266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  <c r="AB317" s="266"/>
      <c r="AC317" s="266"/>
    </row>
    <row r="318" spans="2:29" x14ac:dyDescent="0.25">
      <c r="B318" s="266"/>
      <c r="C318" s="266"/>
      <c r="D318" s="266"/>
      <c r="E318" s="266"/>
      <c r="F318" s="266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  <c r="AB318" s="266"/>
      <c r="AC318" s="266"/>
    </row>
    <row r="319" spans="2:29" x14ac:dyDescent="0.25">
      <c r="B319" s="266"/>
      <c r="C319" s="266"/>
      <c r="D319" s="266"/>
      <c r="E319" s="266"/>
      <c r="F319" s="266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  <c r="AB319" s="266"/>
      <c r="AC319" s="266"/>
    </row>
    <row r="320" spans="2:29" x14ac:dyDescent="0.25">
      <c r="B320" s="266"/>
      <c r="C320" s="266"/>
      <c r="D320" s="266"/>
      <c r="E320" s="266"/>
      <c r="F320" s="266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  <c r="AB320" s="266"/>
      <c r="AC320" s="266"/>
    </row>
    <row r="321" spans="2:29" x14ac:dyDescent="0.25">
      <c r="B321" s="266"/>
      <c r="C321" s="266"/>
      <c r="D321" s="266"/>
      <c r="E321" s="266"/>
      <c r="F321" s="266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  <c r="AB321" s="266"/>
      <c r="AC321" s="266"/>
    </row>
    <row r="322" spans="2:29" x14ac:dyDescent="0.25">
      <c r="B322" s="266"/>
      <c r="C322" s="266"/>
      <c r="D322" s="266"/>
      <c r="E322" s="266"/>
      <c r="F322" s="266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  <c r="AB322" s="266"/>
      <c r="AC322" s="266"/>
    </row>
    <row r="323" spans="2:29" x14ac:dyDescent="0.25">
      <c r="B323" s="266"/>
      <c r="C323" s="266"/>
      <c r="D323" s="266"/>
      <c r="E323" s="266"/>
      <c r="F323" s="266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  <c r="AB323" s="266"/>
      <c r="AC323" s="266"/>
    </row>
    <row r="324" spans="2:29" x14ac:dyDescent="0.25">
      <c r="B324" s="266"/>
      <c r="C324" s="266"/>
      <c r="D324" s="266"/>
      <c r="E324" s="266"/>
      <c r="F324" s="266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  <c r="AB324" s="266"/>
      <c r="AC324" s="266"/>
    </row>
    <row r="325" spans="2:29" x14ac:dyDescent="0.25">
      <c r="B325" s="266"/>
      <c r="C325" s="266"/>
      <c r="D325" s="266"/>
      <c r="E325" s="266"/>
      <c r="F325" s="266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  <c r="AB325" s="266"/>
      <c r="AC325" s="266"/>
    </row>
    <row r="326" spans="2:29" x14ac:dyDescent="0.25">
      <c r="B326" s="266"/>
      <c r="C326" s="266"/>
      <c r="D326" s="266"/>
      <c r="E326" s="266"/>
      <c r="F326" s="266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  <c r="AB326" s="266"/>
      <c r="AC326" s="266"/>
    </row>
    <row r="327" spans="2:29" x14ac:dyDescent="0.25">
      <c r="B327" s="266"/>
      <c r="C327" s="266"/>
      <c r="D327" s="266"/>
      <c r="E327" s="266"/>
      <c r="F327" s="266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  <c r="AB327" s="266"/>
      <c r="AC327" s="266"/>
    </row>
    <row r="328" spans="2:29" x14ac:dyDescent="0.25">
      <c r="B328" s="266"/>
      <c r="C328" s="266"/>
      <c r="D328" s="266"/>
      <c r="E328" s="266"/>
      <c r="F328" s="266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  <c r="AB328" s="266"/>
      <c r="AC328" s="266"/>
    </row>
    <row r="329" spans="2:29" x14ac:dyDescent="0.25">
      <c r="B329" s="266"/>
      <c r="C329" s="266"/>
      <c r="D329" s="266"/>
      <c r="E329" s="266"/>
      <c r="F329" s="266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  <c r="AB329" s="266"/>
      <c r="AC329" s="266"/>
    </row>
    <row r="330" spans="2:29" x14ac:dyDescent="0.25">
      <c r="B330" s="266"/>
      <c r="C330" s="266"/>
      <c r="D330" s="266"/>
      <c r="E330" s="266"/>
      <c r="F330" s="266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  <c r="AB330" s="266"/>
      <c r="AC330" s="266"/>
    </row>
    <row r="331" spans="2:29" x14ac:dyDescent="0.25">
      <c r="B331" s="266"/>
      <c r="C331" s="266"/>
      <c r="D331" s="266"/>
      <c r="E331" s="266"/>
      <c r="F331" s="266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  <c r="AB331" s="266"/>
      <c r="AC331" s="266"/>
    </row>
    <row r="332" spans="2:29" x14ac:dyDescent="0.25">
      <c r="B332" s="266"/>
      <c r="C332" s="266"/>
      <c r="D332" s="266"/>
      <c r="E332" s="266"/>
      <c r="F332" s="266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  <c r="AB332" s="266"/>
      <c r="AC332" s="266"/>
    </row>
    <row r="333" spans="2:29" x14ac:dyDescent="0.25">
      <c r="B333" s="266"/>
      <c r="C333" s="266"/>
      <c r="D333" s="266"/>
      <c r="E333" s="266"/>
      <c r="F333" s="266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  <c r="AB333" s="266"/>
      <c r="AC333" s="266"/>
    </row>
    <row r="334" spans="2:29" x14ac:dyDescent="0.25">
      <c r="B334" s="266"/>
      <c r="C334" s="266"/>
      <c r="D334" s="266"/>
      <c r="E334" s="266"/>
      <c r="F334" s="266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  <c r="AB334" s="266"/>
      <c r="AC334" s="266"/>
    </row>
    <row r="335" spans="2:29" x14ac:dyDescent="0.25">
      <c r="B335" s="266"/>
      <c r="C335" s="266"/>
      <c r="D335" s="266"/>
      <c r="E335" s="266"/>
      <c r="F335" s="266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  <c r="AB335" s="266"/>
      <c r="AC335" s="266"/>
    </row>
    <row r="336" spans="2:29" x14ac:dyDescent="0.25">
      <c r="B336" s="266"/>
      <c r="C336" s="266"/>
      <c r="D336" s="266"/>
      <c r="E336" s="266"/>
      <c r="F336" s="266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  <c r="AB336" s="266"/>
      <c r="AC336" s="266"/>
    </row>
    <row r="337" spans="2:29" x14ac:dyDescent="0.25">
      <c r="B337" s="266"/>
      <c r="C337" s="266"/>
      <c r="D337" s="266"/>
      <c r="E337" s="266"/>
      <c r="F337" s="266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  <c r="AB337" s="266"/>
      <c r="AC337" s="266"/>
    </row>
    <row r="338" spans="2:29" x14ac:dyDescent="0.25">
      <c r="B338" s="266"/>
      <c r="C338" s="266"/>
      <c r="D338" s="266"/>
      <c r="E338" s="266"/>
      <c r="F338" s="266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  <c r="AB338" s="266"/>
      <c r="AC338" s="266"/>
    </row>
    <row r="339" spans="2:29" x14ac:dyDescent="0.25">
      <c r="B339" s="266"/>
      <c r="C339" s="266"/>
      <c r="D339" s="266"/>
      <c r="E339" s="266"/>
      <c r="F339" s="266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  <c r="AB339" s="266"/>
      <c r="AC339" s="266"/>
    </row>
    <row r="340" spans="2:29" x14ac:dyDescent="0.25">
      <c r="B340" s="266"/>
      <c r="C340" s="266"/>
      <c r="D340" s="266"/>
      <c r="E340" s="266"/>
      <c r="F340" s="266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  <c r="AB340" s="266"/>
      <c r="AC340" s="266"/>
    </row>
    <row r="341" spans="2:29" x14ac:dyDescent="0.25">
      <c r="B341" s="266"/>
      <c r="C341" s="266"/>
      <c r="D341" s="266"/>
      <c r="E341" s="266"/>
      <c r="F341" s="266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  <c r="AB341" s="266"/>
      <c r="AC341" s="266"/>
    </row>
    <row r="342" spans="2:29" x14ac:dyDescent="0.25">
      <c r="B342" s="266"/>
      <c r="C342" s="266"/>
      <c r="D342" s="266"/>
      <c r="E342" s="266"/>
      <c r="F342" s="266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  <c r="AB342" s="266"/>
      <c r="AC342" s="266"/>
    </row>
    <row r="343" spans="2:29" x14ac:dyDescent="0.25">
      <c r="B343" s="266"/>
      <c r="C343" s="266"/>
      <c r="D343" s="266"/>
      <c r="E343" s="266"/>
      <c r="F343" s="266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  <c r="AB343" s="266"/>
      <c r="AC343" s="266"/>
    </row>
    <row r="344" spans="2:29" x14ac:dyDescent="0.25">
      <c r="B344" s="266"/>
      <c r="C344" s="266"/>
      <c r="D344" s="266"/>
      <c r="E344" s="266"/>
      <c r="F344" s="266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  <c r="AB344" s="266"/>
      <c r="AC344" s="266"/>
    </row>
    <row r="345" spans="2:29" x14ac:dyDescent="0.25"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  <c r="AB345" s="266"/>
      <c r="AC345" s="266"/>
    </row>
    <row r="346" spans="2:29" x14ac:dyDescent="0.25">
      <c r="B346" s="266"/>
      <c r="C346" s="266"/>
      <c r="D346" s="266"/>
      <c r="E346" s="266"/>
      <c r="F346" s="266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  <c r="AB346" s="266"/>
      <c r="AC346" s="266"/>
    </row>
    <row r="347" spans="2:29" x14ac:dyDescent="0.25">
      <c r="B347" s="266"/>
      <c r="C347" s="266"/>
      <c r="D347" s="266"/>
      <c r="E347" s="266"/>
      <c r="F347" s="266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  <c r="AB347" s="266"/>
      <c r="AC347" s="266"/>
    </row>
    <row r="348" spans="2:29" x14ac:dyDescent="0.25">
      <c r="B348" s="266"/>
      <c r="C348" s="266"/>
      <c r="D348" s="266"/>
      <c r="E348" s="266"/>
      <c r="F348" s="266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  <c r="AB348" s="266"/>
      <c r="AC348" s="266"/>
    </row>
    <row r="349" spans="2:29" x14ac:dyDescent="0.25">
      <c r="B349" s="266"/>
      <c r="C349" s="266"/>
      <c r="D349" s="266"/>
      <c r="E349" s="266"/>
      <c r="F349" s="266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  <c r="AB349" s="266"/>
      <c r="AC349" s="266"/>
    </row>
    <row r="350" spans="2:29" x14ac:dyDescent="0.25">
      <c r="B350" s="266"/>
      <c r="C350" s="266"/>
      <c r="D350" s="266"/>
      <c r="E350" s="266"/>
      <c r="F350" s="266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  <c r="AB350" s="266"/>
      <c r="AC350" s="266"/>
    </row>
    <row r="351" spans="2:29" x14ac:dyDescent="0.25">
      <c r="B351" s="266"/>
      <c r="C351" s="266"/>
      <c r="D351" s="266"/>
      <c r="E351" s="266"/>
      <c r="F351" s="266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  <c r="AB351" s="266"/>
      <c r="AC351" s="266"/>
    </row>
    <row r="352" spans="2:29" x14ac:dyDescent="0.25">
      <c r="B352" s="266"/>
      <c r="C352" s="266"/>
      <c r="D352" s="266"/>
      <c r="E352" s="266"/>
      <c r="F352" s="266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  <c r="AB352" s="266"/>
      <c r="AC352" s="266"/>
    </row>
    <row r="353" spans="2:29" x14ac:dyDescent="0.25">
      <c r="B353" s="266"/>
      <c r="C353" s="266"/>
      <c r="D353" s="266"/>
      <c r="E353" s="266"/>
      <c r="F353" s="266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  <c r="AB353" s="266"/>
      <c r="AC353" s="266"/>
    </row>
    <row r="354" spans="2:29" x14ac:dyDescent="0.25">
      <c r="B354" s="266"/>
      <c r="C354" s="266"/>
      <c r="D354" s="266"/>
      <c r="E354" s="266"/>
      <c r="F354" s="266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  <c r="AB354" s="266"/>
      <c r="AC354" s="266"/>
    </row>
    <row r="355" spans="2:29" x14ac:dyDescent="0.25">
      <c r="B355" s="266"/>
      <c r="C355" s="266"/>
      <c r="D355" s="266"/>
      <c r="E355" s="266"/>
      <c r="F355" s="266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  <c r="AB355" s="266"/>
      <c r="AC355" s="266"/>
    </row>
    <row r="356" spans="2:29" x14ac:dyDescent="0.25">
      <c r="B356" s="266"/>
      <c r="C356" s="266"/>
      <c r="D356" s="266"/>
      <c r="E356" s="266"/>
      <c r="F356" s="266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  <c r="AB356" s="266"/>
      <c r="AC356" s="266"/>
    </row>
    <row r="357" spans="2:29" x14ac:dyDescent="0.25">
      <c r="B357" s="266"/>
      <c r="C357" s="266"/>
      <c r="D357" s="266"/>
      <c r="E357" s="266"/>
      <c r="F357" s="266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  <c r="AB357" s="266"/>
      <c r="AC357" s="266"/>
    </row>
    <row r="358" spans="2:29" x14ac:dyDescent="0.25">
      <c r="B358" s="266"/>
      <c r="C358" s="266"/>
      <c r="D358" s="266"/>
      <c r="E358" s="266"/>
      <c r="F358" s="266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  <c r="AB358" s="266"/>
      <c r="AC358" s="266"/>
    </row>
    <row r="359" spans="2:29" x14ac:dyDescent="0.25">
      <c r="B359" s="266"/>
      <c r="C359" s="266"/>
      <c r="D359" s="266"/>
      <c r="E359" s="266"/>
      <c r="F359" s="266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  <c r="AB359" s="266"/>
      <c r="AC359" s="266"/>
    </row>
    <row r="360" spans="2:29" x14ac:dyDescent="0.25">
      <c r="B360" s="266"/>
      <c r="C360" s="266"/>
      <c r="D360" s="266"/>
      <c r="E360" s="266"/>
      <c r="F360" s="266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  <c r="AB360" s="266"/>
      <c r="AC360" s="266"/>
    </row>
    <row r="361" spans="2:29" x14ac:dyDescent="0.25">
      <c r="B361" s="266"/>
      <c r="C361" s="266"/>
      <c r="D361" s="266"/>
      <c r="E361" s="266"/>
      <c r="F361" s="266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  <c r="AB361" s="266"/>
      <c r="AC361" s="266"/>
    </row>
    <row r="362" spans="2:29" x14ac:dyDescent="0.25">
      <c r="B362" s="266"/>
      <c r="C362" s="266"/>
      <c r="D362" s="266"/>
      <c r="E362" s="266"/>
      <c r="F362" s="266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  <c r="AB362" s="266"/>
      <c r="AC362" s="266"/>
    </row>
    <row r="363" spans="2:29" x14ac:dyDescent="0.25">
      <c r="B363" s="266"/>
      <c r="C363" s="266"/>
      <c r="D363" s="266"/>
      <c r="E363" s="266"/>
      <c r="F363" s="266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  <c r="AB363" s="266"/>
      <c r="AC363" s="266"/>
    </row>
    <row r="364" spans="2:29" x14ac:dyDescent="0.25">
      <c r="B364" s="266"/>
      <c r="C364" s="266"/>
      <c r="D364" s="266"/>
      <c r="E364" s="266"/>
      <c r="F364" s="266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  <c r="AB364" s="266"/>
      <c r="AC364" s="266"/>
    </row>
    <row r="365" spans="2:29" x14ac:dyDescent="0.25">
      <c r="B365" s="266"/>
      <c r="C365" s="266"/>
      <c r="D365" s="266"/>
      <c r="E365" s="266"/>
      <c r="F365" s="266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  <c r="AB365" s="266"/>
      <c r="AC365" s="266"/>
    </row>
    <row r="366" spans="2:29" x14ac:dyDescent="0.25">
      <c r="B366" s="266"/>
      <c r="C366" s="266"/>
      <c r="D366" s="266"/>
      <c r="E366" s="266"/>
      <c r="F366" s="266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  <c r="AB366" s="266"/>
      <c r="AC366" s="266"/>
    </row>
    <row r="367" spans="2:29" x14ac:dyDescent="0.25">
      <c r="B367" s="266"/>
      <c r="C367" s="266"/>
      <c r="D367" s="266"/>
      <c r="E367" s="266"/>
      <c r="F367" s="266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  <c r="AB367" s="266"/>
      <c r="AC367" s="266"/>
    </row>
    <row r="368" spans="2:29" x14ac:dyDescent="0.25">
      <c r="B368" s="266"/>
      <c r="C368" s="266"/>
      <c r="D368" s="266"/>
      <c r="E368" s="266"/>
      <c r="F368" s="266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  <c r="AB368" s="266"/>
      <c r="AC368" s="266"/>
    </row>
    <row r="369" spans="2:29" x14ac:dyDescent="0.25">
      <c r="B369" s="266"/>
      <c r="C369" s="266"/>
      <c r="D369" s="266"/>
      <c r="E369" s="266"/>
      <c r="F369" s="266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  <c r="AB369" s="266"/>
      <c r="AC369" s="266"/>
    </row>
    <row r="370" spans="2:29" x14ac:dyDescent="0.25">
      <c r="B370" s="266"/>
      <c r="C370" s="266"/>
      <c r="D370" s="266"/>
      <c r="E370" s="266"/>
      <c r="F370" s="266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  <c r="AB370" s="266"/>
      <c r="AC370" s="266"/>
    </row>
    <row r="371" spans="2:29" x14ac:dyDescent="0.25">
      <c r="B371" s="266"/>
      <c r="C371" s="266"/>
      <c r="D371" s="266"/>
      <c r="E371" s="266"/>
      <c r="F371" s="266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  <c r="AB371" s="266"/>
      <c r="AC371" s="266"/>
    </row>
    <row r="372" spans="2:29" x14ac:dyDescent="0.25">
      <c r="B372" s="266"/>
      <c r="C372" s="266"/>
      <c r="D372" s="266"/>
      <c r="E372" s="266"/>
      <c r="F372" s="266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  <c r="AB372" s="266"/>
      <c r="AC372" s="266"/>
    </row>
    <row r="373" spans="2:29" x14ac:dyDescent="0.25">
      <c r="B373" s="266"/>
      <c r="C373" s="266"/>
      <c r="D373" s="266"/>
      <c r="E373" s="266"/>
      <c r="F373" s="266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  <c r="AB373" s="266"/>
      <c r="AC373" s="266"/>
    </row>
    <row r="374" spans="2:29" x14ac:dyDescent="0.25">
      <c r="B374" s="266"/>
      <c r="C374" s="266"/>
      <c r="D374" s="266"/>
      <c r="E374" s="266"/>
      <c r="F374" s="266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  <c r="AB374" s="266"/>
      <c r="AC374" s="266"/>
    </row>
    <row r="375" spans="2:29" x14ac:dyDescent="0.25">
      <c r="B375" s="266"/>
      <c r="C375" s="266"/>
      <c r="D375" s="266"/>
      <c r="E375" s="266"/>
      <c r="F375" s="266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  <c r="AB375" s="266"/>
      <c r="AC375" s="266"/>
    </row>
    <row r="376" spans="2:29" x14ac:dyDescent="0.25"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  <c r="AB376" s="266"/>
      <c r="AC376" s="266"/>
    </row>
    <row r="377" spans="2:29" x14ac:dyDescent="0.25">
      <c r="B377" s="266"/>
      <c r="C377" s="266"/>
      <c r="D377" s="266"/>
      <c r="E377" s="266"/>
      <c r="F377" s="266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  <c r="AB377" s="266"/>
      <c r="AC377" s="266"/>
    </row>
    <row r="378" spans="2:29" x14ac:dyDescent="0.25">
      <c r="B378" s="266"/>
      <c r="C378" s="266"/>
      <c r="D378" s="266"/>
      <c r="E378" s="266"/>
      <c r="F378" s="266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  <c r="AB378" s="266"/>
      <c r="AC378" s="266"/>
    </row>
    <row r="379" spans="2:29" x14ac:dyDescent="0.25">
      <c r="B379" s="266"/>
      <c r="C379" s="266"/>
      <c r="D379" s="266"/>
      <c r="E379" s="266"/>
      <c r="F379" s="266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  <c r="AB379" s="266"/>
      <c r="AC379" s="266"/>
    </row>
    <row r="380" spans="2:29" x14ac:dyDescent="0.25">
      <c r="B380" s="266"/>
      <c r="C380" s="266"/>
      <c r="D380" s="266"/>
      <c r="E380" s="266"/>
      <c r="F380" s="266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  <c r="AB380" s="266"/>
      <c r="AC380" s="266"/>
    </row>
    <row r="381" spans="2:29" x14ac:dyDescent="0.25">
      <c r="B381" s="266"/>
      <c r="C381" s="266"/>
      <c r="D381" s="266"/>
      <c r="E381" s="266"/>
      <c r="F381" s="266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  <c r="AB381" s="266"/>
      <c r="AC381" s="266"/>
    </row>
    <row r="382" spans="2:29" x14ac:dyDescent="0.25">
      <c r="B382" s="266"/>
      <c r="C382" s="266"/>
      <c r="D382" s="266"/>
      <c r="E382" s="266"/>
      <c r="F382" s="266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  <c r="AB382" s="266"/>
      <c r="AC382" s="266"/>
    </row>
    <row r="383" spans="2:29" x14ac:dyDescent="0.25">
      <c r="B383" s="266"/>
      <c r="C383" s="266"/>
      <c r="D383" s="266"/>
      <c r="E383" s="266"/>
      <c r="F383" s="266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  <c r="AB383" s="266"/>
      <c r="AC383" s="266"/>
    </row>
    <row r="384" spans="2:29" x14ac:dyDescent="0.25">
      <c r="B384" s="266"/>
      <c r="C384" s="266"/>
      <c r="D384" s="266"/>
      <c r="E384" s="266"/>
      <c r="F384" s="266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  <c r="AB384" s="266"/>
      <c r="AC384" s="266"/>
    </row>
    <row r="385" spans="2:29" x14ac:dyDescent="0.25">
      <c r="B385" s="266"/>
      <c r="C385" s="266"/>
      <c r="D385" s="266"/>
      <c r="E385" s="266"/>
      <c r="F385" s="266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  <c r="AB385" s="266"/>
      <c r="AC385" s="266"/>
    </row>
    <row r="386" spans="2:29" x14ac:dyDescent="0.25">
      <c r="B386" s="266"/>
      <c r="C386" s="266"/>
      <c r="D386" s="266"/>
      <c r="E386" s="266"/>
      <c r="F386" s="266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  <c r="AB386" s="266"/>
      <c r="AC386" s="266"/>
    </row>
    <row r="387" spans="2:29" x14ac:dyDescent="0.25">
      <c r="B387" s="266"/>
      <c r="C387" s="266"/>
      <c r="D387" s="266"/>
      <c r="E387" s="266"/>
      <c r="F387" s="266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  <c r="AB387" s="266"/>
      <c r="AC387" s="266"/>
    </row>
    <row r="388" spans="2:29" x14ac:dyDescent="0.25">
      <c r="B388" s="266"/>
      <c r="C388" s="266"/>
      <c r="D388" s="266"/>
      <c r="E388" s="266"/>
      <c r="F388" s="266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  <c r="AB388" s="266"/>
      <c r="AC388" s="266"/>
    </row>
    <row r="389" spans="2:29" x14ac:dyDescent="0.25">
      <c r="B389" s="266"/>
      <c r="C389" s="266"/>
      <c r="D389" s="266"/>
      <c r="E389" s="266"/>
      <c r="F389" s="266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  <c r="AB389" s="266"/>
      <c r="AC389" s="266"/>
    </row>
    <row r="390" spans="2:29" x14ac:dyDescent="0.25">
      <c r="B390" s="266"/>
      <c r="C390" s="266"/>
      <c r="D390" s="266"/>
      <c r="E390" s="266"/>
      <c r="F390" s="266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  <c r="AB390" s="266"/>
      <c r="AC390" s="266"/>
    </row>
    <row r="391" spans="2:29" x14ac:dyDescent="0.25">
      <c r="B391" s="266"/>
      <c r="C391" s="266"/>
      <c r="D391" s="266"/>
      <c r="E391" s="266"/>
      <c r="F391" s="266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  <c r="AB391" s="266"/>
      <c r="AC391" s="266"/>
    </row>
    <row r="392" spans="2:29" x14ac:dyDescent="0.25">
      <c r="B392" s="266"/>
      <c r="C392" s="266"/>
      <c r="D392" s="266"/>
      <c r="E392" s="266"/>
      <c r="F392" s="266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  <c r="AB392" s="266"/>
      <c r="AC392" s="266"/>
    </row>
    <row r="393" spans="2:29" x14ac:dyDescent="0.25">
      <c r="B393" s="266"/>
      <c r="C393" s="266"/>
      <c r="D393" s="266"/>
      <c r="E393" s="266"/>
      <c r="F393" s="266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  <c r="AB393" s="266"/>
      <c r="AC393" s="266"/>
    </row>
    <row r="394" spans="2:29" x14ac:dyDescent="0.25">
      <c r="B394" s="266"/>
      <c r="C394" s="266"/>
      <c r="D394" s="266"/>
      <c r="E394" s="266"/>
      <c r="F394" s="266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  <c r="AB394" s="266"/>
      <c r="AC394" s="266"/>
    </row>
    <row r="395" spans="2:29" x14ac:dyDescent="0.25">
      <c r="B395" s="266"/>
      <c r="C395" s="266"/>
      <c r="D395" s="266"/>
      <c r="E395" s="266"/>
      <c r="F395" s="266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  <c r="AB395" s="266"/>
      <c r="AC395" s="266"/>
    </row>
    <row r="396" spans="2:29" x14ac:dyDescent="0.25">
      <c r="B396" s="266"/>
      <c r="C396" s="266"/>
      <c r="D396" s="266"/>
      <c r="E396" s="266"/>
      <c r="F396" s="266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  <c r="AB396" s="266"/>
      <c r="AC396" s="266"/>
    </row>
    <row r="397" spans="2:29" x14ac:dyDescent="0.25">
      <c r="B397" s="266"/>
      <c r="C397" s="266"/>
      <c r="D397" s="266"/>
      <c r="E397" s="266"/>
      <c r="F397" s="266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  <c r="AB397" s="266"/>
      <c r="AC397" s="266"/>
    </row>
    <row r="398" spans="2:29" x14ac:dyDescent="0.25">
      <c r="B398" s="266"/>
      <c r="C398" s="266"/>
      <c r="D398" s="266"/>
      <c r="E398" s="266"/>
      <c r="F398" s="266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  <c r="AB398" s="266"/>
      <c r="AC398" s="266"/>
    </row>
    <row r="399" spans="2:29" x14ac:dyDescent="0.25">
      <c r="B399" s="266"/>
      <c r="C399" s="266"/>
      <c r="D399" s="266"/>
      <c r="E399" s="266"/>
      <c r="F399" s="266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  <c r="AB399" s="266"/>
      <c r="AC399" s="266"/>
    </row>
    <row r="400" spans="2:29" x14ac:dyDescent="0.25">
      <c r="B400" s="266"/>
      <c r="C400" s="266"/>
      <c r="D400" s="266"/>
      <c r="E400" s="266"/>
      <c r="F400" s="266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  <c r="AB400" s="266"/>
      <c r="AC400" s="266"/>
    </row>
    <row r="401" spans="2:29" x14ac:dyDescent="0.25">
      <c r="B401" s="266"/>
      <c r="C401" s="266"/>
      <c r="D401" s="266"/>
      <c r="E401" s="266"/>
      <c r="F401" s="266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  <c r="AB401" s="266"/>
      <c r="AC401" s="266"/>
    </row>
    <row r="402" spans="2:29" x14ac:dyDescent="0.25">
      <c r="B402" s="266"/>
      <c r="C402" s="266"/>
      <c r="D402" s="266"/>
      <c r="E402" s="266"/>
      <c r="F402" s="266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  <c r="AB402" s="266"/>
      <c r="AC402" s="266"/>
    </row>
    <row r="403" spans="2:29" x14ac:dyDescent="0.25">
      <c r="B403" s="266"/>
      <c r="C403" s="266"/>
      <c r="D403" s="266"/>
      <c r="E403" s="266"/>
      <c r="F403" s="266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  <c r="AB403" s="266"/>
      <c r="AC403" s="266"/>
    </row>
    <row r="404" spans="2:29" x14ac:dyDescent="0.25">
      <c r="B404" s="266"/>
      <c r="C404" s="266"/>
      <c r="D404" s="266"/>
      <c r="E404" s="266"/>
      <c r="F404" s="266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  <c r="AB404" s="266"/>
      <c r="AC404" s="266"/>
    </row>
    <row r="405" spans="2:29" x14ac:dyDescent="0.25">
      <c r="B405" s="266"/>
      <c r="C405" s="266"/>
      <c r="D405" s="266"/>
      <c r="E405" s="266"/>
      <c r="F405" s="266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  <c r="AB405" s="266"/>
      <c r="AC405" s="266"/>
    </row>
    <row r="406" spans="2:29" x14ac:dyDescent="0.25">
      <c r="B406" s="266"/>
      <c r="C406" s="266"/>
      <c r="D406" s="266"/>
      <c r="E406" s="266"/>
      <c r="F406" s="266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  <c r="AB406" s="266"/>
      <c r="AC406" s="266"/>
    </row>
    <row r="407" spans="2:29" x14ac:dyDescent="0.25"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  <c r="AB407" s="266"/>
      <c r="AC407" s="266"/>
    </row>
    <row r="408" spans="2:29" x14ac:dyDescent="0.25">
      <c r="B408" s="266"/>
      <c r="C408" s="266"/>
      <c r="D408" s="266"/>
      <c r="E408" s="266"/>
      <c r="F408" s="266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  <c r="AB408" s="266"/>
      <c r="AC408" s="266"/>
    </row>
    <row r="409" spans="2:29" x14ac:dyDescent="0.25">
      <c r="B409" s="266"/>
      <c r="C409" s="266"/>
      <c r="D409" s="266"/>
      <c r="E409" s="266"/>
      <c r="F409" s="266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  <c r="AB409" s="266"/>
      <c r="AC409" s="266"/>
    </row>
    <row r="410" spans="2:29" x14ac:dyDescent="0.25">
      <c r="B410" s="266"/>
      <c r="C410" s="266"/>
      <c r="D410" s="266"/>
      <c r="E410" s="266"/>
      <c r="F410" s="266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  <c r="AB410" s="266"/>
      <c r="AC410" s="266"/>
    </row>
    <row r="411" spans="2:29" x14ac:dyDescent="0.25">
      <c r="B411" s="266"/>
      <c r="C411" s="266"/>
      <c r="D411" s="266"/>
      <c r="E411" s="266"/>
      <c r="F411" s="266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  <c r="AB411" s="266"/>
      <c r="AC411" s="266"/>
    </row>
    <row r="412" spans="2:29" x14ac:dyDescent="0.25">
      <c r="B412" s="266"/>
      <c r="C412" s="266"/>
      <c r="D412" s="266"/>
      <c r="E412" s="266"/>
      <c r="F412" s="266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  <c r="AB412" s="266"/>
      <c r="AC412" s="266"/>
    </row>
    <row r="413" spans="2:29" x14ac:dyDescent="0.25">
      <c r="B413" s="266"/>
      <c r="C413" s="266"/>
      <c r="D413" s="266"/>
      <c r="E413" s="266"/>
      <c r="F413" s="266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  <c r="AB413" s="266"/>
      <c r="AC413" s="266"/>
    </row>
    <row r="414" spans="2:29" x14ac:dyDescent="0.25">
      <c r="B414" s="266"/>
      <c r="C414" s="266"/>
      <c r="D414" s="266"/>
      <c r="E414" s="266"/>
      <c r="F414" s="266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  <c r="AB414" s="266"/>
      <c r="AC414" s="266"/>
    </row>
    <row r="415" spans="2:29" x14ac:dyDescent="0.25">
      <c r="B415" s="266"/>
      <c r="C415" s="266"/>
      <c r="D415" s="266"/>
      <c r="E415" s="266"/>
      <c r="F415" s="266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  <c r="AB415" s="266"/>
      <c r="AC415" s="266"/>
    </row>
    <row r="416" spans="2:29" x14ac:dyDescent="0.25">
      <c r="B416" s="266"/>
      <c r="C416" s="266"/>
      <c r="D416" s="266"/>
      <c r="E416" s="266"/>
      <c r="F416" s="266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  <c r="AB416" s="266"/>
      <c r="AC416" s="266"/>
    </row>
    <row r="417" spans="2:29" x14ac:dyDescent="0.25">
      <c r="B417" s="266"/>
      <c r="C417" s="266"/>
      <c r="D417" s="266"/>
      <c r="E417" s="266"/>
      <c r="F417" s="266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  <c r="AB417" s="266"/>
      <c r="AC417" s="266"/>
    </row>
    <row r="418" spans="2:29" x14ac:dyDescent="0.25">
      <c r="B418" s="266"/>
      <c r="C418" s="266"/>
      <c r="D418" s="266"/>
      <c r="E418" s="266"/>
      <c r="F418" s="266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  <c r="AB418" s="266"/>
      <c r="AC418" s="266"/>
    </row>
    <row r="419" spans="2:29" x14ac:dyDescent="0.25">
      <c r="B419" s="266"/>
      <c r="C419" s="266"/>
      <c r="D419" s="266"/>
      <c r="E419" s="266"/>
      <c r="F419" s="266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  <c r="AB419" s="266"/>
      <c r="AC419" s="266"/>
    </row>
    <row r="420" spans="2:29" x14ac:dyDescent="0.25">
      <c r="B420" s="266"/>
      <c r="C420" s="266"/>
      <c r="D420" s="266"/>
      <c r="E420" s="266"/>
      <c r="F420" s="266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  <c r="AB420" s="266"/>
      <c r="AC420" s="266"/>
    </row>
    <row r="421" spans="2:29" x14ac:dyDescent="0.25">
      <c r="B421" s="266"/>
      <c r="C421" s="266"/>
      <c r="D421" s="266"/>
      <c r="E421" s="266"/>
      <c r="F421" s="266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  <c r="AB421" s="266"/>
      <c r="AC421" s="266"/>
    </row>
    <row r="422" spans="2:29" x14ac:dyDescent="0.25">
      <c r="B422" s="266"/>
      <c r="C422" s="266"/>
      <c r="D422" s="266"/>
      <c r="E422" s="266"/>
      <c r="F422" s="266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  <c r="AB422" s="266"/>
      <c r="AC422" s="266"/>
    </row>
    <row r="423" spans="2:29" x14ac:dyDescent="0.25">
      <c r="B423" s="266"/>
      <c r="C423" s="266"/>
      <c r="D423" s="266"/>
      <c r="E423" s="266"/>
      <c r="F423" s="266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  <c r="AB423" s="266"/>
      <c r="AC423" s="266"/>
    </row>
    <row r="424" spans="2:29" x14ac:dyDescent="0.25">
      <c r="B424" s="266"/>
      <c r="C424" s="266"/>
      <c r="D424" s="266"/>
      <c r="E424" s="266"/>
      <c r="F424" s="266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  <c r="AB424" s="266"/>
      <c r="AC424" s="266"/>
    </row>
    <row r="425" spans="2:29" x14ac:dyDescent="0.25">
      <c r="B425" s="266"/>
      <c r="C425" s="266"/>
      <c r="D425" s="266"/>
      <c r="E425" s="266"/>
      <c r="F425" s="266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  <c r="AB425" s="266"/>
      <c r="AC425" s="266"/>
    </row>
    <row r="426" spans="2:29" x14ac:dyDescent="0.25">
      <c r="B426" s="266"/>
      <c r="C426" s="266"/>
      <c r="D426" s="266"/>
      <c r="E426" s="266"/>
      <c r="F426" s="266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  <c r="AB426" s="266"/>
      <c r="AC426" s="266"/>
    </row>
    <row r="427" spans="2:29" x14ac:dyDescent="0.25">
      <c r="B427" s="266"/>
      <c r="C427" s="266"/>
      <c r="D427" s="266"/>
      <c r="E427" s="266"/>
      <c r="F427" s="266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  <c r="AB427" s="266"/>
      <c r="AC427" s="266"/>
    </row>
    <row r="428" spans="2:29" x14ac:dyDescent="0.25">
      <c r="B428" s="266"/>
      <c r="C428" s="266"/>
      <c r="D428" s="266"/>
      <c r="E428" s="266"/>
      <c r="F428" s="266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  <c r="AB428" s="266"/>
      <c r="AC428" s="266"/>
    </row>
    <row r="429" spans="2:29" x14ac:dyDescent="0.25">
      <c r="B429" s="266"/>
      <c r="C429" s="266"/>
      <c r="D429" s="266"/>
      <c r="E429" s="266"/>
      <c r="F429" s="266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  <c r="AB429" s="266"/>
      <c r="AC429" s="266"/>
    </row>
    <row r="430" spans="2:29" x14ac:dyDescent="0.25">
      <c r="B430" s="266"/>
      <c r="C430" s="266"/>
      <c r="D430" s="266"/>
      <c r="E430" s="266"/>
      <c r="F430" s="266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  <c r="AB430" s="266"/>
      <c r="AC430" s="266"/>
    </row>
    <row r="431" spans="2:29" x14ac:dyDescent="0.25">
      <c r="B431" s="266"/>
      <c r="C431" s="266"/>
      <c r="D431" s="266"/>
      <c r="E431" s="266"/>
      <c r="F431" s="266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6"/>
      <c r="AC431" s="266"/>
    </row>
    <row r="432" spans="2:29" x14ac:dyDescent="0.25">
      <c r="B432" s="266"/>
      <c r="C432" s="266"/>
      <c r="D432" s="266"/>
      <c r="E432" s="266"/>
      <c r="F432" s="266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  <c r="AB432" s="266"/>
      <c r="AC432" s="266"/>
    </row>
    <row r="433" spans="2:29" x14ac:dyDescent="0.25">
      <c r="B433" s="266"/>
      <c r="C433" s="266"/>
      <c r="D433" s="266"/>
      <c r="E433" s="266"/>
      <c r="F433" s="266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  <c r="AB433" s="266"/>
      <c r="AC433" s="266"/>
    </row>
    <row r="434" spans="2:29" x14ac:dyDescent="0.25">
      <c r="B434" s="266"/>
      <c r="C434" s="266"/>
      <c r="D434" s="266"/>
      <c r="E434" s="266"/>
      <c r="F434" s="266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  <c r="AB434" s="266"/>
      <c r="AC434" s="266"/>
    </row>
    <row r="435" spans="2:29" x14ac:dyDescent="0.25">
      <c r="B435" s="266"/>
      <c r="C435" s="266"/>
      <c r="D435" s="266"/>
      <c r="E435" s="266"/>
      <c r="F435" s="266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  <c r="AB435" s="266"/>
      <c r="AC435" s="266"/>
    </row>
    <row r="436" spans="2:29" x14ac:dyDescent="0.25">
      <c r="B436" s="266"/>
      <c r="C436" s="266"/>
      <c r="D436" s="266"/>
      <c r="E436" s="266"/>
      <c r="F436" s="266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  <c r="AB436" s="266"/>
      <c r="AC436" s="266"/>
    </row>
    <row r="437" spans="2:29" x14ac:dyDescent="0.25">
      <c r="B437" s="266"/>
      <c r="C437" s="266"/>
      <c r="D437" s="266"/>
      <c r="E437" s="266"/>
      <c r="F437" s="266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  <c r="AB437" s="266"/>
      <c r="AC437" s="266"/>
    </row>
    <row r="438" spans="2:29" x14ac:dyDescent="0.25"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  <c r="AB438" s="266"/>
      <c r="AC438" s="266"/>
    </row>
    <row r="439" spans="2:29" x14ac:dyDescent="0.25">
      <c r="B439" s="266"/>
      <c r="C439" s="266"/>
      <c r="D439" s="266"/>
      <c r="E439" s="266"/>
      <c r="F439" s="266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  <c r="AB439" s="266"/>
      <c r="AC439" s="266"/>
    </row>
    <row r="440" spans="2:29" x14ac:dyDescent="0.25">
      <c r="B440" s="266"/>
      <c r="C440" s="266"/>
      <c r="D440" s="266"/>
      <c r="E440" s="266"/>
      <c r="F440" s="266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  <c r="AB440" s="266"/>
      <c r="AC440" s="266"/>
    </row>
    <row r="441" spans="2:29" x14ac:dyDescent="0.25">
      <c r="B441" s="266"/>
      <c r="C441" s="266"/>
      <c r="D441" s="266"/>
      <c r="E441" s="266"/>
      <c r="F441" s="266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  <c r="AB441" s="266"/>
      <c r="AC441" s="266"/>
    </row>
    <row r="442" spans="2:29" x14ac:dyDescent="0.25">
      <c r="B442" s="266"/>
      <c r="C442" s="266"/>
      <c r="D442" s="266"/>
      <c r="E442" s="266"/>
      <c r="F442" s="266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  <c r="AB442" s="266"/>
      <c r="AC442" s="266"/>
    </row>
    <row r="443" spans="2:29" x14ac:dyDescent="0.25">
      <c r="B443" s="266"/>
      <c r="C443" s="266"/>
      <c r="D443" s="266"/>
      <c r="E443" s="266"/>
      <c r="F443" s="266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  <c r="AB443" s="266"/>
      <c r="AC443" s="266"/>
    </row>
    <row r="444" spans="2:29" x14ac:dyDescent="0.25">
      <c r="B444" s="266"/>
      <c r="C444" s="266"/>
      <c r="D444" s="266"/>
      <c r="E444" s="266"/>
      <c r="F444" s="266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  <c r="AB444" s="266"/>
      <c r="AC444" s="266"/>
    </row>
    <row r="445" spans="2:29" x14ac:dyDescent="0.25">
      <c r="B445" s="266"/>
      <c r="C445" s="266"/>
      <c r="D445" s="266"/>
      <c r="E445" s="266"/>
      <c r="F445" s="266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  <c r="AB445" s="266"/>
      <c r="AC445" s="266"/>
    </row>
    <row r="446" spans="2:29" x14ac:dyDescent="0.25">
      <c r="B446" s="266"/>
      <c r="C446" s="266"/>
      <c r="D446" s="266"/>
      <c r="E446" s="266"/>
      <c r="F446" s="266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  <c r="AB446" s="266"/>
      <c r="AC446" s="266"/>
    </row>
    <row r="447" spans="2:29" x14ac:dyDescent="0.25">
      <c r="B447" s="266"/>
      <c r="C447" s="266"/>
      <c r="D447" s="266"/>
      <c r="E447" s="266"/>
      <c r="F447" s="266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  <c r="AB447" s="266"/>
      <c r="AC447" s="266"/>
    </row>
    <row r="448" spans="2:29" x14ac:dyDescent="0.25">
      <c r="B448" s="266"/>
      <c r="C448" s="266"/>
      <c r="D448" s="266"/>
      <c r="E448" s="266"/>
      <c r="F448" s="266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  <c r="AB448" s="266"/>
      <c r="AC448" s="266"/>
    </row>
    <row r="449" spans="2:29" x14ac:dyDescent="0.25">
      <c r="B449" s="266"/>
      <c r="C449" s="266"/>
      <c r="D449" s="266"/>
      <c r="E449" s="266"/>
      <c r="F449" s="266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  <c r="AB449" s="266"/>
      <c r="AC449" s="266"/>
    </row>
    <row r="450" spans="2:29" x14ac:dyDescent="0.25">
      <c r="B450" s="266"/>
      <c r="C450" s="266"/>
      <c r="D450" s="266"/>
      <c r="E450" s="266"/>
      <c r="F450" s="266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  <c r="AB450" s="266"/>
      <c r="AC450" s="266"/>
    </row>
    <row r="451" spans="2:29" x14ac:dyDescent="0.25">
      <c r="B451" s="266"/>
      <c r="C451" s="266"/>
      <c r="D451" s="266"/>
      <c r="E451" s="266"/>
      <c r="F451" s="266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  <c r="AB451" s="266"/>
      <c r="AC451" s="266"/>
    </row>
    <row r="452" spans="2:29" x14ac:dyDescent="0.25">
      <c r="B452" s="266"/>
      <c r="C452" s="266"/>
      <c r="D452" s="266"/>
      <c r="E452" s="266"/>
      <c r="F452" s="266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  <c r="AB452" s="266"/>
      <c r="AC452" s="266"/>
    </row>
    <row r="453" spans="2:29" x14ac:dyDescent="0.25">
      <c r="B453" s="266"/>
      <c r="C453" s="266"/>
      <c r="D453" s="266"/>
      <c r="E453" s="266"/>
      <c r="F453" s="266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  <c r="AB453" s="266"/>
      <c r="AC453" s="266"/>
    </row>
    <row r="454" spans="2:29" x14ac:dyDescent="0.25">
      <c r="B454" s="266"/>
      <c r="C454" s="266"/>
      <c r="D454" s="266"/>
      <c r="E454" s="266"/>
      <c r="F454" s="266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  <c r="AB454" s="266"/>
      <c r="AC454" s="266"/>
    </row>
    <row r="455" spans="2:29" x14ac:dyDescent="0.25">
      <c r="B455" s="266"/>
      <c r="C455" s="266"/>
      <c r="D455" s="266"/>
      <c r="E455" s="266"/>
      <c r="F455" s="266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  <c r="AB455" s="266"/>
      <c r="AC455" s="266"/>
    </row>
    <row r="456" spans="2:29" x14ac:dyDescent="0.25">
      <c r="B456" s="266"/>
      <c r="C456" s="266"/>
      <c r="D456" s="266"/>
      <c r="E456" s="266"/>
      <c r="F456" s="266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  <c r="AB456" s="266"/>
      <c r="AC456" s="266"/>
    </row>
    <row r="457" spans="2:29" x14ac:dyDescent="0.25">
      <c r="B457" s="266"/>
      <c r="C457" s="266"/>
      <c r="D457" s="266"/>
      <c r="E457" s="266"/>
      <c r="F457" s="266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  <c r="AB457" s="266"/>
      <c r="AC457" s="266"/>
    </row>
    <row r="458" spans="2:29" x14ac:dyDescent="0.25">
      <c r="B458" s="266"/>
      <c r="C458" s="266"/>
      <c r="D458" s="266"/>
      <c r="E458" s="266"/>
      <c r="F458" s="266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  <c r="AB458" s="266"/>
      <c r="AC458" s="266"/>
    </row>
    <row r="459" spans="2:29" x14ac:dyDescent="0.25">
      <c r="B459" s="266"/>
      <c r="C459" s="266"/>
      <c r="D459" s="266"/>
      <c r="E459" s="266"/>
      <c r="F459" s="266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  <c r="AB459" s="266"/>
      <c r="AC459" s="266"/>
    </row>
    <row r="460" spans="2:29" x14ac:dyDescent="0.25">
      <c r="B460" s="266"/>
      <c r="C460" s="266"/>
      <c r="D460" s="266"/>
      <c r="E460" s="266"/>
      <c r="F460" s="266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  <c r="AB460" s="266"/>
      <c r="AC460" s="266"/>
    </row>
    <row r="461" spans="2:29" x14ac:dyDescent="0.25">
      <c r="B461" s="266"/>
      <c r="C461" s="266"/>
      <c r="D461" s="266"/>
      <c r="E461" s="266"/>
      <c r="F461" s="266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  <c r="AB461" s="266"/>
      <c r="AC461" s="266"/>
    </row>
    <row r="462" spans="2:29" x14ac:dyDescent="0.25">
      <c r="B462" s="266"/>
      <c r="C462" s="266"/>
      <c r="D462" s="266"/>
      <c r="E462" s="266"/>
      <c r="F462" s="266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  <c r="AB462" s="266"/>
      <c r="AC462" s="266"/>
    </row>
    <row r="463" spans="2:29" x14ac:dyDescent="0.25">
      <c r="B463" s="266"/>
      <c r="C463" s="266"/>
      <c r="D463" s="266"/>
      <c r="E463" s="266"/>
      <c r="F463" s="266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  <c r="AB463" s="266"/>
      <c r="AC463" s="266"/>
    </row>
    <row r="464" spans="2:29" x14ac:dyDescent="0.25">
      <c r="B464" s="266"/>
      <c r="C464" s="266"/>
      <c r="D464" s="266"/>
      <c r="E464" s="266"/>
      <c r="F464" s="266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  <c r="AB464" s="266"/>
      <c r="AC464" s="266"/>
    </row>
    <row r="465" spans="2:29" x14ac:dyDescent="0.25">
      <c r="B465" s="266"/>
      <c r="C465" s="266"/>
      <c r="D465" s="266"/>
      <c r="E465" s="266"/>
      <c r="F465" s="266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  <c r="AB465" s="266"/>
      <c r="AC465" s="266"/>
    </row>
    <row r="466" spans="2:29" x14ac:dyDescent="0.25">
      <c r="B466" s="266"/>
      <c r="C466" s="266"/>
      <c r="D466" s="266"/>
      <c r="E466" s="266"/>
      <c r="F466" s="266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  <c r="AB466" s="266"/>
      <c r="AC466" s="266"/>
    </row>
    <row r="467" spans="2:29" x14ac:dyDescent="0.25">
      <c r="B467" s="266"/>
      <c r="C467" s="266"/>
      <c r="D467" s="266"/>
      <c r="E467" s="266"/>
      <c r="F467" s="266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  <c r="AB467" s="266"/>
      <c r="AC467" s="266"/>
    </row>
    <row r="468" spans="2:29" x14ac:dyDescent="0.25">
      <c r="B468" s="266"/>
      <c r="C468" s="266"/>
      <c r="D468" s="266"/>
      <c r="E468" s="266"/>
      <c r="F468" s="266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  <c r="AB468" s="266"/>
      <c r="AC468" s="266"/>
    </row>
    <row r="469" spans="2:29" x14ac:dyDescent="0.25"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  <c r="AB469" s="266"/>
      <c r="AC469" s="266"/>
    </row>
    <row r="470" spans="2:29" x14ac:dyDescent="0.25">
      <c r="B470" s="266"/>
      <c r="C470" s="266"/>
      <c r="D470" s="266"/>
      <c r="E470" s="266"/>
      <c r="F470" s="266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  <c r="AB470" s="266"/>
      <c r="AC470" s="266"/>
    </row>
    <row r="471" spans="2:29" x14ac:dyDescent="0.25">
      <c r="B471" s="266"/>
      <c r="C471" s="266"/>
      <c r="D471" s="266"/>
      <c r="E471" s="266"/>
      <c r="F471" s="266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  <c r="AB471" s="266"/>
      <c r="AC471" s="266"/>
    </row>
    <row r="472" spans="2:29" x14ac:dyDescent="0.25">
      <c r="B472" s="266"/>
      <c r="C472" s="266"/>
      <c r="D472" s="266"/>
      <c r="E472" s="266"/>
      <c r="F472" s="266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  <c r="AB472" s="266"/>
      <c r="AC472" s="266"/>
    </row>
    <row r="473" spans="2:29" x14ac:dyDescent="0.25">
      <c r="B473" s="266"/>
      <c r="C473" s="266"/>
      <c r="D473" s="266"/>
      <c r="E473" s="266"/>
      <c r="F473" s="266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  <c r="AB473" s="266"/>
      <c r="AC473" s="266"/>
    </row>
    <row r="474" spans="2:29" x14ac:dyDescent="0.25">
      <c r="B474" s="266"/>
      <c r="C474" s="266"/>
      <c r="D474" s="266"/>
      <c r="E474" s="266"/>
      <c r="F474" s="266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  <c r="AB474" s="266"/>
      <c r="AC474" s="266"/>
    </row>
    <row r="475" spans="2:29" x14ac:dyDescent="0.25">
      <c r="B475" s="266"/>
      <c r="C475" s="266"/>
      <c r="D475" s="266"/>
      <c r="E475" s="266"/>
      <c r="F475" s="266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  <c r="AB475" s="266"/>
      <c r="AC475" s="266"/>
    </row>
    <row r="476" spans="2:29" x14ac:dyDescent="0.25">
      <c r="B476" s="266"/>
      <c r="C476" s="266"/>
      <c r="D476" s="266"/>
      <c r="E476" s="266"/>
      <c r="F476" s="266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  <c r="AB476" s="266"/>
      <c r="AC476" s="266"/>
    </row>
    <row r="477" spans="2:29" x14ac:dyDescent="0.25">
      <c r="B477" s="266"/>
      <c r="C477" s="266"/>
      <c r="D477" s="266"/>
      <c r="E477" s="266"/>
      <c r="F477" s="266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  <c r="AB477" s="266"/>
      <c r="AC477" s="266"/>
    </row>
    <row r="478" spans="2:29" x14ac:dyDescent="0.25">
      <c r="B478" s="266"/>
      <c r="C478" s="266"/>
      <c r="D478" s="266"/>
      <c r="E478" s="266"/>
      <c r="F478" s="266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  <c r="AB478" s="266"/>
      <c r="AC478" s="266"/>
    </row>
    <row r="479" spans="2:29" x14ac:dyDescent="0.25">
      <c r="B479" s="266"/>
      <c r="C479" s="266"/>
      <c r="D479" s="266"/>
      <c r="E479" s="266"/>
      <c r="F479" s="266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  <c r="AB479" s="266"/>
      <c r="AC479" s="266"/>
    </row>
    <row r="480" spans="2:29" x14ac:dyDescent="0.25">
      <c r="B480" s="266"/>
      <c r="C480" s="266"/>
      <c r="D480" s="266"/>
      <c r="E480" s="266"/>
      <c r="F480" s="266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  <c r="AB480" s="266"/>
      <c r="AC480" s="266"/>
    </row>
    <row r="481" spans="2:29" x14ac:dyDescent="0.25">
      <c r="B481" s="266"/>
      <c r="C481" s="266"/>
      <c r="D481" s="266"/>
      <c r="E481" s="266"/>
      <c r="F481" s="266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  <c r="AB481" s="266"/>
      <c r="AC481" s="266"/>
    </row>
    <row r="482" spans="2:29" x14ac:dyDescent="0.25">
      <c r="B482" s="266"/>
      <c r="C482" s="266"/>
      <c r="D482" s="266"/>
      <c r="E482" s="266"/>
      <c r="F482" s="266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  <c r="AB482" s="266"/>
      <c r="AC482" s="266"/>
    </row>
    <row r="483" spans="2:29" x14ac:dyDescent="0.25">
      <c r="B483" s="266"/>
      <c r="C483" s="266"/>
      <c r="D483" s="266"/>
      <c r="E483" s="266"/>
      <c r="F483" s="266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  <c r="AB483" s="266"/>
      <c r="AC483" s="266"/>
    </row>
    <row r="484" spans="2:29" x14ac:dyDescent="0.25">
      <c r="B484" s="266"/>
      <c r="C484" s="266"/>
      <c r="D484" s="266"/>
      <c r="E484" s="266"/>
      <c r="F484" s="266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  <c r="AB484" s="266"/>
      <c r="AC484" s="266"/>
    </row>
    <row r="485" spans="2:29" x14ac:dyDescent="0.25">
      <c r="B485" s="266"/>
      <c r="C485" s="266"/>
      <c r="D485" s="266"/>
      <c r="E485" s="266"/>
      <c r="F485" s="266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  <c r="AB485" s="266"/>
      <c r="AC485" s="266"/>
    </row>
    <row r="486" spans="2:29" x14ac:dyDescent="0.25">
      <c r="B486" s="266"/>
      <c r="C486" s="266"/>
      <c r="D486" s="266"/>
      <c r="E486" s="266"/>
      <c r="F486" s="266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  <c r="AB486" s="266"/>
      <c r="AC486" s="266"/>
    </row>
    <row r="487" spans="2:29" x14ac:dyDescent="0.25">
      <c r="B487" s="266"/>
      <c r="C487" s="266"/>
      <c r="D487" s="266"/>
      <c r="E487" s="266"/>
      <c r="F487" s="266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  <c r="AB487" s="266"/>
      <c r="AC487" s="266"/>
    </row>
    <row r="488" spans="2:29" x14ac:dyDescent="0.25">
      <c r="B488" s="266"/>
      <c r="C488" s="266"/>
      <c r="D488" s="266"/>
      <c r="E488" s="266"/>
      <c r="F488" s="266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  <c r="AB488" s="266"/>
      <c r="AC488" s="266"/>
    </row>
    <row r="489" spans="2:29" x14ac:dyDescent="0.25">
      <c r="B489" s="266"/>
      <c r="C489" s="266"/>
      <c r="D489" s="266"/>
      <c r="E489" s="266"/>
      <c r="F489" s="266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  <c r="AB489" s="266"/>
      <c r="AC489" s="266"/>
    </row>
    <row r="490" spans="2:29" x14ac:dyDescent="0.25">
      <c r="B490" s="266"/>
      <c r="C490" s="266"/>
      <c r="D490" s="266"/>
      <c r="E490" s="266"/>
      <c r="F490" s="266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  <c r="AB490" s="266"/>
      <c r="AC490" s="266"/>
    </row>
    <row r="491" spans="2:29" x14ac:dyDescent="0.25">
      <c r="B491" s="266"/>
      <c r="C491" s="266"/>
      <c r="D491" s="266"/>
      <c r="E491" s="266"/>
      <c r="F491" s="266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  <c r="AB491" s="266"/>
      <c r="AC491" s="266"/>
    </row>
    <row r="492" spans="2:29" x14ac:dyDescent="0.25">
      <c r="B492" s="266"/>
      <c r="C492" s="266"/>
      <c r="D492" s="266"/>
      <c r="E492" s="266"/>
      <c r="F492" s="266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  <c r="AB492" s="266"/>
      <c r="AC492" s="266"/>
    </row>
    <row r="493" spans="2:29" x14ac:dyDescent="0.25">
      <c r="B493" s="266"/>
      <c r="C493" s="266"/>
      <c r="D493" s="266"/>
      <c r="E493" s="266"/>
      <c r="F493" s="266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  <c r="AB493" s="266"/>
      <c r="AC493" s="266"/>
    </row>
    <row r="494" spans="2:29" x14ac:dyDescent="0.25">
      <c r="B494" s="266"/>
      <c r="C494" s="266"/>
      <c r="D494" s="266"/>
      <c r="E494" s="266"/>
      <c r="F494" s="266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  <c r="AB494" s="266"/>
      <c r="AC494" s="266"/>
    </row>
    <row r="495" spans="2:29" x14ac:dyDescent="0.25">
      <c r="B495" s="266"/>
      <c r="C495" s="266"/>
      <c r="D495" s="266"/>
      <c r="E495" s="266"/>
      <c r="F495" s="266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  <c r="AB495" s="266"/>
      <c r="AC495" s="266"/>
    </row>
    <row r="496" spans="2:29" x14ac:dyDescent="0.25">
      <c r="B496" s="266"/>
      <c r="C496" s="266"/>
      <c r="D496" s="266"/>
      <c r="E496" s="266"/>
      <c r="F496" s="266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  <c r="AB496" s="266"/>
      <c r="AC496" s="266"/>
    </row>
    <row r="497" spans="2:29" x14ac:dyDescent="0.25">
      <c r="B497" s="266"/>
      <c r="C497" s="266"/>
      <c r="D497" s="266"/>
      <c r="E497" s="266"/>
      <c r="F497" s="266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  <c r="AB497" s="266"/>
      <c r="AC497" s="266"/>
    </row>
    <row r="498" spans="2:29" x14ac:dyDescent="0.25">
      <c r="B498" s="266"/>
      <c r="C498" s="266"/>
      <c r="D498" s="266"/>
      <c r="E498" s="266"/>
      <c r="F498" s="266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  <c r="AB498" s="266"/>
      <c r="AC498" s="266"/>
    </row>
    <row r="499" spans="2:29" x14ac:dyDescent="0.25">
      <c r="B499" s="266"/>
      <c r="C499" s="266"/>
      <c r="D499" s="266"/>
      <c r="E499" s="266"/>
      <c r="F499" s="266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  <c r="AB499" s="266"/>
      <c r="AC499" s="266"/>
    </row>
    <row r="500" spans="2:29" x14ac:dyDescent="0.25"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  <c r="AB500" s="266"/>
      <c r="AC500" s="266"/>
    </row>
    <row r="501" spans="2:29" x14ac:dyDescent="0.25">
      <c r="B501" s="266"/>
      <c r="C501" s="266"/>
      <c r="D501" s="266"/>
      <c r="E501" s="266"/>
      <c r="F501" s="266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  <c r="AB501" s="266"/>
      <c r="AC501" s="266"/>
    </row>
    <row r="502" spans="2:29" x14ac:dyDescent="0.25">
      <c r="B502" s="266"/>
      <c r="C502" s="266"/>
      <c r="D502" s="266"/>
      <c r="E502" s="266"/>
      <c r="F502" s="266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  <c r="AB502" s="266"/>
      <c r="AC502" s="266"/>
    </row>
    <row r="503" spans="2:29" x14ac:dyDescent="0.25">
      <c r="B503" s="266"/>
      <c r="C503" s="266"/>
      <c r="D503" s="266"/>
      <c r="E503" s="266"/>
      <c r="F503" s="266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  <c r="AB503" s="266"/>
      <c r="AC503" s="266"/>
    </row>
    <row r="504" spans="2:29" x14ac:dyDescent="0.25">
      <c r="B504" s="266"/>
      <c r="C504" s="266"/>
      <c r="D504" s="266"/>
      <c r="E504" s="266"/>
      <c r="F504" s="266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  <c r="AB504" s="266"/>
      <c r="AC504" s="266"/>
    </row>
    <row r="505" spans="2:29" x14ac:dyDescent="0.25">
      <c r="B505" s="266"/>
      <c r="C505" s="266"/>
      <c r="D505" s="266"/>
      <c r="E505" s="266"/>
      <c r="F505" s="266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  <c r="AB505" s="266"/>
      <c r="AC505" s="266"/>
    </row>
    <row r="506" spans="2:29" x14ac:dyDescent="0.25">
      <c r="B506" s="266"/>
      <c r="C506" s="266"/>
      <c r="D506" s="266"/>
      <c r="E506" s="266"/>
      <c r="F506" s="266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  <c r="AB506" s="266"/>
      <c r="AC506" s="266"/>
    </row>
    <row r="507" spans="2:29" x14ac:dyDescent="0.25">
      <c r="B507" s="266"/>
      <c r="C507" s="266"/>
      <c r="D507" s="266"/>
      <c r="E507" s="266"/>
      <c r="F507" s="266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  <c r="AB507" s="266"/>
      <c r="AC507" s="266"/>
    </row>
    <row r="508" spans="2:29" x14ac:dyDescent="0.25">
      <c r="B508" s="266"/>
      <c r="C508" s="266"/>
      <c r="D508" s="266"/>
      <c r="E508" s="266"/>
      <c r="F508" s="266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  <c r="AB508" s="266"/>
      <c r="AC508" s="266"/>
    </row>
    <row r="509" spans="2:29" x14ac:dyDescent="0.25">
      <c r="B509" s="266"/>
      <c r="C509" s="266"/>
      <c r="D509" s="266"/>
      <c r="E509" s="266"/>
      <c r="F509" s="266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  <c r="AB509" s="266"/>
      <c r="AC509" s="266"/>
    </row>
    <row r="510" spans="2:29" x14ac:dyDescent="0.25">
      <c r="B510" s="266"/>
      <c r="C510" s="266"/>
      <c r="D510" s="266"/>
      <c r="E510" s="266"/>
      <c r="F510" s="266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  <c r="AB510" s="266"/>
      <c r="AC510" s="266"/>
    </row>
    <row r="511" spans="2:29" x14ac:dyDescent="0.25">
      <c r="B511" s="266"/>
      <c r="C511" s="266"/>
      <c r="D511" s="266"/>
      <c r="E511" s="266"/>
      <c r="F511" s="266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  <c r="AB511" s="266"/>
      <c r="AC511" s="266"/>
    </row>
    <row r="512" spans="2:29" x14ac:dyDescent="0.25">
      <c r="B512" s="266"/>
      <c r="C512" s="266"/>
      <c r="D512" s="266"/>
      <c r="E512" s="266"/>
      <c r="F512" s="266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  <c r="AB512" s="266"/>
      <c r="AC512" s="266"/>
    </row>
    <row r="513" spans="2:29" x14ac:dyDescent="0.25">
      <c r="B513" s="266"/>
      <c r="C513" s="266"/>
      <c r="D513" s="266"/>
      <c r="E513" s="266"/>
      <c r="F513" s="266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  <c r="AB513" s="266"/>
      <c r="AC513" s="266"/>
    </row>
    <row r="514" spans="2:29" x14ac:dyDescent="0.25">
      <c r="B514" s="266"/>
      <c r="C514" s="266"/>
      <c r="D514" s="266"/>
      <c r="E514" s="266"/>
      <c r="F514" s="266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  <c r="AB514" s="266"/>
      <c r="AC514" s="266"/>
    </row>
    <row r="515" spans="2:29" x14ac:dyDescent="0.25">
      <c r="B515" s="266"/>
      <c r="C515" s="266"/>
      <c r="D515" s="266"/>
      <c r="E515" s="266"/>
      <c r="F515" s="266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  <c r="AB515" s="266"/>
      <c r="AC515" s="266"/>
    </row>
    <row r="516" spans="2:29" x14ac:dyDescent="0.25">
      <c r="B516" s="266"/>
      <c r="C516" s="266"/>
      <c r="D516" s="266"/>
      <c r="E516" s="266"/>
      <c r="F516" s="266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  <c r="AB516" s="266"/>
      <c r="AC516" s="266"/>
    </row>
    <row r="517" spans="2:29" x14ac:dyDescent="0.25">
      <c r="B517" s="266"/>
      <c r="C517" s="266"/>
      <c r="D517" s="266"/>
      <c r="E517" s="266"/>
      <c r="F517" s="266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  <c r="AB517" s="266"/>
      <c r="AC517" s="266"/>
    </row>
    <row r="518" spans="2:29" x14ac:dyDescent="0.25">
      <c r="B518" s="266"/>
      <c r="C518" s="266"/>
      <c r="D518" s="266"/>
      <c r="E518" s="266"/>
      <c r="F518" s="266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  <c r="AB518" s="266"/>
      <c r="AC518" s="266"/>
    </row>
    <row r="519" spans="2:29" x14ac:dyDescent="0.25">
      <c r="B519" s="266"/>
      <c r="C519" s="266"/>
      <c r="D519" s="266"/>
      <c r="E519" s="266"/>
      <c r="F519" s="266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  <c r="AB519" s="266"/>
      <c r="AC519" s="266"/>
    </row>
    <row r="520" spans="2:29" x14ac:dyDescent="0.25">
      <c r="B520" s="266"/>
      <c r="C520" s="266"/>
      <c r="D520" s="266"/>
      <c r="E520" s="266"/>
      <c r="F520" s="266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  <c r="AB520" s="266"/>
      <c r="AC520" s="266"/>
    </row>
    <row r="521" spans="2:29" x14ac:dyDescent="0.25">
      <c r="B521" s="266"/>
      <c r="C521" s="266"/>
      <c r="D521" s="266"/>
      <c r="E521" s="266"/>
      <c r="F521" s="266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  <c r="AB521" s="266"/>
      <c r="AC521" s="266"/>
    </row>
    <row r="522" spans="2:29" x14ac:dyDescent="0.25">
      <c r="B522" s="266"/>
      <c r="C522" s="266"/>
      <c r="D522" s="266"/>
      <c r="E522" s="266"/>
      <c r="F522" s="266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  <c r="AB522" s="266"/>
      <c r="AC522" s="266"/>
    </row>
    <row r="523" spans="2:29" x14ac:dyDescent="0.25">
      <c r="B523" s="266"/>
      <c r="C523" s="266"/>
      <c r="D523" s="266"/>
      <c r="E523" s="266"/>
      <c r="F523" s="266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  <c r="AB523" s="266"/>
      <c r="AC523" s="266"/>
    </row>
    <row r="524" spans="2:29" x14ac:dyDescent="0.25">
      <c r="B524" s="266"/>
      <c r="C524" s="266"/>
      <c r="D524" s="266"/>
      <c r="E524" s="266"/>
      <c r="F524" s="266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  <c r="AB524" s="266"/>
      <c r="AC524" s="266"/>
    </row>
    <row r="525" spans="2:29" x14ac:dyDescent="0.25">
      <c r="B525" s="266"/>
      <c r="C525" s="266"/>
      <c r="D525" s="266"/>
      <c r="E525" s="266"/>
      <c r="F525" s="266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  <c r="AB525" s="266"/>
      <c r="AC525" s="266"/>
    </row>
    <row r="526" spans="2:29" x14ac:dyDescent="0.25">
      <c r="B526" s="266"/>
      <c r="C526" s="266"/>
      <c r="D526" s="266"/>
      <c r="E526" s="266"/>
      <c r="F526" s="266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  <c r="AB526" s="266"/>
      <c r="AC526" s="266"/>
    </row>
    <row r="527" spans="2:29" x14ac:dyDescent="0.25">
      <c r="B527" s="266"/>
      <c r="C527" s="266"/>
      <c r="D527" s="266"/>
      <c r="E527" s="266"/>
      <c r="F527" s="266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  <c r="AB527" s="266"/>
      <c r="AC527" s="266"/>
    </row>
    <row r="528" spans="2:29" x14ac:dyDescent="0.25">
      <c r="B528" s="266"/>
      <c r="C528" s="266"/>
      <c r="D528" s="266"/>
      <c r="E528" s="266"/>
      <c r="F528" s="266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  <c r="AB528" s="266"/>
      <c r="AC528" s="266"/>
    </row>
    <row r="529" spans="2:29" x14ac:dyDescent="0.25">
      <c r="B529" s="266"/>
      <c r="C529" s="266"/>
      <c r="D529" s="266"/>
      <c r="E529" s="266"/>
      <c r="F529" s="266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  <c r="AB529" s="266"/>
      <c r="AC529" s="266"/>
    </row>
    <row r="530" spans="2:29" x14ac:dyDescent="0.25">
      <c r="B530" s="266"/>
      <c r="C530" s="266"/>
      <c r="D530" s="266"/>
      <c r="E530" s="266"/>
      <c r="F530" s="266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  <c r="AB530" s="266"/>
      <c r="AC530" s="266"/>
    </row>
    <row r="531" spans="2:29" x14ac:dyDescent="0.25"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  <c r="AB531" s="266"/>
      <c r="AC531" s="266"/>
    </row>
    <row r="532" spans="2:29" x14ac:dyDescent="0.25">
      <c r="B532" s="266"/>
      <c r="C532" s="266"/>
      <c r="D532" s="266"/>
      <c r="E532" s="266"/>
      <c r="F532" s="266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  <c r="AB532" s="266"/>
      <c r="AC532" s="266"/>
    </row>
    <row r="533" spans="2:29" x14ac:dyDescent="0.25">
      <c r="B533" s="266"/>
      <c r="C533" s="266"/>
      <c r="D533" s="266"/>
      <c r="E533" s="266"/>
      <c r="F533" s="266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  <c r="AB533" s="266"/>
      <c r="AC533" s="266"/>
    </row>
    <row r="534" spans="2:29" x14ac:dyDescent="0.25">
      <c r="B534" s="266"/>
      <c r="C534" s="266"/>
      <c r="D534" s="266"/>
      <c r="E534" s="266"/>
      <c r="F534" s="266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  <c r="AB534" s="266"/>
      <c r="AC534" s="266"/>
    </row>
    <row r="535" spans="2:29" x14ac:dyDescent="0.25">
      <c r="B535" s="266"/>
      <c r="C535" s="266"/>
      <c r="D535" s="266"/>
      <c r="E535" s="266"/>
      <c r="F535" s="266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  <c r="AB535" s="266"/>
      <c r="AC535" s="266"/>
    </row>
    <row r="536" spans="2:29" x14ac:dyDescent="0.25">
      <c r="B536" s="266"/>
      <c r="C536" s="266"/>
      <c r="D536" s="266"/>
      <c r="E536" s="266"/>
      <c r="F536" s="266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  <c r="AB536" s="266"/>
      <c r="AC536" s="266"/>
    </row>
    <row r="537" spans="2:29" x14ac:dyDescent="0.25">
      <c r="B537" s="266"/>
      <c r="C537" s="266"/>
      <c r="D537" s="266"/>
      <c r="E537" s="266"/>
      <c r="F537" s="266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  <c r="AB537" s="266"/>
      <c r="AC537" s="266"/>
    </row>
    <row r="538" spans="2:29" x14ac:dyDescent="0.25">
      <c r="B538" s="266"/>
      <c r="C538" s="266"/>
      <c r="D538" s="266"/>
      <c r="E538" s="266"/>
      <c r="F538" s="266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  <c r="AB538" s="266"/>
      <c r="AC538" s="266"/>
    </row>
    <row r="539" spans="2:29" x14ac:dyDescent="0.25">
      <c r="B539" s="266"/>
      <c r="C539" s="266"/>
      <c r="D539" s="266"/>
      <c r="E539" s="266"/>
      <c r="F539" s="266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  <c r="AB539" s="266"/>
      <c r="AC539" s="266"/>
    </row>
    <row r="540" spans="2:29" x14ac:dyDescent="0.25">
      <c r="B540" s="266"/>
      <c r="C540" s="266"/>
      <c r="D540" s="266"/>
      <c r="E540" s="266"/>
      <c r="F540" s="266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  <c r="AB540" s="266"/>
      <c r="AC540" s="266"/>
    </row>
    <row r="541" spans="2:29" x14ac:dyDescent="0.25">
      <c r="B541" s="266"/>
      <c r="C541" s="266"/>
      <c r="D541" s="266"/>
      <c r="E541" s="266"/>
      <c r="F541" s="266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  <c r="AB541" s="266"/>
      <c r="AC541" s="266"/>
    </row>
    <row r="542" spans="2:29" x14ac:dyDescent="0.25">
      <c r="B542" s="266"/>
      <c r="C542" s="266"/>
      <c r="D542" s="266"/>
      <c r="E542" s="266"/>
      <c r="F542" s="266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  <c r="AB542" s="266"/>
      <c r="AC542" s="266"/>
    </row>
    <row r="543" spans="2:29" x14ac:dyDescent="0.25">
      <c r="B543" s="266"/>
      <c r="C543" s="266"/>
      <c r="D543" s="266"/>
      <c r="E543" s="266"/>
      <c r="F543" s="266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  <c r="AB543" s="266"/>
      <c r="AC543" s="266"/>
    </row>
    <row r="544" spans="2:29" x14ac:dyDescent="0.25">
      <c r="B544" s="266"/>
      <c r="C544" s="266"/>
      <c r="D544" s="266"/>
      <c r="E544" s="266"/>
      <c r="F544" s="266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  <c r="AB544" s="266"/>
      <c r="AC544" s="266"/>
    </row>
    <row r="545" spans="2:29" x14ac:dyDescent="0.25">
      <c r="B545" s="266"/>
      <c r="C545" s="266"/>
      <c r="D545" s="266"/>
      <c r="E545" s="266"/>
      <c r="F545" s="266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  <c r="AB545" s="266"/>
      <c r="AC545" s="266"/>
    </row>
    <row r="546" spans="2:29" x14ac:dyDescent="0.25">
      <c r="B546" s="266"/>
      <c r="C546" s="266"/>
      <c r="D546" s="266"/>
      <c r="E546" s="266"/>
      <c r="F546" s="266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  <c r="AB546" s="266"/>
      <c r="AC546" s="266"/>
    </row>
    <row r="547" spans="2:29" x14ac:dyDescent="0.25">
      <c r="B547" s="266"/>
      <c r="C547" s="266"/>
      <c r="D547" s="266"/>
      <c r="E547" s="266"/>
      <c r="F547" s="266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  <c r="AB547" s="266"/>
      <c r="AC547" s="266"/>
    </row>
    <row r="548" spans="2:29" x14ac:dyDescent="0.25">
      <c r="B548" s="266"/>
      <c r="C548" s="266"/>
      <c r="D548" s="266"/>
      <c r="E548" s="266"/>
      <c r="F548" s="266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  <c r="AB548" s="266"/>
      <c r="AC548" s="266"/>
    </row>
    <row r="549" spans="2:29" x14ac:dyDescent="0.25">
      <c r="B549" s="266"/>
      <c r="C549" s="266"/>
      <c r="D549" s="266"/>
      <c r="E549" s="266"/>
      <c r="F549" s="266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  <c r="AB549" s="266"/>
      <c r="AC549" s="266"/>
    </row>
    <row r="550" spans="2:29" x14ac:dyDescent="0.25">
      <c r="B550" s="266"/>
      <c r="C550" s="266"/>
      <c r="D550" s="266"/>
      <c r="E550" s="266"/>
      <c r="F550" s="266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  <c r="AB550" s="266"/>
      <c r="AC550" s="266"/>
    </row>
    <row r="551" spans="2:29" x14ac:dyDescent="0.25">
      <c r="B551" s="266"/>
      <c r="C551" s="266"/>
      <c r="D551" s="266"/>
      <c r="E551" s="266"/>
      <c r="F551" s="266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  <c r="AB551" s="266"/>
      <c r="AC551" s="266"/>
    </row>
    <row r="552" spans="2:29" x14ac:dyDescent="0.25">
      <c r="B552" s="266"/>
      <c r="C552" s="266"/>
      <c r="D552" s="266"/>
      <c r="E552" s="266"/>
      <c r="F552" s="266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  <c r="AB552" s="266"/>
      <c r="AC552" s="266"/>
    </row>
    <row r="553" spans="2:29" x14ac:dyDescent="0.25">
      <c r="B553" s="266"/>
      <c r="C553" s="266"/>
      <c r="D553" s="266"/>
      <c r="E553" s="266"/>
      <c r="F553" s="266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  <c r="AB553" s="266"/>
      <c r="AC553" s="266"/>
    </row>
    <row r="554" spans="2:29" x14ac:dyDescent="0.25">
      <c r="B554" s="266"/>
      <c r="C554" s="266"/>
      <c r="D554" s="266"/>
      <c r="E554" s="266"/>
      <c r="F554" s="266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  <c r="AB554" s="266"/>
      <c r="AC554" s="266"/>
    </row>
    <row r="555" spans="2:29" x14ac:dyDescent="0.25">
      <c r="B555" s="266"/>
      <c r="C555" s="266"/>
      <c r="D555" s="266"/>
      <c r="E555" s="266"/>
      <c r="F555" s="266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  <c r="AB555" s="266"/>
      <c r="AC555" s="266"/>
    </row>
    <row r="556" spans="2:29" x14ac:dyDescent="0.25">
      <c r="B556" s="266"/>
      <c r="C556" s="266"/>
      <c r="D556" s="266"/>
      <c r="E556" s="266"/>
      <c r="F556" s="266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  <c r="AB556" s="266"/>
      <c r="AC556" s="266"/>
    </row>
    <row r="557" spans="2:29" x14ac:dyDescent="0.25">
      <c r="B557" s="266"/>
      <c r="C557" s="266"/>
      <c r="D557" s="266"/>
      <c r="E557" s="266"/>
      <c r="F557" s="266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  <c r="AB557" s="266"/>
      <c r="AC557" s="266"/>
    </row>
    <row r="558" spans="2:29" x14ac:dyDescent="0.25">
      <c r="B558" s="266"/>
      <c r="C558" s="266"/>
      <c r="D558" s="266"/>
      <c r="E558" s="266"/>
      <c r="F558" s="266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  <c r="AB558" s="266"/>
      <c r="AC558" s="266"/>
    </row>
    <row r="559" spans="2:29" x14ac:dyDescent="0.25">
      <c r="B559" s="266"/>
      <c r="C559" s="266"/>
      <c r="D559" s="266"/>
      <c r="E559" s="266"/>
      <c r="F559" s="266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  <c r="AB559" s="266"/>
      <c r="AC559" s="266"/>
    </row>
    <row r="560" spans="2:29" x14ac:dyDescent="0.25">
      <c r="B560" s="266"/>
      <c r="C560" s="266"/>
      <c r="D560" s="266"/>
      <c r="E560" s="266"/>
      <c r="F560" s="266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  <c r="AB560" s="266"/>
      <c r="AC560" s="266"/>
    </row>
    <row r="561" spans="2:29" x14ac:dyDescent="0.25">
      <c r="B561" s="266"/>
      <c r="C561" s="266"/>
      <c r="D561" s="266"/>
      <c r="E561" s="266"/>
      <c r="F561" s="266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  <c r="AB561" s="266"/>
      <c r="AC561" s="266"/>
    </row>
    <row r="562" spans="2:29" x14ac:dyDescent="0.25"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  <c r="AB562" s="266"/>
      <c r="AC562" s="266"/>
    </row>
    <row r="563" spans="2:29" x14ac:dyDescent="0.25">
      <c r="B563" s="266"/>
      <c r="C563" s="266"/>
      <c r="D563" s="266"/>
      <c r="E563" s="266"/>
      <c r="F563" s="266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  <c r="AB563" s="266"/>
      <c r="AC563" s="266"/>
    </row>
    <row r="564" spans="2:29" x14ac:dyDescent="0.25">
      <c r="B564" s="266"/>
      <c r="C564" s="266"/>
      <c r="D564" s="266"/>
      <c r="E564" s="266"/>
      <c r="F564" s="266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  <c r="AB564" s="266"/>
      <c r="AC564" s="266"/>
    </row>
    <row r="565" spans="2:29" x14ac:dyDescent="0.25">
      <c r="B565" s="266"/>
      <c r="C565" s="266"/>
      <c r="D565" s="266"/>
      <c r="E565" s="266"/>
      <c r="F565" s="266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  <c r="AB565" s="266"/>
      <c r="AC565" s="266"/>
    </row>
    <row r="566" spans="2:29" x14ac:dyDescent="0.25">
      <c r="B566" s="266"/>
      <c r="C566" s="266"/>
      <c r="D566" s="266"/>
      <c r="E566" s="266"/>
      <c r="F566" s="266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  <c r="AB566" s="266"/>
      <c r="AC566" s="266"/>
    </row>
    <row r="567" spans="2:29" x14ac:dyDescent="0.25">
      <c r="B567" s="266"/>
      <c r="C567" s="266"/>
      <c r="D567" s="266"/>
      <c r="E567" s="266"/>
      <c r="F567" s="266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  <c r="AB567" s="266"/>
      <c r="AC567" s="266"/>
    </row>
    <row r="568" spans="2:29" x14ac:dyDescent="0.25">
      <c r="B568" s="266"/>
      <c r="C568" s="266"/>
      <c r="D568" s="266"/>
      <c r="E568" s="266"/>
      <c r="F568" s="266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  <c r="AB568" s="266"/>
      <c r="AC568" s="266"/>
    </row>
    <row r="569" spans="2:29" x14ac:dyDescent="0.25">
      <c r="B569" s="266"/>
      <c r="C569" s="266"/>
      <c r="D569" s="266"/>
      <c r="E569" s="266"/>
      <c r="F569" s="266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  <c r="AB569" s="266"/>
      <c r="AC569" s="266"/>
    </row>
    <row r="570" spans="2:29" x14ac:dyDescent="0.25">
      <c r="B570" s="266"/>
      <c r="C570" s="266"/>
      <c r="D570" s="266"/>
      <c r="E570" s="266"/>
      <c r="F570" s="266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  <c r="AB570" s="266"/>
      <c r="AC570" s="266"/>
    </row>
    <row r="571" spans="2:29" x14ac:dyDescent="0.25">
      <c r="B571" s="266"/>
      <c r="C571" s="266"/>
      <c r="D571" s="266"/>
      <c r="E571" s="266"/>
      <c r="F571" s="266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  <c r="AB571" s="266"/>
      <c r="AC571" s="266"/>
    </row>
    <row r="572" spans="2:29" x14ac:dyDescent="0.25">
      <c r="B572" s="266"/>
      <c r="C572" s="266"/>
      <c r="D572" s="266"/>
      <c r="E572" s="266"/>
      <c r="F572" s="266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  <c r="AB572" s="266"/>
      <c r="AC572" s="266"/>
    </row>
    <row r="573" spans="2:29" x14ac:dyDescent="0.25">
      <c r="B573" s="266"/>
      <c r="C573" s="266"/>
      <c r="D573" s="266"/>
      <c r="E573" s="266"/>
      <c r="F573" s="266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  <c r="AB573" s="266"/>
      <c r="AC573" s="266"/>
    </row>
    <row r="574" spans="2:29" x14ac:dyDescent="0.25">
      <c r="B574" s="266"/>
      <c r="C574" s="266"/>
      <c r="D574" s="266"/>
      <c r="E574" s="266"/>
      <c r="F574" s="266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  <c r="AB574" s="266"/>
      <c r="AC574" s="266"/>
    </row>
    <row r="575" spans="2:29" x14ac:dyDescent="0.25">
      <c r="B575" s="266"/>
      <c r="C575" s="266"/>
      <c r="D575" s="266"/>
      <c r="E575" s="266"/>
      <c r="F575" s="266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  <c r="AB575" s="266"/>
      <c r="AC575" s="266"/>
    </row>
    <row r="576" spans="2:29" x14ac:dyDescent="0.25">
      <c r="B576" s="266"/>
      <c r="C576" s="266"/>
      <c r="D576" s="266"/>
      <c r="E576" s="266"/>
      <c r="F576" s="266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  <c r="AB576" s="266"/>
      <c r="AC576" s="266"/>
    </row>
    <row r="577" spans="2:29" x14ac:dyDescent="0.25">
      <c r="B577" s="266"/>
      <c r="C577" s="266"/>
      <c r="D577" s="266"/>
      <c r="E577" s="266"/>
      <c r="F577" s="266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  <c r="AB577" s="266"/>
      <c r="AC577" s="266"/>
    </row>
    <row r="578" spans="2:29" x14ac:dyDescent="0.25">
      <c r="B578" s="266"/>
      <c r="C578" s="266"/>
      <c r="D578" s="266"/>
      <c r="E578" s="266"/>
      <c r="F578" s="266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  <c r="AB578" s="266"/>
      <c r="AC578" s="266"/>
    </row>
    <row r="579" spans="2:29" x14ac:dyDescent="0.25">
      <c r="B579" s="266"/>
      <c r="C579" s="266"/>
      <c r="D579" s="266"/>
      <c r="E579" s="266"/>
      <c r="F579" s="266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  <c r="AB579" s="266"/>
      <c r="AC579" s="266"/>
    </row>
    <row r="580" spans="2:29" x14ac:dyDescent="0.25">
      <c r="B580" s="266"/>
      <c r="C580" s="266"/>
      <c r="D580" s="266"/>
      <c r="E580" s="266"/>
      <c r="F580" s="266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  <c r="AB580" s="266"/>
      <c r="AC580" s="266"/>
    </row>
    <row r="581" spans="2:29" x14ac:dyDescent="0.25">
      <c r="B581" s="266"/>
      <c r="C581" s="266"/>
      <c r="D581" s="266"/>
      <c r="E581" s="266"/>
      <c r="F581" s="266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  <c r="AB581" s="266"/>
      <c r="AC581" s="266"/>
    </row>
    <row r="582" spans="2:29" x14ac:dyDescent="0.25">
      <c r="B582" s="266"/>
      <c r="C582" s="266"/>
      <c r="D582" s="266"/>
      <c r="E582" s="266"/>
      <c r="F582" s="266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  <c r="AB582" s="266"/>
      <c r="AC582" s="266"/>
    </row>
    <row r="583" spans="2:29" x14ac:dyDescent="0.25">
      <c r="B583" s="266"/>
      <c r="C583" s="266"/>
      <c r="D583" s="266"/>
      <c r="E583" s="266"/>
      <c r="F583" s="266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  <c r="AB583" s="266"/>
      <c r="AC583" s="266"/>
    </row>
    <row r="584" spans="2:29" x14ac:dyDescent="0.25">
      <c r="B584" s="266"/>
      <c r="C584" s="266"/>
      <c r="D584" s="266"/>
      <c r="E584" s="266"/>
      <c r="F584" s="266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  <c r="AB584" s="266"/>
      <c r="AC584" s="266"/>
    </row>
    <row r="585" spans="2:29" x14ac:dyDescent="0.25">
      <c r="B585" s="266"/>
      <c r="C585" s="266"/>
      <c r="D585" s="266"/>
      <c r="E585" s="266"/>
      <c r="F585" s="266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  <c r="AB585" s="266"/>
      <c r="AC585" s="266"/>
    </row>
    <row r="586" spans="2:29" x14ac:dyDescent="0.25">
      <c r="B586" s="266"/>
      <c r="C586" s="266"/>
      <c r="D586" s="266"/>
      <c r="E586" s="266"/>
      <c r="F586" s="266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  <c r="AB586" s="266"/>
      <c r="AC586" s="266"/>
    </row>
    <row r="587" spans="2:29" x14ac:dyDescent="0.25">
      <c r="B587" s="266"/>
      <c r="C587" s="266"/>
      <c r="D587" s="266"/>
      <c r="E587" s="266"/>
      <c r="F587" s="266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  <c r="AB587" s="266"/>
      <c r="AC587" s="266"/>
    </row>
    <row r="588" spans="2:29" x14ac:dyDescent="0.25">
      <c r="B588" s="266"/>
      <c r="C588" s="266"/>
      <c r="D588" s="266"/>
      <c r="E588" s="266"/>
      <c r="F588" s="266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  <c r="AB588" s="266"/>
      <c r="AC588" s="266"/>
    </row>
    <row r="589" spans="2:29" x14ac:dyDescent="0.25">
      <c r="B589" s="266"/>
      <c r="C589" s="266"/>
      <c r="D589" s="266"/>
      <c r="E589" s="266"/>
      <c r="F589" s="266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  <c r="AB589" s="266"/>
      <c r="AC589" s="266"/>
    </row>
    <row r="590" spans="2:29" x14ac:dyDescent="0.25">
      <c r="B590" s="266"/>
      <c r="C590" s="266"/>
      <c r="D590" s="266"/>
      <c r="E590" s="266"/>
      <c r="F590" s="266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  <c r="AB590" s="266"/>
      <c r="AC590" s="266"/>
    </row>
    <row r="591" spans="2:29" x14ac:dyDescent="0.25">
      <c r="B591" s="266"/>
      <c r="C591" s="266"/>
      <c r="D591" s="266"/>
      <c r="E591" s="266"/>
      <c r="F591" s="266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  <c r="AB591" s="266"/>
      <c r="AC591" s="266"/>
    </row>
    <row r="592" spans="2:29" x14ac:dyDescent="0.25">
      <c r="B592" s="266"/>
      <c r="C592" s="266"/>
      <c r="D592" s="266"/>
      <c r="E592" s="266"/>
      <c r="F592" s="266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  <c r="AB592" s="266"/>
      <c r="AC592" s="266"/>
    </row>
    <row r="593" spans="2:29" x14ac:dyDescent="0.25"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  <c r="AB593" s="266"/>
      <c r="AC593" s="266"/>
    </row>
    <row r="594" spans="2:29" x14ac:dyDescent="0.25">
      <c r="B594" s="266"/>
      <c r="C594" s="266"/>
      <c r="D594" s="266"/>
      <c r="E594" s="266"/>
      <c r="F594" s="266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  <c r="AB594" s="266"/>
      <c r="AC594" s="266"/>
    </row>
    <row r="595" spans="2:29" x14ac:dyDescent="0.25">
      <c r="B595" s="266"/>
      <c r="C595" s="266"/>
      <c r="D595" s="266"/>
      <c r="E595" s="266"/>
      <c r="F595" s="266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  <c r="AB595" s="266"/>
      <c r="AC595" s="266"/>
    </row>
    <row r="596" spans="2:29" x14ac:dyDescent="0.25">
      <c r="B596" s="266"/>
      <c r="C596" s="266"/>
      <c r="D596" s="266"/>
      <c r="E596" s="266"/>
      <c r="F596" s="266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  <c r="AB596" s="266"/>
      <c r="AC596" s="266"/>
    </row>
    <row r="597" spans="2:29" x14ac:dyDescent="0.25">
      <c r="B597" s="266"/>
      <c r="C597" s="266"/>
      <c r="D597" s="266"/>
      <c r="E597" s="266"/>
      <c r="F597" s="266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  <c r="AB597" s="266"/>
      <c r="AC597" s="266"/>
    </row>
    <row r="598" spans="2:29" x14ac:dyDescent="0.25">
      <c r="B598" s="266"/>
      <c r="C598" s="266"/>
      <c r="D598" s="266"/>
      <c r="E598" s="266"/>
      <c r="F598" s="266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  <c r="AB598" s="266"/>
      <c r="AC598" s="266"/>
    </row>
    <row r="599" spans="2:29" x14ac:dyDescent="0.25">
      <c r="B599" s="266"/>
      <c r="C599" s="266"/>
      <c r="D599" s="266"/>
      <c r="E599" s="266"/>
      <c r="F599" s="266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  <c r="AB599" s="266"/>
      <c r="AC599" s="266"/>
    </row>
    <row r="600" spans="2:29" x14ac:dyDescent="0.25">
      <c r="B600" s="266"/>
      <c r="C600" s="266"/>
      <c r="D600" s="266"/>
      <c r="E600" s="266"/>
      <c r="F600" s="266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  <c r="AB600" s="266"/>
      <c r="AC600" s="266"/>
    </row>
    <row r="601" spans="2:29" x14ac:dyDescent="0.25">
      <c r="B601" s="266"/>
      <c r="C601" s="266"/>
      <c r="D601" s="266"/>
      <c r="E601" s="266"/>
      <c r="F601" s="266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  <c r="AB601" s="266"/>
      <c r="AC601" s="266"/>
    </row>
    <row r="602" spans="2:29" x14ac:dyDescent="0.25">
      <c r="B602" s="266"/>
      <c r="C602" s="266"/>
      <c r="D602" s="266"/>
      <c r="E602" s="266"/>
      <c r="F602" s="266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  <c r="AB602" s="266"/>
      <c r="AC602" s="266"/>
    </row>
    <row r="603" spans="2:29" x14ac:dyDescent="0.25">
      <c r="B603" s="266"/>
      <c r="C603" s="266"/>
      <c r="D603" s="266"/>
      <c r="E603" s="266"/>
      <c r="F603" s="266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  <c r="AB603" s="266"/>
      <c r="AC603" s="266"/>
    </row>
    <row r="604" spans="2:29" x14ac:dyDescent="0.25">
      <c r="B604" s="266"/>
      <c r="C604" s="266"/>
      <c r="D604" s="266"/>
      <c r="E604" s="266"/>
      <c r="F604" s="266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  <c r="AB604" s="266"/>
      <c r="AC604" s="266"/>
    </row>
    <row r="605" spans="2:29" x14ac:dyDescent="0.25">
      <c r="B605" s="266"/>
      <c r="C605" s="266"/>
      <c r="D605" s="266"/>
      <c r="E605" s="266"/>
      <c r="F605" s="266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  <c r="AB605" s="266"/>
      <c r="AC605" s="266"/>
    </row>
    <row r="606" spans="2:29" x14ac:dyDescent="0.25">
      <c r="B606" s="266"/>
      <c r="C606" s="266"/>
      <c r="D606" s="266"/>
      <c r="E606" s="266"/>
      <c r="F606" s="266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  <c r="AB606" s="266"/>
      <c r="AC606" s="266"/>
    </row>
    <row r="607" spans="2:29" x14ac:dyDescent="0.25">
      <c r="B607" s="266"/>
      <c r="C607" s="266"/>
      <c r="D607" s="266"/>
      <c r="E607" s="266"/>
      <c r="F607" s="266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  <c r="AB607" s="266"/>
      <c r="AC607" s="266"/>
    </row>
    <row r="608" spans="2:29" x14ac:dyDescent="0.25">
      <c r="B608" s="266"/>
      <c r="C608" s="266"/>
      <c r="D608" s="266"/>
      <c r="E608" s="266"/>
      <c r="F608" s="266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  <c r="AB608" s="266"/>
      <c r="AC608" s="266"/>
    </row>
    <row r="609" spans="2:29" x14ac:dyDescent="0.25">
      <c r="B609" s="266"/>
      <c r="C609" s="266"/>
      <c r="D609" s="266"/>
      <c r="E609" s="266"/>
      <c r="F609" s="266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  <c r="AB609" s="266"/>
      <c r="AC609" s="266"/>
    </row>
    <row r="610" spans="2:29" x14ac:dyDescent="0.25">
      <c r="B610" s="266"/>
      <c r="C610" s="266"/>
      <c r="D610" s="266"/>
      <c r="E610" s="266"/>
      <c r="F610" s="266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  <c r="AB610" s="266"/>
      <c r="AC610" s="266"/>
    </row>
    <row r="611" spans="2:29" x14ac:dyDescent="0.25">
      <c r="B611" s="266"/>
      <c r="C611" s="266"/>
      <c r="D611" s="266"/>
      <c r="E611" s="266"/>
      <c r="F611" s="266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  <c r="AB611" s="266"/>
      <c r="AC611" s="266"/>
    </row>
    <row r="612" spans="2:29" x14ac:dyDescent="0.25">
      <c r="B612" s="266"/>
      <c r="C612" s="266"/>
      <c r="D612" s="266"/>
      <c r="E612" s="266"/>
      <c r="F612" s="266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  <c r="AB612" s="266"/>
      <c r="AC612" s="266"/>
    </row>
    <row r="613" spans="2:29" x14ac:dyDescent="0.25">
      <c r="B613" s="266"/>
      <c r="C613" s="266"/>
      <c r="D613" s="266"/>
      <c r="E613" s="266"/>
      <c r="F613" s="266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  <c r="AB613" s="266"/>
      <c r="AC613" s="266"/>
    </row>
    <row r="614" spans="2:29" x14ac:dyDescent="0.25">
      <c r="B614" s="266"/>
      <c r="C614" s="266"/>
      <c r="D614" s="266"/>
      <c r="E614" s="266"/>
      <c r="F614" s="266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  <c r="AB614" s="266"/>
      <c r="AC614" s="266"/>
    </row>
    <row r="615" spans="2:29" x14ac:dyDescent="0.25">
      <c r="B615" s="266"/>
      <c r="C615" s="266"/>
      <c r="D615" s="266"/>
      <c r="E615" s="266"/>
      <c r="F615" s="266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  <c r="AB615" s="266"/>
      <c r="AC615" s="266"/>
    </row>
    <row r="616" spans="2:29" x14ac:dyDescent="0.25">
      <c r="B616" s="266"/>
      <c r="C616" s="266"/>
      <c r="D616" s="266"/>
      <c r="E616" s="266"/>
      <c r="F616" s="266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  <c r="AB616" s="266"/>
      <c r="AC616" s="266"/>
    </row>
    <row r="617" spans="2:29" x14ac:dyDescent="0.25">
      <c r="B617" s="266"/>
      <c r="C617" s="266"/>
      <c r="D617" s="266"/>
      <c r="E617" s="266"/>
      <c r="F617" s="266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  <c r="AB617" s="266"/>
      <c r="AC617" s="266"/>
    </row>
    <row r="618" spans="2:29" x14ac:dyDescent="0.25">
      <c r="B618" s="266"/>
      <c r="C618" s="266"/>
      <c r="D618" s="266"/>
      <c r="E618" s="266"/>
      <c r="F618" s="266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  <c r="AB618" s="266"/>
      <c r="AC618" s="266"/>
    </row>
    <row r="619" spans="2:29" x14ac:dyDescent="0.25">
      <c r="B619" s="266"/>
      <c r="C619" s="266"/>
      <c r="D619" s="266"/>
      <c r="E619" s="266"/>
      <c r="F619" s="266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  <c r="AB619" s="266"/>
      <c r="AC619" s="266"/>
    </row>
    <row r="620" spans="2:29" x14ac:dyDescent="0.25">
      <c r="B620" s="266"/>
      <c r="C620" s="266"/>
      <c r="D620" s="266"/>
      <c r="E620" s="266"/>
      <c r="F620" s="266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  <c r="AB620" s="266"/>
      <c r="AC620" s="266"/>
    </row>
    <row r="621" spans="2:29" x14ac:dyDescent="0.25">
      <c r="B621" s="266"/>
      <c r="C621" s="266"/>
      <c r="D621" s="266"/>
      <c r="E621" s="266"/>
      <c r="F621" s="266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  <c r="AB621" s="266"/>
      <c r="AC621" s="266"/>
    </row>
    <row r="622" spans="2:29" x14ac:dyDescent="0.25">
      <c r="B622" s="266"/>
      <c r="C622" s="266"/>
      <c r="D622" s="266"/>
      <c r="E622" s="266"/>
      <c r="F622" s="266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  <c r="AB622" s="266"/>
      <c r="AC622" s="266"/>
    </row>
    <row r="623" spans="2:29" x14ac:dyDescent="0.25">
      <c r="B623" s="266"/>
      <c r="C623" s="266"/>
      <c r="D623" s="266"/>
      <c r="E623" s="266"/>
      <c r="F623" s="266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  <c r="AB623" s="266"/>
      <c r="AC623" s="266"/>
    </row>
    <row r="624" spans="2:29" x14ac:dyDescent="0.25"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  <c r="AB624" s="266"/>
      <c r="AC624" s="266"/>
    </row>
    <row r="625" spans="2:29" x14ac:dyDescent="0.25">
      <c r="B625" s="266"/>
      <c r="C625" s="266"/>
      <c r="D625" s="266"/>
      <c r="E625" s="266"/>
      <c r="F625" s="266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  <c r="AB625" s="266"/>
      <c r="AC625" s="266"/>
    </row>
    <row r="626" spans="2:29" x14ac:dyDescent="0.25">
      <c r="B626" s="266"/>
      <c r="C626" s="266"/>
      <c r="D626" s="266"/>
      <c r="E626" s="266"/>
      <c r="F626" s="266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  <c r="AB626" s="266"/>
      <c r="AC626" s="266"/>
    </row>
    <row r="627" spans="2:29" x14ac:dyDescent="0.25">
      <c r="B627" s="266"/>
      <c r="C627" s="266"/>
      <c r="D627" s="266"/>
      <c r="E627" s="266"/>
      <c r="F627" s="266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  <c r="AB627" s="266"/>
      <c r="AC627" s="266"/>
    </row>
    <row r="628" spans="2:29" x14ac:dyDescent="0.25">
      <c r="B628" s="266"/>
      <c r="C628" s="266"/>
      <c r="D628" s="266"/>
      <c r="E628" s="266"/>
      <c r="F628" s="266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  <c r="AB628" s="266"/>
      <c r="AC628" s="266"/>
    </row>
    <row r="629" spans="2:29" x14ac:dyDescent="0.25">
      <c r="B629" s="266"/>
      <c r="C629" s="266"/>
      <c r="D629" s="266"/>
      <c r="E629" s="266"/>
      <c r="F629" s="266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  <c r="AB629" s="266"/>
      <c r="AC629" s="266"/>
    </row>
    <row r="630" spans="2:29" x14ac:dyDescent="0.25">
      <c r="B630" s="266"/>
      <c r="C630" s="266"/>
      <c r="D630" s="266"/>
      <c r="E630" s="266"/>
      <c r="F630" s="266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  <c r="AB630" s="266"/>
      <c r="AC630" s="266"/>
    </row>
    <row r="631" spans="2:29" x14ac:dyDescent="0.25">
      <c r="B631" s="266"/>
      <c r="C631" s="266"/>
      <c r="D631" s="266"/>
      <c r="E631" s="266"/>
      <c r="F631" s="266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  <c r="AB631" s="266"/>
      <c r="AC631" s="266"/>
    </row>
    <row r="632" spans="2:29" x14ac:dyDescent="0.25">
      <c r="B632" s="266"/>
      <c r="C632" s="266"/>
      <c r="D632" s="266"/>
      <c r="E632" s="266"/>
      <c r="F632" s="266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  <c r="AB632" s="266"/>
      <c r="AC632" s="266"/>
    </row>
    <row r="633" spans="2:29" x14ac:dyDescent="0.25">
      <c r="B633" s="266"/>
      <c r="C633" s="266"/>
      <c r="D633" s="266"/>
      <c r="E633" s="266"/>
      <c r="F633" s="266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  <c r="AB633" s="266"/>
      <c r="AC633" s="266"/>
    </row>
    <row r="634" spans="2:29" x14ac:dyDescent="0.25">
      <c r="B634" s="266"/>
      <c r="C634" s="266"/>
      <c r="D634" s="266"/>
      <c r="E634" s="266"/>
      <c r="F634" s="266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  <c r="AB634" s="266"/>
      <c r="AC634" s="266"/>
    </row>
    <row r="635" spans="2:29" x14ac:dyDescent="0.25">
      <c r="B635" s="266"/>
      <c r="C635" s="266"/>
      <c r="D635" s="266"/>
      <c r="E635" s="266"/>
      <c r="F635" s="266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  <c r="AB635" s="266"/>
      <c r="AC635" s="266"/>
    </row>
    <row r="636" spans="2:29" x14ac:dyDescent="0.25">
      <c r="B636" s="266"/>
      <c r="C636" s="266"/>
      <c r="D636" s="266"/>
      <c r="E636" s="266"/>
      <c r="F636" s="266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  <c r="AB636" s="266"/>
      <c r="AC636" s="266"/>
    </row>
    <row r="637" spans="2:29" x14ac:dyDescent="0.25">
      <c r="B637" s="266"/>
      <c r="C637" s="266"/>
      <c r="D637" s="266"/>
      <c r="E637" s="266"/>
      <c r="F637" s="266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  <c r="AB637" s="266"/>
      <c r="AC637" s="266"/>
    </row>
    <row r="638" spans="2:29" x14ac:dyDescent="0.25">
      <c r="B638" s="266"/>
      <c r="C638" s="266"/>
      <c r="D638" s="266"/>
      <c r="E638" s="266"/>
      <c r="F638" s="266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  <c r="AB638" s="266"/>
      <c r="AC638" s="266"/>
    </row>
    <row r="639" spans="2:29" x14ac:dyDescent="0.25">
      <c r="B639" s="266"/>
      <c r="C639" s="266"/>
      <c r="D639" s="266"/>
      <c r="E639" s="266"/>
      <c r="F639" s="266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  <c r="AB639" s="266"/>
      <c r="AC639" s="266"/>
    </row>
    <row r="640" spans="2:29" x14ac:dyDescent="0.25">
      <c r="B640" s="266"/>
      <c r="C640" s="266"/>
      <c r="D640" s="266"/>
      <c r="E640" s="266"/>
      <c r="F640" s="266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  <c r="AB640" s="266"/>
      <c r="AC640" s="266"/>
    </row>
    <row r="641" spans="2:29" x14ac:dyDescent="0.25">
      <c r="B641" s="266"/>
      <c r="C641" s="266"/>
      <c r="D641" s="266"/>
      <c r="E641" s="266"/>
      <c r="F641" s="266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  <c r="AB641" s="266"/>
      <c r="AC641" s="266"/>
    </row>
    <row r="642" spans="2:29" x14ac:dyDescent="0.25">
      <c r="B642" s="266"/>
      <c r="C642" s="266"/>
      <c r="D642" s="266"/>
      <c r="E642" s="266"/>
      <c r="F642" s="266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  <c r="AB642" s="266"/>
      <c r="AC642" s="266"/>
    </row>
    <row r="643" spans="2:29" x14ac:dyDescent="0.25">
      <c r="B643" s="266"/>
      <c r="C643" s="266"/>
      <c r="D643" s="266"/>
      <c r="E643" s="266"/>
      <c r="F643" s="266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  <c r="AB643" s="266"/>
      <c r="AC643" s="266"/>
    </row>
    <row r="644" spans="2:29" x14ac:dyDescent="0.25">
      <c r="B644" s="266"/>
      <c r="C644" s="266"/>
      <c r="D644" s="266"/>
      <c r="E644" s="266"/>
      <c r="F644" s="266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  <c r="AB644" s="266"/>
      <c r="AC644" s="266"/>
    </row>
    <row r="645" spans="2:29" x14ac:dyDescent="0.25">
      <c r="B645" s="266"/>
      <c r="C645" s="266"/>
      <c r="D645" s="266"/>
      <c r="E645" s="266"/>
      <c r="F645" s="266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  <c r="AB645" s="266"/>
      <c r="AC645" s="266"/>
    </row>
    <row r="646" spans="2:29" x14ac:dyDescent="0.25">
      <c r="B646" s="266"/>
      <c r="C646" s="266"/>
      <c r="D646" s="266"/>
      <c r="E646" s="266"/>
      <c r="F646" s="266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  <c r="AB646" s="266"/>
      <c r="AC646" s="266"/>
    </row>
    <row r="647" spans="2:29" x14ac:dyDescent="0.25">
      <c r="B647" s="266"/>
      <c r="C647" s="266"/>
      <c r="D647" s="266"/>
      <c r="E647" s="266"/>
      <c r="F647" s="266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  <c r="AB647" s="266"/>
      <c r="AC647" s="266"/>
    </row>
    <row r="648" spans="2:29" x14ac:dyDescent="0.25">
      <c r="B648" s="266"/>
      <c r="C648" s="266"/>
      <c r="D648" s="266"/>
      <c r="E648" s="266"/>
      <c r="F648" s="266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  <c r="AB648" s="266"/>
      <c r="AC648" s="266"/>
    </row>
    <row r="649" spans="2:29" x14ac:dyDescent="0.25">
      <c r="B649" s="266"/>
      <c r="C649" s="266"/>
      <c r="D649" s="266"/>
      <c r="E649" s="266"/>
      <c r="F649" s="266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  <c r="AB649" s="266"/>
      <c r="AC649" s="266"/>
    </row>
    <row r="650" spans="2:29" x14ac:dyDescent="0.25">
      <c r="B650" s="266"/>
      <c r="C650" s="266"/>
      <c r="D650" s="266"/>
      <c r="E650" s="266"/>
      <c r="F650" s="266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  <c r="AB650" s="266"/>
      <c r="AC650" s="266"/>
    </row>
    <row r="651" spans="2:29" x14ac:dyDescent="0.25">
      <c r="B651" s="266"/>
      <c r="C651" s="266"/>
      <c r="D651" s="266"/>
      <c r="E651" s="266"/>
      <c r="F651" s="266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  <c r="AB651" s="266"/>
      <c r="AC651" s="266"/>
    </row>
    <row r="652" spans="2:29" x14ac:dyDescent="0.25">
      <c r="B652" s="266"/>
      <c r="C652" s="266"/>
      <c r="D652" s="266"/>
      <c r="E652" s="266"/>
      <c r="F652" s="266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  <c r="AB652" s="266"/>
      <c r="AC652" s="266"/>
    </row>
    <row r="653" spans="2:29" x14ac:dyDescent="0.25">
      <c r="B653" s="266"/>
      <c r="C653" s="266"/>
      <c r="D653" s="266"/>
      <c r="E653" s="266"/>
      <c r="F653" s="266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  <c r="AB653" s="266"/>
      <c r="AC653" s="266"/>
    </row>
    <row r="654" spans="2:29" x14ac:dyDescent="0.25">
      <c r="B654" s="266"/>
      <c r="C654" s="266"/>
      <c r="D654" s="266"/>
      <c r="E654" s="266"/>
      <c r="F654" s="266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  <c r="AB654" s="266"/>
      <c r="AC654" s="266"/>
    </row>
    <row r="655" spans="2:29" x14ac:dyDescent="0.25"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  <c r="AB655" s="266"/>
      <c r="AC655" s="266"/>
    </row>
    <row r="656" spans="2:29" x14ac:dyDescent="0.25">
      <c r="B656" s="266"/>
      <c r="C656" s="266"/>
      <c r="D656" s="266"/>
      <c r="E656" s="266"/>
      <c r="F656" s="266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  <c r="AB656" s="266"/>
      <c r="AC656" s="266"/>
    </row>
    <row r="657" spans="2:29" x14ac:dyDescent="0.25">
      <c r="B657" s="266"/>
      <c r="C657" s="266"/>
      <c r="D657" s="266"/>
      <c r="E657" s="266"/>
      <c r="F657" s="266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  <c r="AB657" s="266"/>
      <c r="AC657" s="266"/>
    </row>
    <row r="658" spans="2:29" x14ac:dyDescent="0.25">
      <c r="B658" s="266"/>
      <c r="C658" s="266"/>
      <c r="D658" s="266"/>
      <c r="E658" s="266"/>
      <c r="F658" s="266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  <c r="AB658" s="266"/>
      <c r="AC658" s="266"/>
    </row>
    <row r="659" spans="2:29" x14ac:dyDescent="0.25">
      <c r="B659" s="266"/>
      <c r="C659" s="266"/>
      <c r="D659" s="266"/>
      <c r="E659" s="266"/>
      <c r="F659" s="266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  <c r="AB659" s="266"/>
      <c r="AC659" s="266"/>
    </row>
    <row r="660" spans="2:29" x14ac:dyDescent="0.25">
      <c r="B660" s="266"/>
      <c r="C660" s="266"/>
      <c r="D660" s="266"/>
      <c r="E660" s="266"/>
      <c r="F660" s="266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  <c r="AB660" s="266"/>
      <c r="AC660" s="266"/>
    </row>
    <row r="661" spans="2:29" x14ac:dyDescent="0.25">
      <c r="B661" s="266"/>
      <c r="C661" s="266"/>
      <c r="D661" s="266"/>
      <c r="E661" s="266"/>
      <c r="F661" s="266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  <c r="AB661" s="266"/>
      <c r="AC661" s="266"/>
    </row>
    <row r="662" spans="2:29" x14ac:dyDescent="0.25">
      <c r="B662" s="266"/>
      <c r="C662" s="266"/>
      <c r="D662" s="266"/>
      <c r="E662" s="266"/>
      <c r="F662" s="266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  <c r="AB662" s="266"/>
      <c r="AC662" s="266"/>
    </row>
    <row r="663" spans="2:29" x14ac:dyDescent="0.25">
      <c r="B663" s="266"/>
      <c r="C663" s="266"/>
      <c r="D663" s="266"/>
      <c r="E663" s="266"/>
      <c r="F663" s="266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  <c r="AB663" s="266"/>
      <c r="AC663" s="266"/>
    </row>
    <row r="664" spans="2:29" x14ac:dyDescent="0.25">
      <c r="B664" s="266"/>
      <c r="C664" s="266"/>
      <c r="D664" s="266"/>
      <c r="E664" s="266"/>
      <c r="F664" s="266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  <c r="AB664" s="266"/>
      <c r="AC664" s="266"/>
    </row>
    <row r="665" spans="2:29" x14ac:dyDescent="0.25">
      <c r="B665" s="266"/>
      <c r="C665" s="266"/>
      <c r="D665" s="266"/>
      <c r="E665" s="266"/>
      <c r="F665" s="266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  <c r="AB665" s="266"/>
      <c r="AC665" s="266"/>
    </row>
    <row r="666" spans="2:29" x14ac:dyDescent="0.25">
      <c r="B666" s="266"/>
      <c r="C666" s="266"/>
      <c r="D666" s="266"/>
      <c r="E666" s="266"/>
      <c r="F666" s="266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  <c r="AB666" s="266"/>
      <c r="AC666" s="266"/>
    </row>
    <row r="667" spans="2:29" x14ac:dyDescent="0.25">
      <c r="B667" s="266"/>
      <c r="C667" s="266"/>
      <c r="D667" s="266"/>
      <c r="E667" s="266"/>
      <c r="F667" s="266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  <c r="AB667" s="266"/>
      <c r="AC667" s="266"/>
    </row>
    <row r="668" spans="2:29" x14ac:dyDescent="0.25">
      <c r="B668" s="266"/>
      <c r="C668" s="266"/>
      <c r="D668" s="266"/>
      <c r="E668" s="266"/>
      <c r="F668" s="266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  <c r="AB668" s="266"/>
      <c r="AC668" s="266"/>
    </row>
    <row r="669" spans="2:29" x14ac:dyDescent="0.25">
      <c r="B669" s="266"/>
      <c r="C669" s="266"/>
      <c r="D669" s="266"/>
      <c r="E669" s="266"/>
      <c r="F669" s="266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  <c r="AB669" s="266"/>
      <c r="AC669" s="266"/>
    </row>
    <row r="670" spans="2:29" x14ac:dyDescent="0.25">
      <c r="B670" s="266"/>
      <c r="C670" s="266"/>
      <c r="D670" s="266"/>
      <c r="E670" s="266"/>
      <c r="F670" s="266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  <c r="AB670" s="266"/>
      <c r="AC670" s="266"/>
    </row>
    <row r="671" spans="2:29" x14ac:dyDescent="0.25">
      <c r="B671" s="266"/>
      <c r="C671" s="266"/>
      <c r="D671" s="266"/>
      <c r="E671" s="266"/>
      <c r="F671" s="266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  <c r="AB671" s="266"/>
      <c r="AC671" s="266"/>
    </row>
    <row r="672" spans="2:29" x14ac:dyDescent="0.25">
      <c r="B672" s="266"/>
      <c r="C672" s="266"/>
      <c r="D672" s="266"/>
      <c r="E672" s="266"/>
      <c r="F672" s="266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  <c r="AB672" s="266"/>
      <c r="AC672" s="266"/>
    </row>
    <row r="673" spans="2:29" x14ac:dyDescent="0.25">
      <c r="B673" s="266"/>
      <c r="C673" s="266"/>
      <c r="D673" s="266"/>
      <c r="E673" s="266"/>
      <c r="F673" s="266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  <c r="AB673" s="266"/>
      <c r="AC673" s="266"/>
    </row>
    <row r="674" spans="2:29" x14ac:dyDescent="0.25">
      <c r="B674" s="266"/>
      <c r="C674" s="266"/>
      <c r="D674" s="266"/>
      <c r="E674" s="266"/>
      <c r="F674" s="266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  <c r="AB674" s="266"/>
      <c r="AC674" s="266"/>
    </row>
    <row r="675" spans="2:29" x14ac:dyDescent="0.25">
      <c r="B675" s="266"/>
      <c r="C675" s="266"/>
      <c r="D675" s="266"/>
      <c r="E675" s="266"/>
      <c r="F675" s="266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  <c r="AB675" s="266"/>
      <c r="AC675" s="266"/>
    </row>
    <row r="676" spans="2:29" x14ac:dyDescent="0.25">
      <c r="B676" s="266"/>
      <c r="C676" s="266"/>
      <c r="D676" s="266"/>
      <c r="E676" s="266"/>
      <c r="F676" s="266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  <c r="AB676" s="266"/>
      <c r="AC676" s="266"/>
    </row>
    <row r="677" spans="2:29" x14ac:dyDescent="0.25">
      <c r="B677" s="266"/>
      <c r="C677" s="266"/>
      <c r="D677" s="266"/>
      <c r="E677" s="266"/>
      <c r="F677" s="266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  <c r="AB677" s="266"/>
      <c r="AC677" s="266"/>
    </row>
    <row r="678" spans="2:29" x14ac:dyDescent="0.25">
      <c r="B678" s="266"/>
      <c r="C678" s="266"/>
      <c r="D678" s="266"/>
      <c r="E678" s="266"/>
      <c r="F678" s="266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  <c r="AB678" s="266"/>
      <c r="AC678" s="266"/>
    </row>
    <row r="679" spans="2:29" x14ac:dyDescent="0.25">
      <c r="B679" s="266"/>
      <c r="C679" s="266"/>
      <c r="D679" s="266"/>
      <c r="E679" s="266"/>
      <c r="F679" s="266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  <c r="AB679" s="266"/>
      <c r="AC679" s="266"/>
    </row>
    <row r="680" spans="2:29" x14ac:dyDescent="0.25">
      <c r="B680" s="266"/>
      <c r="C680" s="266"/>
      <c r="D680" s="266"/>
      <c r="E680" s="266"/>
      <c r="F680" s="266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  <c r="AB680" s="266"/>
      <c r="AC680" s="266"/>
    </row>
    <row r="681" spans="2:29" x14ac:dyDescent="0.25">
      <c r="B681" s="266"/>
      <c r="C681" s="266"/>
      <c r="D681" s="266"/>
      <c r="E681" s="266"/>
      <c r="F681" s="266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  <c r="AB681" s="266"/>
      <c r="AC681" s="266"/>
    </row>
    <row r="682" spans="2:29" x14ac:dyDescent="0.25">
      <c r="B682" s="266"/>
      <c r="C682" s="266"/>
      <c r="D682" s="266"/>
      <c r="E682" s="266"/>
      <c r="F682" s="266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  <c r="AB682" s="266"/>
      <c r="AC682" s="266"/>
    </row>
    <row r="683" spans="2:29" x14ac:dyDescent="0.25">
      <c r="B683" s="266"/>
      <c r="C683" s="266"/>
      <c r="D683" s="266"/>
      <c r="E683" s="266"/>
      <c r="F683" s="266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  <c r="AB683" s="266"/>
      <c r="AC683" s="266"/>
    </row>
    <row r="684" spans="2:29" x14ac:dyDescent="0.25">
      <c r="B684" s="266"/>
      <c r="C684" s="266"/>
      <c r="D684" s="266"/>
      <c r="E684" s="266"/>
      <c r="F684" s="266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  <c r="AB684" s="266"/>
      <c r="AC684" s="266"/>
    </row>
    <row r="685" spans="2:29" x14ac:dyDescent="0.25">
      <c r="B685" s="266"/>
      <c r="C685" s="266"/>
      <c r="D685" s="266"/>
      <c r="E685" s="266"/>
      <c r="F685" s="266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  <c r="AB685" s="266"/>
      <c r="AC685" s="266"/>
    </row>
    <row r="686" spans="2:29" x14ac:dyDescent="0.25"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  <c r="AB686" s="266"/>
      <c r="AC686" s="266"/>
    </row>
    <row r="687" spans="2:29" x14ac:dyDescent="0.25">
      <c r="B687" s="266"/>
      <c r="C687" s="266"/>
      <c r="D687" s="266"/>
      <c r="E687" s="266"/>
      <c r="F687" s="266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  <c r="AB687" s="266"/>
      <c r="AC687" s="266"/>
    </row>
    <row r="688" spans="2:29" x14ac:dyDescent="0.25">
      <c r="B688" s="266"/>
      <c r="C688" s="266"/>
      <c r="D688" s="266"/>
      <c r="E688" s="266"/>
      <c r="F688" s="266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  <c r="AB688" s="266"/>
      <c r="AC688" s="266"/>
    </row>
    <row r="689" spans="2:29" x14ac:dyDescent="0.25">
      <c r="B689" s="266"/>
      <c r="C689" s="266"/>
      <c r="D689" s="266"/>
      <c r="E689" s="266"/>
      <c r="F689" s="266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  <c r="AB689" s="266"/>
      <c r="AC689" s="266"/>
    </row>
    <row r="690" spans="2:29" x14ac:dyDescent="0.25">
      <c r="B690" s="266"/>
      <c r="C690" s="266"/>
      <c r="D690" s="266"/>
      <c r="E690" s="266"/>
      <c r="F690" s="266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  <c r="AB690" s="266"/>
      <c r="AC690" s="266"/>
    </row>
    <row r="691" spans="2:29" x14ac:dyDescent="0.25">
      <c r="B691" s="266"/>
      <c r="C691" s="266"/>
      <c r="D691" s="266"/>
      <c r="E691" s="266"/>
      <c r="F691" s="266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  <c r="AB691" s="266"/>
      <c r="AC691" s="266"/>
    </row>
    <row r="692" spans="2:29" x14ac:dyDescent="0.25">
      <c r="B692" s="266"/>
      <c r="C692" s="266"/>
      <c r="D692" s="266"/>
      <c r="E692" s="266"/>
      <c r="F692" s="266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  <c r="AB692" s="266"/>
      <c r="AC692" s="266"/>
    </row>
    <row r="693" spans="2:29" x14ac:dyDescent="0.25">
      <c r="B693" s="266"/>
      <c r="C693" s="266"/>
      <c r="D693" s="266"/>
      <c r="E693" s="266"/>
      <c r="F693" s="266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  <c r="AB693" s="266"/>
      <c r="AC693" s="266"/>
    </row>
    <row r="694" spans="2:29" x14ac:dyDescent="0.25">
      <c r="B694" s="266"/>
      <c r="C694" s="266"/>
      <c r="D694" s="266"/>
      <c r="E694" s="266"/>
      <c r="F694" s="266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  <c r="AB694" s="266"/>
      <c r="AC694" s="266"/>
    </row>
    <row r="695" spans="2:29" x14ac:dyDescent="0.25">
      <c r="B695" s="266"/>
      <c r="C695" s="266"/>
      <c r="D695" s="266"/>
      <c r="E695" s="266"/>
      <c r="F695" s="266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  <c r="AB695" s="266"/>
      <c r="AC695" s="266"/>
    </row>
    <row r="696" spans="2:29" x14ac:dyDescent="0.25">
      <c r="B696" s="266"/>
      <c r="C696" s="266"/>
      <c r="D696" s="266"/>
      <c r="E696" s="266"/>
      <c r="F696" s="266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  <c r="AB696" s="266"/>
      <c r="AC696" s="266"/>
    </row>
    <row r="697" spans="2:29" x14ac:dyDescent="0.25">
      <c r="B697" s="266"/>
      <c r="C697" s="266"/>
      <c r="D697" s="266"/>
      <c r="E697" s="266"/>
      <c r="F697" s="266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  <c r="AB697" s="266"/>
      <c r="AC697" s="266"/>
    </row>
    <row r="698" spans="2:29" x14ac:dyDescent="0.25">
      <c r="B698" s="266"/>
      <c r="C698" s="266"/>
      <c r="D698" s="266"/>
      <c r="E698" s="266"/>
      <c r="F698" s="266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  <c r="AB698" s="266"/>
      <c r="AC698" s="266"/>
    </row>
    <row r="699" spans="2:29" x14ac:dyDescent="0.25">
      <c r="B699" s="266"/>
      <c r="C699" s="266"/>
      <c r="D699" s="266"/>
      <c r="E699" s="266"/>
      <c r="F699" s="266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  <c r="AB699" s="266"/>
      <c r="AC699" s="266"/>
    </row>
    <row r="700" spans="2:29" x14ac:dyDescent="0.25">
      <c r="B700" s="266"/>
      <c r="C700" s="266"/>
      <c r="D700" s="266"/>
      <c r="E700" s="266"/>
      <c r="F700" s="266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  <c r="AB700" s="266"/>
      <c r="AC700" s="266"/>
    </row>
    <row r="701" spans="2:29" x14ac:dyDescent="0.25">
      <c r="B701" s="266"/>
      <c r="C701" s="266"/>
      <c r="D701" s="266"/>
      <c r="E701" s="266"/>
      <c r="F701" s="266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  <c r="AB701" s="266"/>
      <c r="AC701" s="266"/>
    </row>
    <row r="702" spans="2:29" x14ac:dyDescent="0.25">
      <c r="B702" s="266"/>
      <c r="C702" s="266"/>
      <c r="D702" s="266"/>
      <c r="E702" s="266"/>
      <c r="F702" s="266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  <c r="AB702" s="266"/>
      <c r="AC702" s="266"/>
    </row>
    <row r="703" spans="2:29" x14ac:dyDescent="0.25">
      <c r="B703" s="266"/>
      <c r="C703" s="266"/>
      <c r="D703" s="266"/>
      <c r="E703" s="266"/>
      <c r="F703" s="266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  <c r="AB703" s="266"/>
      <c r="AC703" s="266"/>
    </row>
    <row r="704" spans="2:29" x14ac:dyDescent="0.25">
      <c r="B704" s="266"/>
      <c r="C704" s="266"/>
      <c r="D704" s="266"/>
      <c r="E704" s="266"/>
      <c r="F704" s="266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  <c r="AB704" s="266"/>
      <c r="AC704" s="266"/>
    </row>
    <row r="705" spans="2:29" x14ac:dyDescent="0.25">
      <c r="B705" s="266"/>
      <c r="C705" s="266"/>
      <c r="D705" s="266"/>
      <c r="E705" s="266"/>
      <c r="F705" s="266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  <c r="AB705" s="266"/>
      <c r="AC705" s="266"/>
    </row>
    <row r="706" spans="2:29" x14ac:dyDescent="0.25">
      <c r="B706" s="266"/>
      <c r="C706" s="266"/>
      <c r="D706" s="266"/>
      <c r="E706" s="266"/>
      <c r="F706" s="266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  <c r="AB706" s="266"/>
      <c r="AC706" s="266"/>
    </row>
    <row r="707" spans="2:29" x14ac:dyDescent="0.25">
      <c r="B707" s="266"/>
      <c r="C707" s="266"/>
      <c r="D707" s="266"/>
      <c r="E707" s="266"/>
      <c r="F707" s="266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  <c r="AB707" s="266"/>
      <c r="AC707" s="266"/>
    </row>
    <row r="708" spans="2:29" x14ac:dyDescent="0.25">
      <c r="B708" s="266"/>
      <c r="C708" s="266"/>
      <c r="D708" s="266"/>
      <c r="E708" s="266"/>
      <c r="F708" s="266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  <c r="AB708" s="266"/>
      <c r="AC708" s="266"/>
    </row>
    <row r="709" spans="2:29" x14ac:dyDescent="0.25">
      <c r="B709" s="266"/>
      <c r="C709" s="266"/>
      <c r="D709" s="266"/>
      <c r="E709" s="266"/>
      <c r="F709" s="266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  <c r="AB709" s="266"/>
      <c r="AC709" s="266"/>
    </row>
    <row r="710" spans="2:29" x14ac:dyDescent="0.25">
      <c r="B710" s="266"/>
      <c r="C710" s="266"/>
      <c r="D710" s="266"/>
      <c r="E710" s="266"/>
      <c r="F710" s="266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  <c r="AB710" s="266"/>
      <c r="AC710" s="266"/>
    </row>
    <row r="711" spans="2:29" x14ac:dyDescent="0.25">
      <c r="B711" s="266"/>
      <c r="C711" s="266"/>
      <c r="D711" s="266"/>
      <c r="E711" s="266"/>
      <c r="F711" s="266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  <c r="AB711" s="266"/>
      <c r="AC711" s="266"/>
    </row>
    <row r="712" spans="2:29" x14ac:dyDescent="0.25">
      <c r="B712" s="266"/>
      <c r="C712" s="266"/>
      <c r="D712" s="266"/>
      <c r="E712" s="266"/>
      <c r="F712" s="266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  <c r="AB712" s="266"/>
      <c r="AC712" s="266"/>
    </row>
    <row r="713" spans="2:29" x14ac:dyDescent="0.25">
      <c r="B713" s="266"/>
      <c r="C713" s="266"/>
      <c r="D713" s="266"/>
      <c r="E713" s="266"/>
      <c r="F713" s="266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  <c r="AB713" s="266"/>
      <c r="AC713" s="266"/>
    </row>
    <row r="714" spans="2:29" x14ac:dyDescent="0.25">
      <c r="B714" s="266"/>
      <c r="C714" s="266"/>
      <c r="D714" s="266"/>
      <c r="E714" s="266"/>
      <c r="F714" s="266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  <c r="AB714" s="266"/>
      <c r="AC714" s="266"/>
    </row>
    <row r="715" spans="2:29" x14ac:dyDescent="0.25">
      <c r="B715" s="266"/>
      <c r="C715" s="266"/>
      <c r="D715" s="266"/>
      <c r="E715" s="266"/>
      <c r="F715" s="266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  <c r="AB715" s="266"/>
      <c r="AC715" s="266"/>
    </row>
    <row r="716" spans="2:29" x14ac:dyDescent="0.25">
      <c r="B716" s="266"/>
      <c r="C716" s="266"/>
      <c r="D716" s="266"/>
      <c r="E716" s="266"/>
      <c r="F716" s="266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  <c r="AB716" s="266"/>
      <c r="AC716" s="266"/>
    </row>
    <row r="717" spans="2:29" x14ac:dyDescent="0.25">
      <c r="B717" s="266"/>
      <c r="C717" s="266"/>
      <c r="D717" s="266"/>
      <c r="E717" s="266"/>
      <c r="F717" s="266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  <c r="AB717" s="266"/>
      <c r="AC717" s="266"/>
    </row>
    <row r="718" spans="2:29" x14ac:dyDescent="0.25">
      <c r="B718" s="266"/>
      <c r="C718" s="266"/>
      <c r="D718" s="266"/>
      <c r="E718" s="266"/>
      <c r="F718" s="266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  <c r="AB718" s="266"/>
      <c r="AC718" s="266"/>
    </row>
    <row r="719" spans="2:29" x14ac:dyDescent="0.25">
      <c r="B719" s="266"/>
      <c r="C719" s="266"/>
      <c r="D719" s="266"/>
      <c r="E719" s="266"/>
      <c r="F719" s="266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  <c r="AB719" s="266"/>
      <c r="AC719" s="266"/>
    </row>
    <row r="720" spans="2:29" x14ac:dyDescent="0.25">
      <c r="B720" s="266"/>
      <c r="C720" s="266"/>
      <c r="D720" s="266"/>
      <c r="E720" s="266"/>
      <c r="F720" s="266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  <c r="AB720" s="266"/>
      <c r="AC720" s="266"/>
    </row>
    <row r="721" spans="2:29" x14ac:dyDescent="0.25">
      <c r="B721" s="266"/>
      <c r="C721" s="266"/>
      <c r="D721" s="266"/>
      <c r="E721" s="266"/>
      <c r="F721" s="266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  <c r="AB721" s="266"/>
      <c r="AC721" s="266"/>
    </row>
    <row r="722" spans="2:29" x14ac:dyDescent="0.25">
      <c r="B722" s="266"/>
      <c r="C722" s="266"/>
      <c r="D722" s="266"/>
      <c r="E722" s="266"/>
      <c r="F722" s="266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  <c r="AB722" s="266"/>
      <c r="AC722" s="266"/>
    </row>
    <row r="723" spans="2:29" x14ac:dyDescent="0.25">
      <c r="B723" s="266"/>
      <c r="C723" s="266"/>
      <c r="D723" s="266"/>
      <c r="E723" s="266"/>
      <c r="F723" s="266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  <c r="AB723" s="266"/>
      <c r="AC723" s="266"/>
    </row>
    <row r="724" spans="2:29" x14ac:dyDescent="0.25">
      <c r="B724" s="266"/>
      <c r="C724" s="266"/>
      <c r="D724" s="266"/>
      <c r="E724" s="266"/>
      <c r="F724" s="266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  <c r="AB724" s="266"/>
      <c r="AC724" s="266"/>
    </row>
    <row r="725" spans="2:29" x14ac:dyDescent="0.25">
      <c r="B725" s="266"/>
      <c r="C725" s="266"/>
      <c r="D725" s="266"/>
      <c r="E725" s="266"/>
      <c r="F725" s="266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  <c r="AB725" s="266"/>
      <c r="AC725" s="266"/>
    </row>
    <row r="726" spans="2:29" x14ac:dyDescent="0.25">
      <c r="B726" s="266"/>
      <c r="C726" s="266"/>
      <c r="D726" s="266"/>
      <c r="E726" s="266"/>
      <c r="F726" s="266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  <c r="AB726" s="266"/>
      <c r="AC726" s="266"/>
    </row>
    <row r="727" spans="2:29" x14ac:dyDescent="0.25">
      <c r="B727" s="266"/>
      <c r="C727" s="266"/>
      <c r="D727" s="266"/>
      <c r="E727" s="266"/>
      <c r="F727" s="266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  <c r="AB727" s="266"/>
      <c r="AC727" s="266"/>
    </row>
    <row r="728" spans="2:29" x14ac:dyDescent="0.25">
      <c r="B728" s="266"/>
      <c r="C728" s="266"/>
      <c r="D728" s="266"/>
      <c r="E728" s="266"/>
      <c r="F728" s="266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  <c r="AB728" s="266"/>
      <c r="AC728" s="266"/>
    </row>
    <row r="729" spans="2:29" x14ac:dyDescent="0.25">
      <c r="B729" s="266"/>
      <c r="C729" s="266"/>
      <c r="D729" s="266"/>
      <c r="E729" s="266"/>
      <c r="F729" s="266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  <c r="AB729" s="266"/>
      <c r="AC729" s="266"/>
    </row>
    <row r="730" spans="2:29" x14ac:dyDescent="0.25">
      <c r="B730" s="266"/>
      <c r="C730" s="266"/>
      <c r="D730" s="266"/>
      <c r="E730" s="266"/>
      <c r="F730" s="266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  <c r="AB730" s="266"/>
      <c r="AC730" s="266"/>
    </row>
    <row r="731" spans="2:29" x14ac:dyDescent="0.25">
      <c r="B731" s="266"/>
      <c r="C731" s="266"/>
      <c r="D731" s="266"/>
      <c r="E731" s="266"/>
      <c r="F731" s="266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  <c r="AB731" s="266"/>
      <c r="AC731" s="266"/>
    </row>
    <row r="732" spans="2:29" x14ac:dyDescent="0.25">
      <c r="B732" s="266"/>
      <c r="C732" s="266"/>
      <c r="D732" s="266"/>
      <c r="E732" s="266"/>
      <c r="F732" s="266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  <c r="AB732" s="266"/>
      <c r="AC732" s="266"/>
    </row>
    <row r="733" spans="2:29" x14ac:dyDescent="0.25">
      <c r="B733" s="266"/>
      <c r="C733" s="266"/>
      <c r="D733" s="266"/>
      <c r="E733" s="266"/>
      <c r="F733" s="266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  <c r="AB733" s="266"/>
      <c r="AC733" s="266"/>
    </row>
    <row r="734" spans="2:29" x14ac:dyDescent="0.25">
      <c r="B734" s="266"/>
      <c r="C734" s="266"/>
      <c r="D734" s="266"/>
      <c r="E734" s="266"/>
      <c r="F734" s="266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  <c r="AB734" s="266"/>
      <c r="AC734" s="266"/>
    </row>
    <row r="735" spans="2:29" x14ac:dyDescent="0.25">
      <c r="B735" s="266"/>
      <c r="C735" s="266"/>
      <c r="D735" s="266"/>
      <c r="E735" s="266"/>
      <c r="F735" s="266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  <c r="AB735" s="266"/>
      <c r="AC735" s="266"/>
    </row>
    <row r="736" spans="2:29" x14ac:dyDescent="0.25">
      <c r="B736" s="266"/>
      <c r="C736" s="266"/>
      <c r="D736" s="266"/>
      <c r="E736" s="266"/>
      <c r="F736" s="266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  <c r="AB736" s="266"/>
      <c r="AC736" s="266"/>
    </row>
    <row r="737" spans="2:29" x14ac:dyDescent="0.25">
      <c r="B737" s="266"/>
      <c r="C737" s="266"/>
      <c r="D737" s="266"/>
      <c r="E737" s="266"/>
      <c r="F737" s="266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  <c r="AB737" s="266"/>
      <c r="AC737" s="266"/>
    </row>
    <row r="738" spans="2:29" x14ac:dyDescent="0.25">
      <c r="B738" s="266"/>
      <c r="C738" s="266"/>
      <c r="D738" s="266"/>
      <c r="E738" s="266"/>
      <c r="F738" s="266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  <c r="AB738" s="266"/>
      <c r="AC738" s="266"/>
    </row>
    <row r="739" spans="2:29" x14ac:dyDescent="0.25">
      <c r="B739" s="266"/>
      <c r="C739" s="266"/>
      <c r="D739" s="266"/>
      <c r="E739" s="266"/>
      <c r="F739" s="266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  <c r="AB739" s="266"/>
      <c r="AC739" s="266"/>
    </row>
    <row r="740" spans="2:29" x14ac:dyDescent="0.25">
      <c r="B740" s="266"/>
      <c r="C740" s="266"/>
      <c r="D740" s="266"/>
      <c r="E740" s="266"/>
      <c r="F740" s="266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  <c r="AB740" s="266"/>
      <c r="AC740" s="266"/>
    </row>
    <row r="741" spans="2:29" x14ac:dyDescent="0.25">
      <c r="B741" s="266"/>
      <c r="C741" s="266"/>
      <c r="D741" s="266"/>
      <c r="E741" s="266"/>
      <c r="F741" s="266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  <c r="AB741" s="266"/>
      <c r="AC741" s="266"/>
    </row>
    <row r="742" spans="2:29" x14ac:dyDescent="0.25">
      <c r="B742" s="266"/>
      <c r="C742" s="266"/>
      <c r="D742" s="266"/>
      <c r="E742" s="266"/>
      <c r="F742" s="266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  <c r="AB742" s="266"/>
      <c r="AC742" s="266"/>
    </row>
    <row r="743" spans="2:29" x14ac:dyDescent="0.25">
      <c r="B743" s="266"/>
      <c r="C743" s="266"/>
      <c r="D743" s="266"/>
      <c r="E743" s="266"/>
      <c r="F743" s="266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  <c r="AB743" s="266"/>
      <c r="AC743" s="266"/>
    </row>
    <row r="744" spans="2:29" x14ac:dyDescent="0.25">
      <c r="B744" s="266"/>
      <c r="C744" s="266"/>
      <c r="D744" s="266"/>
      <c r="E744" s="266"/>
      <c r="F744" s="266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  <c r="AB744" s="266"/>
      <c r="AC744" s="266"/>
    </row>
    <row r="745" spans="2:29" x14ac:dyDescent="0.25">
      <c r="B745" s="266"/>
      <c r="C745" s="266"/>
      <c r="D745" s="266"/>
      <c r="E745" s="266"/>
      <c r="F745" s="266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  <c r="AB745" s="266"/>
      <c r="AC745" s="266"/>
    </row>
    <row r="746" spans="2:29" x14ac:dyDescent="0.25">
      <c r="B746" s="266"/>
      <c r="C746" s="266"/>
      <c r="D746" s="266"/>
      <c r="E746" s="266"/>
      <c r="F746" s="266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  <c r="AB746" s="266"/>
      <c r="AC746" s="266"/>
    </row>
    <row r="747" spans="2:29" x14ac:dyDescent="0.25">
      <c r="B747" s="266"/>
      <c r="C747" s="266"/>
      <c r="D747" s="266"/>
      <c r="E747" s="266"/>
      <c r="F747" s="266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  <c r="AB747" s="266"/>
      <c r="AC747" s="266"/>
    </row>
    <row r="748" spans="2:29" x14ac:dyDescent="0.25">
      <c r="B748" s="266"/>
      <c r="C748" s="266"/>
      <c r="D748" s="266"/>
      <c r="E748" s="266"/>
      <c r="F748" s="266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  <c r="AB748" s="266"/>
      <c r="AC748" s="266"/>
    </row>
    <row r="749" spans="2:29" x14ac:dyDescent="0.25">
      <c r="B749" s="266"/>
      <c r="C749" s="266"/>
      <c r="D749" s="266"/>
      <c r="E749" s="266"/>
      <c r="F749" s="266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  <c r="AB749" s="266"/>
      <c r="AC749" s="266"/>
    </row>
    <row r="750" spans="2:29" x14ac:dyDescent="0.25">
      <c r="B750" s="266"/>
      <c r="C750" s="266"/>
      <c r="D750" s="266"/>
      <c r="E750" s="266"/>
      <c r="F750" s="266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  <c r="AB750" s="266"/>
      <c r="AC750" s="266"/>
    </row>
    <row r="751" spans="2:29" x14ac:dyDescent="0.25">
      <c r="B751" s="266"/>
      <c r="C751" s="266"/>
      <c r="D751" s="266"/>
      <c r="E751" s="266"/>
      <c r="F751" s="266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  <c r="AB751" s="266"/>
      <c r="AC751" s="266"/>
    </row>
    <row r="752" spans="2:29" x14ac:dyDescent="0.25">
      <c r="B752" s="266"/>
      <c r="C752" s="266"/>
      <c r="D752" s="266"/>
      <c r="E752" s="266"/>
      <c r="F752" s="266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  <c r="AB752" s="266"/>
      <c r="AC752" s="266"/>
    </row>
    <row r="753" spans="2:29" x14ac:dyDescent="0.25">
      <c r="B753" s="266"/>
      <c r="C753" s="266"/>
      <c r="D753" s="266"/>
      <c r="E753" s="266"/>
      <c r="F753" s="266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  <c r="AB753" s="266"/>
      <c r="AC753" s="266"/>
    </row>
    <row r="754" spans="2:29" x14ac:dyDescent="0.25">
      <c r="B754" s="266"/>
      <c r="C754" s="266"/>
      <c r="D754" s="266"/>
      <c r="E754" s="266"/>
      <c r="F754" s="266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  <c r="AB754" s="266"/>
      <c r="AC754" s="266"/>
    </row>
    <row r="755" spans="2:29" x14ac:dyDescent="0.25">
      <c r="B755" s="266"/>
      <c r="C755" s="266"/>
      <c r="D755" s="266"/>
      <c r="E755" s="266"/>
      <c r="F755" s="266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  <c r="AB755" s="266"/>
      <c r="AC755" s="266"/>
    </row>
    <row r="756" spans="2:29" x14ac:dyDescent="0.25">
      <c r="B756" s="266"/>
      <c r="C756" s="266"/>
      <c r="D756" s="266"/>
      <c r="E756" s="266"/>
      <c r="F756" s="266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  <c r="AB756" s="266"/>
      <c r="AC756" s="266"/>
    </row>
    <row r="757" spans="2:29" x14ac:dyDescent="0.25">
      <c r="B757" s="266"/>
      <c r="C757" s="266"/>
      <c r="D757" s="266"/>
      <c r="E757" s="266"/>
      <c r="F757" s="266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  <c r="AB757" s="266"/>
      <c r="AC757" s="266"/>
    </row>
    <row r="758" spans="2:29" x14ac:dyDescent="0.25">
      <c r="B758" s="266"/>
      <c r="C758" s="266"/>
      <c r="D758" s="266"/>
      <c r="E758" s="266"/>
      <c r="F758" s="266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  <c r="AB758" s="266"/>
      <c r="AC758" s="266"/>
    </row>
    <row r="759" spans="2:29" x14ac:dyDescent="0.25">
      <c r="B759" s="266"/>
      <c r="C759" s="266"/>
      <c r="D759" s="266"/>
      <c r="E759" s="266"/>
      <c r="F759" s="266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  <c r="AB759" s="266"/>
      <c r="AC759" s="266"/>
    </row>
    <row r="760" spans="2:29" x14ac:dyDescent="0.25">
      <c r="B760" s="266"/>
      <c r="C760" s="266"/>
      <c r="D760" s="266"/>
      <c r="E760" s="266"/>
      <c r="F760" s="266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  <c r="AB760" s="266"/>
      <c r="AC760" s="266"/>
    </row>
    <row r="761" spans="2:29" x14ac:dyDescent="0.25">
      <c r="B761" s="266"/>
      <c r="C761" s="266"/>
      <c r="D761" s="266"/>
      <c r="E761" s="266"/>
      <c r="F761" s="266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  <c r="AB761" s="266"/>
      <c r="AC761" s="266"/>
    </row>
    <row r="762" spans="2:29" x14ac:dyDescent="0.25">
      <c r="B762" s="266"/>
      <c r="C762" s="266"/>
      <c r="D762" s="266"/>
      <c r="E762" s="266"/>
      <c r="F762" s="266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  <c r="AB762" s="266"/>
      <c r="AC762" s="266"/>
    </row>
    <row r="763" spans="2:29" x14ac:dyDescent="0.25">
      <c r="B763" s="266"/>
      <c r="C763" s="266"/>
      <c r="D763" s="266"/>
      <c r="E763" s="266"/>
      <c r="F763" s="266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  <c r="AB763" s="266"/>
      <c r="AC763" s="266"/>
    </row>
    <row r="764" spans="2:29" x14ac:dyDescent="0.25">
      <c r="B764" s="266"/>
      <c r="C764" s="266"/>
      <c r="D764" s="266"/>
      <c r="E764" s="266"/>
      <c r="F764" s="266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  <c r="AB764" s="266"/>
      <c r="AC764" s="266"/>
    </row>
    <row r="765" spans="2:29" x14ac:dyDescent="0.25">
      <c r="B765" s="266"/>
      <c r="C765" s="266"/>
      <c r="D765" s="266"/>
      <c r="E765" s="266"/>
      <c r="F765" s="266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  <c r="AB765" s="266"/>
      <c r="AC765" s="266"/>
    </row>
    <row r="766" spans="2:29" x14ac:dyDescent="0.25">
      <c r="B766" s="266"/>
      <c r="C766" s="266"/>
      <c r="D766" s="266"/>
      <c r="E766" s="266"/>
      <c r="F766" s="266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  <c r="AB766" s="266"/>
      <c r="AC766" s="266"/>
    </row>
    <row r="767" spans="2:29" x14ac:dyDescent="0.25">
      <c r="B767" s="266"/>
      <c r="C767" s="266"/>
      <c r="D767" s="266"/>
      <c r="E767" s="266"/>
      <c r="F767" s="266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  <c r="AB767" s="266"/>
      <c r="AC767" s="266"/>
    </row>
    <row r="768" spans="2:29" x14ac:dyDescent="0.25">
      <c r="B768" s="266"/>
      <c r="C768" s="266"/>
      <c r="D768" s="266"/>
      <c r="E768" s="266"/>
      <c r="F768" s="266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  <c r="AB768" s="266"/>
      <c r="AC768" s="266"/>
    </row>
    <row r="769" spans="2:29" x14ac:dyDescent="0.25">
      <c r="B769" s="266"/>
      <c r="C769" s="266"/>
      <c r="D769" s="266"/>
      <c r="E769" s="266"/>
      <c r="F769" s="266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  <c r="AB769" s="266"/>
      <c r="AC769" s="266"/>
    </row>
    <row r="770" spans="2:29" x14ac:dyDescent="0.25">
      <c r="B770" s="266"/>
      <c r="C770" s="266"/>
      <c r="D770" s="266"/>
      <c r="E770" s="266"/>
      <c r="F770" s="266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  <c r="AB770" s="266"/>
      <c r="AC770" s="266"/>
    </row>
    <row r="771" spans="2:29" x14ac:dyDescent="0.25">
      <c r="B771" s="266"/>
      <c r="C771" s="266"/>
      <c r="D771" s="266"/>
      <c r="E771" s="266"/>
      <c r="F771" s="266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  <c r="AB771" s="266"/>
      <c r="AC771" s="266"/>
    </row>
    <row r="772" spans="2:29" x14ac:dyDescent="0.25">
      <c r="B772" s="266"/>
      <c r="C772" s="266"/>
      <c r="D772" s="266"/>
      <c r="E772" s="266"/>
      <c r="F772" s="266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  <c r="AB772" s="266"/>
      <c r="AC772" s="266"/>
    </row>
    <row r="773" spans="2:29" x14ac:dyDescent="0.25">
      <c r="B773" s="266"/>
      <c r="C773" s="266"/>
      <c r="D773" s="266"/>
      <c r="E773" s="266"/>
      <c r="F773" s="266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  <c r="AB773" s="266"/>
      <c r="AC773" s="266"/>
    </row>
    <row r="774" spans="2:29" x14ac:dyDescent="0.25">
      <c r="B774" s="266"/>
      <c r="C774" s="266"/>
      <c r="D774" s="266"/>
      <c r="E774" s="266"/>
      <c r="F774" s="266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  <c r="AB774" s="266"/>
      <c r="AC774" s="266"/>
    </row>
    <row r="775" spans="2:29" x14ac:dyDescent="0.25">
      <c r="B775" s="266"/>
      <c r="C775" s="266"/>
      <c r="D775" s="266"/>
      <c r="E775" s="266"/>
      <c r="F775" s="266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  <c r="AB775" s="266"/>
      <c r="AC775" s="266"/>
    </row>
    <row r="776" spans="2:29" x14ac:dyDescent="0.25">
      <c r="B776" s="266"/>
      <c r="C776" s="266"/>
      <c r="D776" s="266"/>
      <c r="E776" s="266"/>
      <c r="F776" s="266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  <c r="AB776" s="266"/>
      <c r="AC776" s="266"/>
    </row>
    <row r="777" spans="2:29" x14ac:dyDescent="0.25">
      <c r="B777" s="266"/>
      <c r="C777" s="266"/>
      <c r="D777" s="266"/>
      <c r="E777" s="266"/>
      <c r="F777" s="266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  <c r="AB777" s="266"/>
      <c r="AC777" s="266"/>
    </row>
    <row r="778" spans="2:29" x14ac:dyDescent="0.25">
      <c r="B778" s="266"/>
      <c r="C778" s="266"/>
      <c r="D778" s="266"/>
      <c r="E778" s="266"/>
      <c r="F778" s="266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  <c r="AB778" s="266"/>
      <c r="AC778" s="266"/>
    </row>
    <row r="779" spans="2:29" x14ac:dyDescent="0.25">
      <c r="B779" s="266"/>
      <c r="C779" s="266"/>
      <c r="D779" s="266"/>
      <c r="E779" s="266"/>
      <c r="F779" s="266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  <c r="AB779" s="266"/>
      <c r="AC779" s="266"/>
    </row>
    <row r="780" spans="2:29" x14ac:dyDescent="0.25">
      <c r="B780" s="266"/>
      <c r="C780" s="266"/>
      <c r="D780" s="266"/>
      <c r="E780" s="266"/>
      <c r="F780" s="266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  <c r="AB780" s="266"/>
      <c r="AC780" s="266"/>
    </row>
    <row r="781" spans="2:29" x14ac:dyDescent="0.25">
      <c r="B781" s="266"/>
      <c r="C781" s="266"/>
      <c r="D781" s="266"/>
      <c r="E781" s="266"/>
      <c r="F781" s="266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  <c r="AB781" s="266"/>
      <c r="AC781" s="266"/>
    </row>
    <row r="782" spans="2:29" x14ac:dyDescent="0.25">
      <c r="B782" s="266"/>
      <c r="C782" s="266"/>
      <c r="D782" s="266"/>
      <c r="E782" s="266"/>
      <c r="F782" s="266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  <c r="AB782" s="266"/>
      <c r="AC782" s="266"/>
    </row>
    <row r="783" spans="2:29" x14ac:dyDescent="0.25">
      <c r="B783" s="266"/>
      <c r="C783" s="266"/>
      <c r="D783" s="266"/>
      <c r="E783" s="266"/>
      <c r="F783" s="266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  <c r="AB783" s="266"/>
      <c r="AC783" s="266"/>
    </row>
    <row r="784" spans="2:29" x14ac:dyDescent="0.25">
      <c r="B784" s="266"/>
      <c r="C784" s="266"/>
      <c r="D784" s="266"/>
      <c r="E784" s="266"/>
      <c r="F784" s="266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  <c r="AB784" s="266"/>
      <c r="AC784" s="266"/>
    </row>
    <row r="785" spans="2:29" x14ac:dyDescent="0.25">
      <c r="B785" s="266"/>
      <c r="C785" s="266"/>
      <c r="D785" s="266"/>
      <c r="E785" s="266"/>
      <c r="F785" s="266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  <c r="AB785" s="266"/>
      <c r="AC785" s="266"/>
    </row>
    <row r="786" spans="2:29" x14ac:dyDescent="0.25">
      <c r="B786" s="266"/>
      <c r="C786" s="266"/>
      <c r="D786" s="266"/>
      <c r="E786" s="266"/>
      <c r="F786" s="266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  <c r="AB786" s="266"/>
      <c r="AC786" s="266"/>
    </row>
    <row r="787" spans="2:29" x14ac:dyDescent="0.25">
      <c r="B787" s="266"/>
      <c r="C787" s="266"/>
      <c r="D787" s="266"/>
      <c r="E787" s="266"/>
      <c r="F787" s="266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  <c r="AB787" s="266"/>
      <c r="AC787" s="266"/>
    </row>
    <row r="788" spans="2:29" x14ac:dyDescent="0.25">
      <c r="B788" s="266"/>
      <c r="C788" s="266"/>
      <c r="D788" s="266"/>
      <c r="E788" s="266"/>
      <c r="F788" s="266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  <c r="AB788" s="266"/>
      <c r="AC788" s="266"/>
    </row>
    <row r="789" spans="2:29" x14ac:dyDescent="0.25">
      <c r="B789" s="266"/>
      <c r="C789" s="266"/>
      <c r="D789" s="266"/>
      <c r="E789" s="266"/>
      <c r="F789" s="266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  <c r="AB789" s="266"/>
      <c r="AC789" s="266"/>
    </row>
    <row r="790" spans="2:29" x14ac:dyDescent="0.25">
      <c r="B790" s="266"/>
      <c r="C790" s="266"/>
      <c r="D790" s="266"/>
      <c r="E790" s="266"/>
      <c r="F790" s="266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  <c r="AB790" s="266"/>
      <c r="AC790" s="266"/>
    </row>
    <row r="791" spans="2:29" x14ac:dyDescent="0.25">
      <c r="B791" s="266"/>
      <c r="C791" s="266"/>
      <c r="D791" s="266"/>
      <c r="E791" s="266"/>
      <c r="F791" s="266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  <c r="AB791" s="266"/>
      <c r="AC791" s="266"/>
    </row>
    <row r="792" spans="2:29" x14ac:dyDescent="0.25">
      <c r="B792" s="266"/>
      <c r="C792" s="266"/>
      <c r="D792" s="266"/>
      <c r="E792" s="266"/>
      <c r="F792" s="266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  <c r="AB792" s="266"/>
      <c r="AC792" s="266"/>
    </row>
    <row r="793" spans="2:29" x14ac:dyDescent="0.25">
      <c r="B793" s="266"/>
      <c r="C793" s="266"/>
      <c r="D793" s="266"/>
      <c r="E793" s="266"/>
      <c r="F793" s="266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  <c r="AB793" s="266"/>
      <c r="AC793" s="266"/>
    </row>
    <row r="794" spans="2:29" x14ac:dyDescent="0.25">
      <c r="B794" s="266"/>
      <c r="C794" s="266"/>
      <c r="D794" s="266"/>
      <c r="E794" s="266"/>
      <c r="F794" s="266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  <c r="AB794" s="266"/>
      <c r="AC794" s="266"/>
    </row>
    <row r="795" spans="2:29" x14ac:dyDescent="0.25">
      <c r="B795" s="266"/>
      <c r="C795" s="266"/>
      <c r="D795" s="266"/>
      <c r="E795" s="266"/>
      <c r="F795" s="266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  <c r="AB795" s="266"/>
      <c r="AC795" s="266"/>
    </row>
    <row r="796" spans="2:29" x14ac:dyDescent="0.25">
      <c r="B796" s="266"/>
      <c r="C796" s="266"/>
      <c r="D796" s="266"/>
      <c r="E796" s="266"/>
      <c r="F796" s="266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  <c r="AB796" s="266"/>
      <c r="AC796" s="266"/>
    </row>
    <row r="797" spans="2:29" x14ac:dyDescent="0.25">
      <c r="B797" s="266"/>
      <c r="C797" s="266"/>
      <c r="D797" s="266"/>
      <c r="E797" s="266"/>
      <c r="F797" s="266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  <c r="AB797" s="266"/>
      <c r="AC797" s="266"/>
    </row>
    <row r="798" spans="2:29" x14ac:dyDescent="0.25">
      <c r="B798" s="266"/>
      <c r="C798" s="266"/>
      <c r="D798" s="266"/>
      <c r="E798" s="266"/>
      <c r="F798" s="266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  <c r="AB798" s="266"/>
      <c r="AC798" s="266"/>
    </row>
    <row r="799" spans="2:29" x14ac:dyDescent="0.25">
      <c r="B799" s="266"/>
      <c r="C799" s="266"/>
      <c r="D799" s="266"/>
      <c r="E799" s="266"/>
      <c r="F799" s="266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  <c r="AB799" s="266"/>
      <c r="AC799" s="266"/>
    </row>
    <row r="800" spans="2:29" x14ac:dyDescent="0.25">
      <c r="B800" s="266"/>
      <c r="C800" s="266"/>
      <c r="D800" s="266"/>
      <c r="E800" s="266"/>
      <c r="F800" s="266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  <c r="AB800" s="266"/>
      <c r="AC800" s="266"/>
    </row>
    <row r="801" spans="2:29" x14ac:dyDescent="0.25">
      <c r="B801" s="266"/>
      <c r="C801" s="266"/>
      <c r="D801" s="266"/>
      <c r="E801" s="266"/>
      <c r="F801" s="266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  <c r="AB801" s="266"/>
      <c r="AC801" s="266"/>
    </row>
    <row r="802" spans="2:29" x14ac:dyDescent="0.25">
      <c r="B802" s="266"/>
      <c r="C802" s="266"/>
      <c r="D802" s="266"/>
      <c r="E802" s="266"/>
      <c r="F802" s="266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  <c r="AB802" s="266"/>
      <c r="AC802" s="266"/>
    </row>
    <row r="803" spans="2:29" x14ac:dyDescent="0.25">
      <c r="B803" s="266"/>
      <c r="C803" s="266"/>
      <c r="D803" s="266"/>
      <c r="E803" s="266"/>
      <c r="F803" s="266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  <c r="AB803" s="266"/>
      <c r="AC803" s="266"/>
    </row>
    <row r="804" spans="2:29" x14ac:dyDescent="0.25">
      <c r="B804" s="266"/>
      <c r="C804" s="266"/>
      <c r="D804" s="266"/>
      <c r="E804" s="266"/>
      <c r="F804" s="266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  <c r="AB804" s="266"/>
      <c r="AC804" s="266"/>
    </row>
    <row r="805" spans="2:29" x14ac:dyDescent="0.25">
      <c r="B805" s="266"/>
      <c r="C805" s="266"/>
      <c r="D805" s="266"/>
      <c r="E805" s="266"/>
      <c r="F805" s="266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  <c r="AB805" s="266"/>
      <c r="AC805" s="266"/>
    </row>
    <row r="806" spans="2:29" x14ac:dyDescent="0.25">
      <c r="B806" s="266"/>
      <c r="C806" s="266"/>
      <c r="D806" s="266"/>
      <c r="E806" s="266"/>
      <c r="F806" s="266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  <c r="AB806" s="266"/>
      <c r="AC806" s="266"/>
    </row>
    <row r="807" spans="2:29" x14ac:dyDescent="0.25">
      <c r="B807" s="266"/>
      <c r="C807" s="266"/>
      <c r="D807" s="266"/>
      <c r="E807" s="266"/>
      <c r="F807" s="266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  <c r="AB807" s="266"/>
      <c r="AC807" s="266"/>
    </row>
    <row r="808" spans="2:29" x14ac:dyDescent="0.25">
      <c r="B808" s="266"/>
      <c r="C808" s="266"/>
      <c r="D808" s="266"/>
      <c r="E808" s="266"/>
      <c r="F808" s="266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  <c r="AB808" s="266"/>
      <c r="AC808" s="266"/>
    </row>
    <row r="809" spans="2:29" x14ac:dyDescent="0.25">
      <c r="B809" s="266"/>
      <c r="C809" s="266"/>
      <c r="D809" s="266"/>
      <c r="E809" s="266"/>
      <c r="F809" s="266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  <c r="AB809" s="266"/>
      <c r="AC809" s="266"/>
    </row>
    <row r="810" spans="2:29" x14ac:dyDescent="0.25">
      <c r="B810" s="266"/>
      <c r="C810" s="266"/>
      <c r="D810" s="266"/>
      <c r="E810" s="266"/>
      <c r="F810" s="266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  <c r="AB810" s="266"/>
      <c r="AC810" s="266"/>
    </row>
    <row r="811" spans="2:29" x14ac:dyDescent="0.25">
      <c r="B811" s="266"/>
      <c r="C811" s="266"/>
      <c r="D811" s="266"/>
      <c r="E811" s="266"/>
      <c r="F811" s="266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  <c r="AB811" s="266"/>
      <c r="AC811" s="266"/>
    </row>
    <row r="812" spans="2:29" x14ac:dyDescent="0.25">
      <c r="B812" s="266"/>
      <c r="C812" s="266"/>
      <c r="D812" s="266"/>
      <c r="E812" s="266"/>
      <c r="F812" s="266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  <c r="AB812" s="266"/>
      <c r="AC812" s="266"/>
    </row>
    <row r="813" spans="2:29" x14ac:dyDescent="0.25">
      <c r="B813" s="266"/>
      <c r="C813" s="266"/>
      <c r="D813" s="266"/>
      <c r="E813" s="266"/>
      <c r="F813" s="266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  <c r="AB813" s="266"/>
      <c r="AC813" s="266"/>
    </row>
    <row r="814" spans="2:29" x14ac:dyDescent="0.25">
      <c r="B814" s="266"/>
      <c r="C814" s="266"/>
      <c r="D814" s="266"/>
      <c r="E814" s="266"/>
      <c r="F814" s="266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  <c r="AB814" s="266"/>
      <c r="AC814" s="266"/>
    </row>
    <row r="815" spans="2:29" x14ac:dyDescent="0.25">
      <c r="B815" s="266"/>
      <c r="C815" s="266"/>
      <c r="D815" s="266"/>
      <c r="E815" s="266"/>
      <c r="F815" s="266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  <c r="AB815" s="266"/>
      <c r="AC815" s="266"/>
    </row>
    <row r="816" spans="2:29" x14ac:dyDescent="0.25">
      <c r="B816" s="266"/>
      <c r="C816" s="266"/>
      <c r="D816" s="266"/>
      <c r="E816" s="266"/>
      <c r="F816" s="266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  <c r="AB816" s="266"/>
      <c r="AC816" s="266"/>
    </row>
    <row r="817" spans="2:29" x14ac:dyDescent="0.25">
      <c r="B817" s="266"/>
      <c r="C817" s="266"/>
      <c r="D817" s="266"/>
      <c r="E817" s="266"/>
      <c r="F817" s="266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  <c r="AB817" s="266"/>
      <c r="AC817" s="266"/>
    </row>
    <row r="818" spans="2:29" x14ac:dyDescent="0.25">
      <c r="B818" s="266"/>
      <c r="C818" s="266"/>
      <c r="D818" s="266"/>
      <c r="E818" s="266"/>
      <c r="F818" s="266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  <c r="AB818" s="266"/>
      <c r="AC818" s="266"/>
    </row>
    <row r="819" spans="2:29" x14ac:dyDescent="0.25">
      <c r="B819" s="266"/>
      <c r="C819" s="266"/>
      <c r="D819" s="266"/>
      <c r="E819" s="266"/>
      <c r="F819" s="266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  <c r="AB819" s="266"/>
      <c r="AC819" s="266"/>
    </row>
    <row r="820" spans="2:29" x14ac:dyDescent="0.25">
      <c r="B820" s="266"/>
      <c r="C820" s="266"/>
      <c r="D820" s="266"/>
      <c r="E820" s="266"/>
      <c r="F820" s="266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  <c r="AB820" s="266"/>
      <c r="AC820" s="266"/>
    </row>
    <row r="821" spans="2:29" x14ac:dyDescent="0.25">
      <c r="B821" s="266"/>
      <c r="C821" s="266"/>
      <c r="D821" s="266"/>
      <c r="E821" s="266"/>
      <c r="F821" s="266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  <c r="AB821" s="266"/>
      <c r="AC821" s="266"/>
    </row>
    <row r="822" spans="2:29" x14ac:dyDescent="0.25">
      <c r="B822" s="266"/>
      <c r="C822" s="266"/>
      <c r="D822" s="266"/>
      <c r="E822" s="266"/>
      <c r="F822" s="266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  <c r="AB822" s="266"/>
      <c r="AC822" s="266"/>
    </row>
    <row r="823" spans="2:29" x14ac:dyDescent="0.25">
      <c r="B823" s="266"/>
      <c r="C823" s="266"/>
      <c r="D823" s="266"/>
      <c r="E823" s="266"/>
      <c r="F823" s="266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  <c r="AB823" s="266"/>
      <c r="AC823" s="266"/>
    </row>
    <row r="824" spans="2:29" x14ac:dyDescent="0.25">
      <c r="B824" s="266"/>
      <c r="C824" s="266"/>
      <c r="D824" s="266"/>
      <c r="E824" s="266"/>
      <c r="F824" s="266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  <c r="AB824" s="266"/>
      <c r="AC824" s="266"/>
    </row>
    <row r="825" spans="2:29" x14ac:dyDescent="0.25">
      <c r="B825" s="266"/>
      <c r="C825" s="266"/>
      <c r="D825" s="266"/>
      <c r="E825" s="266"/>
      <c r="F825" s="266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  <c r="AB825" s="266"/>
      <c r="AC825" s="266"/>
    </row>
    <row r="826" spans="2:29" x14ac:dyDescent="0.25">
      <c r="B826" s="266"/>
      <c r="C826" s="266"/>
      <c r="D826" s="266"/>
      <c r="E826" s="266"/>
      <c r="F826" s="266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  <c r="AB826" s="266"/>
      <c r="AC826" s="266"/>
    </row>
    <row r="827" spans="2:29" x14ac:dyDescent="0.25">
      <c r="B827" s="266"/>
      <c r="C827" s="266"/>
      <c r="D827" s="266"/>
      <c r="E827" s="266"/>
      <c r="F827" s="266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  <c r="AB827" s="266"/>
      <c r="AC827" s="266"/>
    </row>
    <row r="828" spans="2:29" x14ac:dyDescent="0.25">
      <c r="B828" s="266"/>
      <c r="C828" s="266"/>
      <c r="D828" s="266"/>
      <c r="E828" s="266"/>
      <c r="F828" s="266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  <c r="AB828" s="266"/>
      <c r="AC828" s="266"/>
    </row>
    <row r="829" spans="2:29" x14ac:dyDescent="0.25">
      <c r="B829" s="266"/>
      <c r="C829" s="266"/>
      <c r="D829" s="266"/>
      <c r="E829" s="266"/>
      <c r="F829" s="266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  <c r="AB829" s="266"/>
      <c r="AC829" s="266"/>
    </row>
    <row r="830" spans="2:29" x14ac:dyDescent="0.25">
      <c r="B830" s="266"/>
      <c r="C830" s="266"/>
      <c r="D830" s="266"/>
      <c r="E830" s="266"/>
      <c r="F830" s="266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  <c r="AB830" s="266"/>
      <c r="AC830" s="266"/>
    </row>
    <row r="831" spans="2:29" x14ac:dyDescent="0.25">
      <c r="B831" s="266"/>
      <c r="C831" s="266"/>
      <c r="D831" s="266"/>
      <c r="E831" s="266"/>
      <c r="F831" s="266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  <c r="AB831" s="266"/>
      <c r="AC831" s="266"/>
    </row>
    <row r="832" spans="2:29" x14ac:dyDescent="0.25">
      <c r="B832" s="266"/>
      <c r="C832" s="266"/>
      <c r="D832" s="266"/>
      <c r="E832" s="266"/>
      <c r="F832" s="266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  <c r="AB832" s="266"/>
      <c r="AC832" s="266"/>
    </row>
    <row r="833" spans="2:29" x14ac:dyDescent="0.25">
      <c r="B833" s="266"/>
      <c r="C833" s="266"/>
      <c r="D833" s="266"/>
      <c r="E833" s="266"/>
      <c r="F833" s="266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  <c r="AB833" s="266"/>
      <c r="AC833" s="266"/>
    </row>
    <row r="834" spans="2:29" x14ac:dyDescent="0.25">
      <c r="B834" s="266"/>
      <c r="C834" s="266"/>
      <c r="D834" s="266"/>
      <c r="E834" s="266"/>
      <c r="F834" s="266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  <c r="AB834" s="266"/>
      <c r="AC834" s="266"/>
    </row>
    <row r="835" spans="2:29" x14ac:dyDescent="0.25">
      <c r="B835" s="266"/>
      <c r="C835" s="266"/>
      <c r="D835" s="266"/>
      <c r="E835" s="266"/>
      <c r="F835" s="266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  <c r="AB835" s="266"/>
      <c r="AC835" s="266"/>
    </row>
    <row r="836" spans="2:29" x14ac:dyDescent="0.25">
      <c r="B836" s="266"/>
      <c r="C836" s="266"/>
      <c r="D836" s="266"/>
      <c r="E836" s="266"/>
      <c r="F836" s="266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  <c r="AB836" s="266"/>
      <c r="AC836" s="266"/>
    </row>
    <row r="837" spans="2:29" x14ac:dyDescent="0.25">
      <c r="B837" s="266"/>
      <c r="C837" s="266"/>
      <c r="D837" s="266"/>
      <c r="E837" s="266"/>
      <c r="F837" s="266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  <c r="AB837" s="266"/>
      <c r="AC837" s="266"/>
    </row>
    <row r="838" spans="2:29" x14ac:dyDescent="0.25">
      <c r="B838" s="266"/>
      <c r="C838" s="266"/>
      <c r="D838" s="266"/>
      <c r="E838" s="266"/>
      <c r="F838" s="266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  <c r="AB838" s="266"/>
      <c r="AC838" s="266"/>
    </row>
    <row r="839" spans="2:29" x14ac:dyDescent="0.25">
      <c r="B839" s="266"/>
      <c r="C839" s="266"/>
      <c r="D839" s="266"/>
      <c r="E839" s="266"/>
      <c r="F839" s="266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  <c r="AB839" s="266"/>
      <c r="AC839" s="266"/>
    </row>
    <row r="840" spans="2:29" x14ac:dyDescent="0.25">
      <c r="B840" s="266"/>
      <c r="C840" s="266"/>
      <c r="D840" s="266"/>
      <c r="E840" s="266"/>
      <c r="F840" s="266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  <c r="AB840" s="266"/>
      <c r="AC840" s="266"/>
    </row>
    <row r="841" spans="2:29" x14ac:dyDescent="0.25">
      <c r="B841" s="266"/>
      <c r="C841" s="266"/>
      <c r="D841" s="266"/>
      <c r="E841" s="266"/>
      <c r="F841" s="266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  <c r="AB841" s="266"/>
      <c r="AC841" s="266"/>
    </row>
    <row r="842" spans="2:29" x14ac:dyDescent="0.25">
      <c r="B842" s="266"/>
      <c r="C842" s="266"/>
      <c r="D842" s="266"/>
      <c r="E842" s="266"/>
      <c r="F842" s="266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  <c r="AB842" s="266"/>
      <c r="AC842" s="266"/>
    </row>
    <row r="843" spans="2:29" x14ac:dyDescent="0.25">
      <c r="B843" s="266"/>
      <c r="C843" s="266"/>
      <c r="D843" s="266"/>
      <c r="E843" s="266"/>
      <c r="F843" s="266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  <c r="AB843" s="266"/>
      <c r="AC843" s="266"/>
    </row>
    <row r="844" spans="2:29" x14ac:dyDescent="0.25">
      <c r="B844" s="266"/>
      <c r="C844" s="266"/>
      <c r="D844" s="266"/>
      <c r="E844" s="266"/>
      <c r="F844" s="266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  <c r="AB844" s="266"/>
      <c r="AC844" s="266"/>
    </row>
    <row r="845" spans="2:29" x14ac:dyDescent="0.25">
      <c r="B845" s="266"/>
      <c r="C845" s="266"/>
      <c r="D845" s="266"/>
      <c r="E845" s="266"/>
      <c r="F845" s="266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  <c r="AB845" s="266"/>
      <c r="AC845" s="266"/>
    </row>
    <row r="846" spans="2:29" x14ac:dyDescent="0.25">
      <c r="B846" s="266"/>
      <c r="C846" s="266"/>
      <c r="D846" s="266"/>
      <c r="E846" s="266"/>
      <c r="F846" s="266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  <c r="AB846" s="266"/>
      <c r="AC846" s="266"/>
    </row>
    <row r="847" spans="2:29" x14ac:dyDescent="0.25">
      <c r="B847" s="266"/>
      <c r="C847" s="266"/>
      <c r="D847" s="266"/>
      <c r="E847" s="266"/>
      <c r="F847" s="266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  <c r="AB847" s="266"/>
      <c r="AC847" s="266"/>
    </row>
    <row r="848" spans="2:29" x14ac:dyDescent="0.25">
      <c r="B848" s="266"/>
      <c r="C848" s="266"/>
      <c r="D848" s="266"/>
      <c r="E848" s="266"/>
      <c r="F848" s="266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  <c r="AB848" s="266"/>
      <c r="AC848" s="266"/>
    </row>
    <row r="849" spans="2:29" x14ac:dyDescent="0.25">
      <c r="B849" s="266"/>
      <c r="C849" s="266"/>
      <c r="D849" s="266"/>
      <c r="E849" s="266"/>
      <c r="F849" s="266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  <c r="AB849" s="266"/>
      <c r="AC849" s="266"/>
    </row>
    <row r="850" spans="2:29" x14ac:dyDescent="0.25">
      <c r="B850" s="266"/>
      <c r="C850" s="266"/>
      <c r="D850" s="266"/>
      <c r="E850" s="266"/>
      <c r="F850" s="266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  <c r="AB850" s="266"/>
      <c r="AC850" s="266"/>
    </row>
    <row r="851" spans="2:29" x14ac:dyDescent="0.25">
      <c r="B851" s="266"/>
      <c r="C851" s="266"/>
      <c r="D851" s="266"/>
      <c r="E851" s="266"/>
      <c r="F851" s="266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  <c r="AB851" s="266"/>
      <c r="AC851" s="266"/>
    </row>
    <row r="852" spans="2:29" x14ac:dyDescent="0.25">
      <c r="B852" s="266"/>
      <c r="C852" s="266"/>
      <c r="D852" s="266"/>
      <c r="E852" s="266"/>
      <c r="F852" s="266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  <c r="AB852" s="266"/>
      <c r="AC852" s="266"/>
    </row>
    <row r="853" spans="2:29" x14ac:dyDescent="0.25">
      <c r="B853" s="266"/>
      <c r="C853" s="266"/>
      <c r="D853" s="266"/>
      <c r="E853" s="266"/>
      <c r="F853" s="266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  <c r="AB853" s="266"/>
      <c r="AC853" s="266"/>
    </row>
    <row r="854" spans="2:29" x14ac:dyDescent="0.25">
      <c r="B854" s="266"/>
      <c r="C854" s="266"/>
      <c r="D854" s="266"/>
      <c r="E854" s="266"/>
      <c r="F854" s="266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  <c r="AB854" s="266"/>
      <c r="AC854" s="266"/>
    </row>
    <row r="855" spans="2:29" x14ac:dyDescent="0.25">
      <c r="B855" s="266"/>
      <c r="C855" s="266"/>
      <c r="D855" s="266"/>
      <c r="E855" s="266"/>
      <c r="F855" s="266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  <c r="AB855" s="266"/>
      <c r="AC855" s="266"/>
    </row>
    <row r="856" spans="2:29" x14ac:dyDescent="0.25">
      <c r="B856" s="266"/>
      <c r="C856" s="266"/>
      <c r="D856" s="266"/>
      <c r="E856" s="266"/>
      <c r="F856" s="266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  <c r="AB856" s="266"/>
      <c r="AC856" s="266"/>
    </row>
    <row r="857" spans="2:29" x14ac:dyDescent="0.25">
      <c r="B857" s="266"/>
      <c r="C857" s="266"/>
      <c r="D857" s="266"/>
      <c r="E857" s="266"/>
      <c r="F857" s="266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  <c r="AB857" s="266"/>
      <c r="AC857" s="266"/>
    </row>
    <row r="858" spans="2:29" x14ac:dyDescent="0.25">
      <c r="B858" s="266"/>
      <c r="C858" s="266"/>
      <c r="D858" s="266"/>
      <c r="E858" s="266"/>
      <c r="F858" s="266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  <c r="AB858" s="266"/>
      <c r="AC858" s="266"/>
    </row>
    <row r="859" spans="2:29" x14ac:dyDescent="0.25">
      <c r="B859" s="266"/>
      <c r="C859" s="266"/>
      <c r="D859" s="266"/>
      <c r="E859" s="266"/>
      <c r="F859" s="266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  <c r="AB859" s="266"/>
      <c r="AC859" s="266"/>
    </row>
    <row r="860" spans="2:29" x14ac:dyDescent="0.25">
      <c r="B860" s="266"/>
      <c r="C860" s="266"/>
      <c r="D860" s="266"/>
      <c r="E860" s="266"/>
      <c r="F860" s="266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  <c r="AB860" s="266"/>
      <c r="AC860" s="266"/>
    </row>
    <row r="861" spans="2:29" x14ac:dyDescent="0.25">
      <c r="B861" s="266"/>
      <c r="C861" s="266"/>
      <c r="D861" s="266"/>
      <c r="E861" s="266"/>
      <c r="F861" s="266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  <c r="AB861" s="266"/>
      <c r="AC861" s="266"/>
    </row>
    <row r="862" spans="2:29" x14ac:dyDescent="0.25">
      <c r="B862" s="266"/>
      <c r="C862" s="266"/>
      <c r="D862" s="266"/>
      <c r="E862" s="266"/>
      <c r="F862" s="266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  <c r="AB862" s="266"/>
      <c r="AC862" s="266"/>
    </row>
    <row r="863" spans="2:29" x14ac:dyDescent="0.25">
      <c r="B863" s="266"/>
      <c r="C863" s="266"/>
      <c r="D863" s="266"/>
      <c r="E863" s="266"/>
      <c r="F863" s="266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  <c r="AB863" s="266"/>
      <c r="AC863" s="266"/>
    </row>
    <row r="864" spans="2:29" x14ac:dyDescent="0.25">
      <c r="B864" s="266"/>
      <c r="C864" s="266"/>
      <c r="D864" s="266"/>
      <c r="E864" s="266"/>
      <c r="F864" s="266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  <c r="AB864" s="266"/>
      <c r="AC864" s="266"/>
    </row>
    <row r="865" spans="2:29" x14ac:dyDescent="0.25">
      <c r="B865" s="266"/>
      <c r="C865" s="266"/>
      <c r="D865" s="266"/>
      <c r="E865" s="266"/>
      <c r="F865" s="266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  <c r="AB865" s="266"/>
      <c r="AC865" s="266"/>
    </row>
    <row r="866" spans="2:29" x14ac:dyDescent="0.25">
      <c r="B866" s="266"/>
      <c r="C866" s="266"/>
      <c r="D866" s="266"/>
      <c r="E866" s="266"/>
      <c r="F866" s="266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  <c r="AB866" s="266"/>
      <c r="AC866" s="266"/>
    </row>
    <row r="867" spans="2:29" x14ac:dyDescent="0.25">
      <c r="B867" s="266"/>
      <c r="C867" s="266"/>
      <c r="D867" s="266"/>
      <c r="E867" s="266"/>
      <c r="F867" s="266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  <c r="AB867" s="266"/>
      <c r="AC867" s="266"/>
    </row>
    <row r="868" spans="2:29" x14ac:dyDescent="0.25">
      <c r="B868" s="266"/>
      <c r="C868" s="266"/>
      <c r="D868" s="266"/>
      <c r="E868" s="266"/>
      <c r="F868" s="266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  <c r="AB868" s="266"/>
      <c r="AC868" s="266"/>
    </row>
    <row r="869" spans="2:29" x14ac:dyDescent="0.25">
      <c r="B869" s="266"/>
      <c r="C869" s="266"/>
      <c r="D869" s="266"/>
      <c r="E869" s="266"/>
      <c r="F869" s="266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  <c r="AB869" s="266"/>
      <c r="AC869" s="266"/>
    </row>
    <row r="870" spans="2:29" x14ac:dyDescent="0.25">
      <c r="B870" s="266"/>
      <c r="C870" s="266"/>
      <c r="D870" s="266"/>
      <c r="E870" s="266"/>
      <c r="F870" s="266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  <c r="AB870" s="266"/>
      <c r="AC870" s="266"/>
    </row>
    <row r="871" spans="2:29" x14ac:dyDescent="0.25">
      <c r="B871" s="266"/>
      <c r="C871" s="266"/>
      <c r="D871" s="266"/>
      <c r="E871" s="266"/>
      <c r="F871" s="266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  <c r="AB871" s="266"/>
      <c r="AC871" s="266"/>
    </row>
    <row r="872" spans="2:29" x14ac:dyDescent="0.25">
      <c r="B872" s="266"/>
      <c r="C872" s="266"/>
      <c r="D872" s="266"/>
      <c r="E872" s="266"/>
      <c r="F872" s="266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  <c r="AB872" s="266"/>
      <c r="AC872" s="266"/>
    </row>
    <row r="873" spans="2:29" x14ac:dyDescent="0.25">
      <c r="B873" s="266"/>
      <c r="C873" s="266"/>
      <c r="D873" s="266"/>
      <c r="E873" s="266"/>
      <c r="F873" s="266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  <c r="AB873" s="266"/>
      <c r="AC873" s="266"/>
    </row>
    <row r="874" spans="2:29" x14ac:dyDescent="0.25">
      <c r="B874" s="266"/>
      <c r="C874" s="266"/>
      <c r="D874" s="266"/>
      <c r="E874" s="266"/>
      <c r="F874" s="266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  <c r="AB874" s="266"/>
      <c r="AC874" s="266"/>
    </row>
    <row r="875" spans="2:29" x14ac:dyDescent="0.25">
      <c r="B875" s="266"/>
      <c r="C875" s="266"/>
      <c r="D875" s="266"/>
      <c r="E875" s="266"/>
      <c r="F875" s="266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  <c r="AB875" s="266"/>
      <c r="AC875" s="266"/>
    </row>
    <row r="876" spans="2:29" x14ac:dyDescent="0.25">
      <c r="B876" s="266"/>
      <c r="C876" s="266"/>
      <c r="D876" s="266"/>
      <c r="E876" s="266"/>
      <c r="F876" s="266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  <c r="AB876" s="266"/>
      <c r="AC876" s="266"/>
    </row>
    <row r="877" spans="2:29" x14ac:dyDescent="0.25">
      <c r="B877" s="266"/>
      <c r="C877" s="266"/>
      <c r="D877" s="266"/>
      <c r="E877" s="266"/>
      <c r="F877" s="266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  <c r="AB877" s="266"/>
      <c r="AC877" s="266"/>
    </row>
    <row r="878" spans="2:29" x14ac:dyDescent="0.25">
      <c r="B878" s="266"/>
      <c r="C878" s="266"/>
      <c r="D878" s="266"/>
      <c r="E878" s="266"/>
      <c r="F878" s="266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  <c r="AB878" s="266"/>
      <c r="AC878" s="266"/>
    </row>
    <row r="879" spans="2:29" x14ac:dyDescent="0.25">
      <c r="B879" s="266"/>
      <c r="C879" s="266"/>
      <c r="D879" s="266"/>
      <c r="E879" s="266"/>
      <c r="F879" s="266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  <c r="AB879" s="266"/>
      <c r="AC879" s="266"/>
    </row>
    <row r="880" spans="2:29" x14ac:dyDescent="0.25">
      <c r="B880" s="266"/>
      <c r="C880" s="266"/>
      <c r="D880" s="266"/>
      <c r="E880" s="266"/>
      <c r="F880" s="266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  <c r="AB880" s="266"/>
      <c r="AC880" s="266"/>
    </row>
    <row r="881" spans="2:29" x14ac:dyDescent="0.25">
      <c r="B881" s="266"/>
      <c r="C881" s="266"/>
      <c r="D881" s="266"/>
      <c r="E881" s="266"/>
      <c r="F881" s="266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  <c r="AB881" s="266"/>
      <c r="AC881" s="266"/>
    </row>
    <row r="882" spans="2:29" x14ac:dyDescent="0.25">
      <c r="B882" s="266"/>
      <c r="C882" s="266"/>
      <c r="D882" s="266"/>
      <c r="E882" s="266"/>
      <c r="F882" s="266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  <c r="AB882" s="266"/>
      <c r="AC882" s="266"/>
    </row>
    <row r="883" spans="2:29" x14ac:dyDescent="0.25">
      <c r="B883" s="266"/>
      <c r="C883" s="266"/>
      <c r="D883" s="266"/>
      <c r="E883" s="266"/>
      <c r="F883" s="266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  <c r="AB883" s="266"/>
      <c r="AC883" s="266"/>
    </row>
    <row r="884" spans="2:29" x14ac:dyDescent="0.25">
      <c r="B884" s="266"/>
      <c r="C884" s="266"/>
      <c r="D884" s="266"/>
      <c r="E884" s="266"/>
      <c r="F884" s="266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  <c r="AB884" s="266"/>
      <c r="AC884" s="266"/>
    </row>
    <row r="885" spans="2:29" x14ac:dyDescent="0.25">
      <c r="B885" s="266"/>
      <c r="C885" s="266"/>
      <c r="D885" s="266"/>
      <c r="E885" s="266"/>
      <c r="F885" s="266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  <c r="AB885" s="266"/>
      <c r="AC885" s="266"/>
    </row>
    <row r="886" spans="2:29" x14ac:dyDescent="0.25">
      <c r="B886" s="266"/>
      <c r="C886" s="266"/>
      <c r="D886" s="266"/>
      <c r="E886" s="266"/>
      <c r="F886" s="266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  <c r="AB886" s="266"/>
      <c r="AC886" s="266"/>
    </row>
    <row r="887" spans="2:29" x14ac:dyDescent="0.25">
      <c r="B887" s="266"/>
      <c r="C887" s="266"/>
      <c r="D887" s="266"/>
      <c r="E887" s="266"/>
      <c r="F887" s="266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  <c r="AB887" s="266"/>
      <c r="AC887" s="266"/>
    </row>
    <row r="888" spans="2:29" x14ac:dyDescent="0.25">
      <c r="B888" s="266"/>
      <c r="C888" s="266"/>
      <c r="D888" s="266"/>
      <c r="E888" s="266"/>
      <c r="F888" s="266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  <c r="AB888" s="266"/>
      <c r="AC888" s="266"/>
    </row>
    <row r="889" spans="2:29" x14ac:dyDescent="0.25">
      <c r="B889" s="266"/>
      <c r="C889" s="266"/>
      <c r="D889" s="266"/>
      <c r="E889" s="266"/>
      <c r="F889" s="266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  <c r="AB889" s="266"/>
      <c r="AC889" s="266"/>
    </row>
    <row r="890" spans="2:29" x14ac:dyDescent="0.25">
      <c r="B890" s="266"/>
      <c r="C890" s="266"/>
      <c r="D890" s="266"/>
      <c r="E890" s="266"/>
      <c r="F890" s="266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  <c r="AB890" s="266"/>
      <c r="AC890" s="266"/>
    </row>
    <row r="891" spans="2:29" x14ac:dyDescent="0.25">
      <c r="B891" s="266"/>
      <c r="C891" s="266"/>
      <c r="D891" s="266"/>
      <c r="E891" s="266"/>
      <c r="F891" s="266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  <c r="AB891" s="266"/>
      <c r="AC891" s="266"/>
    </row>
    <row r="892" spans="2:29" x14ac:dyDescent="0.25">
      <c r="B892" s="266"/>
      <c r="C892" s="266"/>
      <c r="D892" s="266"/>
      <c r="E892" s="266"/>
      <c r="F892" s="266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  <c r="AB892" s="266"/>
      <c r="AC892" s="266"/>
    </row>
    <row r="893" spans="2:29" x14ac:dyDescent="0.25">
      <c r="B893" s="266"/>
      <c r="C893" s="266"/>
      <c r="D893" s="266"/>
      <c r="E893" s="266"/>
      <c r="F893" s="266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  <c r="AB893" s="266"/>
      <c r="AC893" s="266"/>
    </row>
    <row r="894" spans="2:29" x14ac:dyDescent="0.25">
      <c r="B894" s="266"/>
      <c r="C894" s="266"/>
      <c r="D894" s="266"/>
      <c r="E894" s="266"/>
      <c r="F894" s="266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  <c r="AB894" s="266"/>
      <c r="AC894" s="266"/>
    </row>
    <row r="895" spans="2:29" x14ac:dyDescent="0.25">
      <c r="B895" s="266"/>
      <c r="C895" s="266"/>
      <c r="D895" s="266"/>
      <c r="E895" s="266"/>
      <c r="F895" s="266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  <c r="AB895" s="266"/>
      <c r="AC895" s="266"/>
    </row>
    <row r="896" spans="2:29" x14ac:dyDescent="0.25">
      <c r="B896" s="266"/>
      <c r="C896" s="266"/>
      <c r="D896" s="266"/>
      <c r="E896" s="266"/>
      <c r="F896" s="266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  <c r="AB896" s="266"/>
      <c r="AC896" s="266"/>
    </row>
    <row r="897" spans="2:29" x14ac:dyDescent="0.25">
      <c r="B897" s="266"/>
      <c r="C897" s="266"/>
      <c r="D897" s="266"/>
      <c r="E897" s="266"/>
      <c r="F897" s="266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  <c r="AB897" s="266"/>
      <c r="AC897" s="266"/>
    </row>
    <row r="898" spans="2:29" x14ac:dyDescent="0.25">
      <c r="B898" s="266"/>
      <c r="C898" s="266"/>
      <c r="D898" s="266"/>
      <c r="E898" s="266"/>
      <c r="F898" s="266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  <c r="AB898" s="266"/>
      <c r="AC898" s="266"/>
    </row>
    <row r="899" spans="2:29" x14ac:dyDescent="0.25">
      <c r="B899" s="266"/>
      <c r="C899" s="266"/>
      <c r="D899" s="266"/>
      <c r="E899" s="266"/>
      <c r="F899" s="266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  <c r="AB899" s="266"/>
      <c r="AC899" s="266"/>
    </row>
    <row r="900" spans="2:29" x14ac:dyDescent="0.25">
      <c r="B900" s="266"/>
      <c r="C900" s="266"/>
      <c r="D900" s="266"/>
      <c r="E900" s="266"/>
      <c r="F900" s="266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  <c r="AB900" s="266"/>
      <c r="AC900" s="266"/>
    </row>
    <row r="901" spans="2:29" x14ac:dyDescent="0.25">
      <c r="B901" s="266"/>
      <c r="C901" s="266"/>
      <c r="D901" s="266"/>
      <c r="E901" s="266"/>
      <c r="F901" s="266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  <c r="AB901" s="266"/>
      <c r="AC901" s="266"/>
    </row>
    <row r="902" spans="2:29" x14ac:dyDescent="0.25">
      <c r="B902" s="266"/>
      <c r="C902" s="266"/>
      <c r="D902" s="266"/>
      <c r="E902" s="266"/>
      <c r="F902" s="266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  <c r="AB902" s="266"/>
      <c r="AC902" s="266"/>
    </row>
    <row r="903" spans="2:29" x14ac:dyDescent="0.25">
      <c r="B903" s="266"/>
      <c r="C903" s="266"/>
      <c r="D903" s="266"/>
      <c r="E903" s="266"/>
      <c r="F903" s="266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  <c r="AB903" s="266"/>
      <c r="AC903" s="266"/>
    </row>
    <row r="904" spans="2:29" x14ac:dyDescent="0.25">
      <c r="B904" s="266"/>
      <c r="C904" s="266"/>
      <c r="D904" s="266"/>
      <c r="E904" s="266"/>
      <c r="F904" s="266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  <c r="AB904" s="266"/>
      <c r="AC904" s="266"/>
    </row>
    <row r="905" spans="2:29" x14ac:dyDescent="0.25">
      <c r="B905" s="266"/>
      <c r="C905" s="266"/>
      <c r="D905" s="266"/>
      <c r="E905" s="266"/>
      <c r="F905" s="266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  <c r="AB905" s="266"/>
      <c r="AC905" s="266"/>
    </row>
    <row r="906" spans="2:29" x14ac:dyDescent="0.25">
      <c r="B906" s="266"/>
      <c r="C906" s="266"/>
      <c r="D906" s="266"/>
      <c r="E906" s="266"/>
      <c r="F906" s="266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  <c r="AB906" s="266"/>
      <c r="AC906" s="266"/>
    </row>
    <row r="907" spans="2:29" x14ac:dyDescent="0.25">
      <c r="B907" s="266"/>
      <c r="C907" s="266"/>
      <c r="D907" s="266"/>
      <c r="E907" s="266"/>
      <c r="F907" s="266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  <c r="AB907" s="266"/>
      <c r="AC907" s="266"/>
    </row>
    <row r="908" spans="2:29" x14ac:dyDescent="0.25">
      <c r="B908" s="266"/>
      <c r="C908" s="266"/>
      <c r="D908" s="266"/>
      <c r="E908" s="266"/>
      <c r="F908" s="266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  <c r="AB908" s="266"/>
      <c r="AC908" s="266"/>
    </row>
    <row r="909" spans="2:29" x14ac:dyDescent="0.25">
      <c r="B909" s="266"/>
      <c r="C909" s="266"/>
      <c r="D909" s="266"/>
      <c r="E909" s="266"/>
      <c r="F909" s="266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  <c r="AB909" s="266"/>
      <c r="AC909" s="266"/>
    </row>
    <row r="910" spans="2:29" x14ac:dyDescent="0.25">
      <c r="B910" s="266"/>
      <c r="C910" s="266"/>
      <c r="D910" s="266"/>
      <c r="E910" s="266"/>
      <c r="F910" s="266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  <c r="AB910" s="266"/>
      <c r="AC910" s="266"/>
    </row>
    <row r="911" spans="2:29" x14ac:dyDescent="0.25">
      <c r="B911" s="266"/>
      <c r="C911" s="266"/>
      <c r="D911" s="266"/>
      <c r="E911" s="266"/>
      <c r="F911" s="266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  <c r="AB911" s="266"/>
      <c r="AC911" s="266"/>
    </row>
    <row r="912" spans="2:29" x14ac:dyDescent="0.25">
      <c r="B912" s="266"/>
      <c r="C912" s="266"/>
      <c r="D912" s="266"/>
      <c r="E912" s="266"/>
      <c r="F912" s="266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  <c r="AB912" s="266"/>
      <c r="AC912" s="266"/>
    </row>
    <row r="913" spans="2:29" x14ac:dyDescent="0.25">
      <c r="B913" s="266"/>
      <c r="C913" s="266"/>
      <c r="D913" s="266"/>
      <c r="E913" s="266"/>
      <c r="F913" s="266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  <c r="AB913" s="266"/>
      <c r="AC913" s="266"/>
    </row>
    <row r="914" spans="2:29" x14ac:dyDescent="0.25">
      <c r="B914" s="266"/>
      <c r="C914" s="266"/>
      <c r="D914" s="266"/>
      <c r="E914" s="266"/>
      <c r="F914" s="266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  <c r="AB914" s="266"/>
      <c r="AC914" s="266"/>
    </row>
    <row r="915" spans="2:29" x14ac:dyDescent="0.25">
      <c r="B915" s="266"/>
      <c r="C915" s="266"/>
      <c r="D915" s="266"/>
      <c r="E915" s="266"/>
      <c r="F915" s="266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  <c r="AB915" s="266"/>
      <c r="AC915" s="266"/>
    </row>
    <row r="916" spans="2:29" x14ac:dyDescent="0.25">
      <c r="B916" s="266"/>
      <c r="C916" s="266"/>
      <c r="D916" s="266"/>
      <c r="E916" s="266"/>
      <c r="F916" s="266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  <c r="AB916" s="266"/>
      <c r="AC916" s="266"/>
    </row>
    <row r="917" spans="2:29" x14ac:dyDescent="0.25">
      <c r="B917" s="266"/>
      <c r="C917" s="266"/>
      <c r="D917" s="266"/>
      <c r="E917" s="266"/>
      <c r="F917" s="266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  <c r="AB917" s="266"/>
      <c r="AC917" s="266"/>
    </row>
    <row r="918" spans="2:29" x14ac:dyDescent="0.25">
      <c r="B918" s="266"/>
      <c r="C918" s="266"/>
      <c r="D918" s="266"/>
      <c r="E918" s="266"/>
      <c r="F918" s="266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  <c r="AB918" s="266"/>
      <c r="AC918" s="266"/>
    </row>
    <row r="919" spans="2:29" x14ac:dyDescent="0.25">
      <c r="B919" s="266"/>
      <c r="C919" s="266"/>
      <c r="D919" s="266"/>
      <c r="E919" s="266"/>
      <c r="F919" s="266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  <c r="AB919" s="266"/>
      <c r="AC919" s="266"/>
    </row>
    <row r="920" spans="2:29" x14ac:dyDescent="0.25">
      <c r="B920" s="266"/>
      <c r="C920" s="266"/>
      <c r="D920" s="266"/>
      <c r="E920" s="266"/>
      <c r="F920" s="266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  <c r="AB920" s="266"/>
      <c r="AC920" s="266"/>
    </row>
    <row r="921" spans="2:29" x14ac:dyDescent="0.25">
      <c r="B921" s="266"/>
      <c r="C921" s="266"/>
      <c r="D921" s="266"/>
      <c r="E921" s="266"/>
      <c r="F921" s="266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  <c r="AB921" s="266"/>
      <c r="AC921" s="266"/>
    </row>
    <row r="922" spans="2:29" x14ac:dyDescent="0.25">
      <c r="B922" s="266"/>
      <c r="C922" s="266"/>
      <c r="D922" s="266"/>
      <c r="E922" s="266"/>
      <c r="F922" s="266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  <c r="AB922" s="266"/>
      <c r="AC922" s="266"/>
    </row>
    <row r="923" spans="2:29" x14ac:dyDescent="0.25">
      <c r="B923" s="266"/>
      <c r="C923" s="266"/>
      <c r="D923" s="266"/>
      <c r="E923" s="266"/>
      <c r="F923" s="266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  <c r="AB923" s="266"/>
      <c r="AC923" s="266"/>
    </row>
    <row r="924" spans="2:29" x14ac:dyDescent="0.25">
      <c r="B924" s="266"/>
      <c r="C924" s="266"/>
      <c r="D924" s="266"/>
      <c r="E924" s="266"/>
      <c r="F924" s="266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  <c r="AB924" s="266"/>
      <c r="AC924" s="266"/>
    </row>
    <row r="925" spans="2:29" x14ac:dyDescent="0.25">
      <c r="B925" s="266"/>
      <c r="C925" s="266"/>
      <c r="D925" s="266"/>
      <c r="E925" s="266"/>
      <c r="F925" s="266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  <c r="AB925" s="266"/>
      <c r="AC925" s="266"/>
    </row>
    <row r="926" spans="2:29" x14ac:dyDescent="0.25">
      <c r="B926" s="266"/>
      <c r="C926" s="266"/>
      <c r="D926" s="266"/>
      <c r="E926" s="266"/>
      <c r="F926" s="266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  <c r="AB926" s="266"/>
      <c r="AC926" s="266"/>
    </row>
    <row r="927" spans="2:29" x14ac:dyDescent="0.25">
      <c r="B927" s="266"/>
      <c r="C927" s="266"/>
      <c r="D927" s="266"/>
      <c r="E927" s="266"/>
      <c r="F927" s="266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  <c r="AB927" s="266"/>
      <c r="AC927" s="266"/>
    </row>
    <row r="928" spans="2:29" x14ac:dyDescent="0.25">
      <c r="B928" s="266"/>
      <c r="C928" s="266"/>
      <c r="D928" s="266"/>
      <c r="E928" s="266"/>
      <c r="F928" s="266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  <c r="AB928" s="266"/>
      <c r="AC928" s="266"/>
    </row>
    <row r="929" spans="2:29" x14ac:dyDescent="0.25">
      <c r="B929" s="266"/>
      <c r="C929" s="266"/>
      <c r="D929" s="266"/>
      <c r="E929" s="266"/>
      <c r="F929" s="266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  <c r="AB929" s="266"/>
      <c r="AC929" s="266"/>
    </row>
    <row r="930" spans="2:29" x14ac:dyDescent="0.25">
      <c r="B930" s="266"/>
      <c r="C930" s="266"/>
      <c r="D930" s="266"/>
      <c r="E930" s="266"/>
      <c r="F930" s="266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  <c r="AB930" s="266"/>
      <c r="AC930" s="266"/>
    </row>
    <row r="931" spans="2:29" x14ac:dyDescent="0.25">
      <c r="B931" s="266"/>
      <c r="C931" s="266"/>
      <c r="D931" s="266"/>
      <c r="E931" s="266"/>
      <c r="F931" s="266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  <c r="AB931" s="266"/>
      <c r="AC931" s="266"/>
    </row>
    <row r="932" spans="2:29" x14ac:dyDescent="0.25">
      <c r="B932" s="266"/>
      <c r="C932" s="266"/>
      <c r="D932" s="266"/>
      <c r="E932" s="266"/>
      <c r="F932" s="266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  <c r="AB932" s="266"/>
      <c r="AC932" s="266"/>
    </row>
    <row r="933" spans="2:29" x14ac:dyDescent="0.25">
      <c r="B933" s="266"/>
      <c r="C933" s="266"/>
      <c r="D933" s="266"/>
      <c r="E933" s="266"/>
      <c r="F933" s="266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  <c r="AB933" s="266"/>
      <c r="AC933" s="266"/>
    </row>
    <row r="934" spans="2:29" x14ac:dyDescent="0.25">
      <c r="B934" s="266"/>
      <c r="C934" s="266"/>
      <c r="D934" s="266"/>
      <c r="E934" s="266"/>
      <c r="F934" s="266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  <c r="AB934" s="266"/>
      <c r="AC934" s="266"/>
    </row>
    <row r="935" spans="2:29" x14ac:dyDescent="0.25">
      <c r="B935" s="266"/>
      <c r="C935" s="266"/>
      <c r="D935" s="266"/>
      <c r="E935" s="266"/>
      <c r="F935" s="266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  <c r="AB935" s="266"/>
      <c r="AC935" s="266"/>
    </row>
    <row r="936" spans="2:29" x14ac:dyDescent="0.25">
      <c r="B936" s="266"/>
      <c r="C936" s="266"/>
      <c r="D936" s="266"/>
      <c r="E936" s="266"/>
      <c r="F936" s="266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  <c r="AB936" s="266"/>
      <c r="AC936" s="266"/>
    </row>
    <row r="937" spans="2:29" x14ac:dyDescent="0.25">
      <c r="B937" s="266"/>
      <c r="C937" s="266"/>
      <c r="D937" s="266"/>
      <c r="E937" s="266"/>
      <c r="F937" s="266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  <c r="AB937" s="266"/>
      <c r="AC937" s="266"/>
    </row>
    <row r="938" spans="2:29" x14ac:dyDescent="0.25">
      <c r="B938" s="266"/>
      <c r="C938" s="266"/>
      <c r="D938" s="266"/>
      <c r="E938" s="266"/>
      <c r="F938" s="266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  <c r="AB938" s="266"/>
      <c r="AC938" s="266"/>
    </row>
    <row r="939" spans="2:29" x14ac:dyDescent="0.25">
      <c r="B939" s="266"/>
      <c r="C939" s="266"/>
      <c r="D939" s="266"/>
      <c r="E939" s="266"/>
      <c r="F939" s="266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  <c r="AB939" s="266"/>
      <c r="AC939" s="266"/>
    </row>
    <row r="940" spans="2:29" x14ac:dyDescent="0.25">
      <c r="B940" s="266"/>
      <c r="C940" s="266"/>
      <c r="D940" s="266"/>
      <c r="E940" s="266"/>
      <c r="F940" s="266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  <c r="AB940" s="266"/>
      <c r="AC940" s="266"/>
    </row>
    <row r="941" spans="2:29" x14ac:dyDescent="0.25">
      <c r="B941" s="266"/>
      <c r="C941" s="266"/>
      <c r="D941" s="266"/>
      <c r="E941" s="266"/>
      <c r="F941" s="266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  <c r="AB941" s="266"/>
      <c r="AC941" s="266"/>
    </row>
    <row r="942" spans="2:29" x14ac:dyDescent="0.25">
      <c r="B942" s="266"/>
      <c r="C942" s="266"/>
      <c r="D942" s="266"/>
      <c r="E942" s="266"/>
      <c r="F942" s="266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  <c r="AB942" s="266"/>
      <c r="AC942" s="266"/>
    </row>
    <row r="943" spans="2:29" x14ac:dyDescent="0.25">
      <c r="B943" s="266"/>
      <c r="C943" s="266"/>
      <c r="D943" s="266"/>
      <c r="E943" s="266"/>
      <c r="F943" s="266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  <c r="AB943" s="266"/>
      <c r="AC943" s="266"/>
    </row>
    <row r="944" spans="2:29" x14ac:dyDescent="0.25">
      <c r="B944" s="266"/>
      <c r="C944" s="266"/>
      <c r="D944" s="266"/>
      <c r="E944" s="266"/>
      <c r="F944" s="266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  <c r="AB944" s="266"/>
      <c r="AC944" s="266"/>
    </row>
    <row r="945" spans="2:29" x14ac:dyDescent="0.25">
      <c r="B945" s="266"/>
      <c r="C945" s="266"/>
      <c r="D945" s="266"/>
      <c r="E945" s="266"/>
      <c r="F945" s="266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  <c r="AB945" s="266"/>
      <c r="AC945" s="266"/>
    </row>
    <row r="946" spans="2:29" x14ac:dyDescent="0.25">
      <c r="B946" s="266"/>
      <c r="C946" s="266"/>
      <c r="D946" s="266"/>
      <c r="E946" s="266"/>
      <c r="F946" s="266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  <c r="AB946" s="266"/>
      <c r="AC946" s="266"/>
    </row>
    <row r="947" spans="2:29" x14ac:dyDescent="0.25">
      <c r="B947" s="266"/>
      <c r="C947" s="266"/>
      <c r="D947" s="266"/>
      <c r="E947" s="266"/>
      <c r="F947" s="266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  <c r="AB947" s="266"/>
      <c r="AC947" s="266"/>
    </row>
    <row r="948" spans="2:29" x14ac:dyDescent="0.25">
      <c r="B948" s="266"/>
      <c r="C948" s="266"/>
      <c r="D948" s="266"/>
      <c r="E948" s="266"/>
      <c r="F948" s="266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  <c r="AB948" s="266"/>
      <c r="AC948" s="266"/>
    </row>
    <row r="949" spans="2:29" x14ac:dyDescent="0.25">
      <c r="B949" s="266"/>
      <c r="C949" s="266"/>
      <c r="D949" s="266"/>
      <c r="E949" s="266"/>
      <c r="F949" s="266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  <c r="AB949" s="266"/>
      <c r="AC949" s="266"/>
    </row>
    <row r="950" spans="2:29" x14ac:dyDescent="0.25">
      <c r="B950" s="266"/>
      <c r="C950" s="266"/>
      <c r="D950" s="266"/>
      <c r="E950" s="266"/>
      <c r="F950" s="266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  <c r="AB950" s="266"/>
      <c r="AC950" s="266"/>
    </row>
    <row r="951" spans="2:29" x14ac:dyDescent="0.25">
      <c r="B951" s="266"/>
      <c r="C951" s="266"/>
      <c r="D951" s="266"/>
      <c r="E951" s="266"/>
      <c r="F951" s="266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  <c r="AB951" s="266"/>
      <c r="AC951" s="266"/>
    </row>
    <row r="952" spans="2:29" x14ac:dyDescent="0.25">
      <c r="B952" s="266"/>
      <c r="C952" s="266"/>
      <c r="D952" s="266"/>
      <c r="E952" s="266"/>
      <c r="F952" s="266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  <c r="AB952" s="266"/>
      <c r="AC952" s="266"/>
    </row>
    <row r="953" spans="2:29" x14ac:dyDescent="0.25">
      <c r="B953" s="266"/>
      <c r="C953" s="266"/>
      <c r="D953" s="266"/>
      <c r="E953" s="266"/>
      <c r="F953" s="266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  <c r="AB953" s="266"/>
      <c r="AC953" s="266"/>
    </row>
    <row r="954" spans="2:29" x14ac:dyDescent="0.25">
      <c r="B954" s="266"/>
      <c r="C954" s="266"/>
      <c r="D954" s="266"/>
      <c r="E954" s="266"/>
      <c r="F954" s="266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  <c r="AB954" s="266"/>
      <c r="AC954" s="266"/>
    </row>
    <row r="955" spans="2:29" x14ac:dyDescent="0.25">
      <c r="B955" s="266"/>
      <c r="C955" s="266"/>
      <c r="D955" s="266"/>
      <c r="E955" s="266"/>
      <c r="F955" s="266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  <c r="AB955" s="266"/>
      <c r="AC955" s="266"/>
    </row>
    <row r="956" spans="2:29" x14ac:dyDescent="0.25">
      <c r="B956" s="266"/>
      <c r="C956" s="266"/>
      <c r="D956" s="266"/>
      <c r="E956" s="266"/>
      <c r="F956" s="266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  <c r="AB956" s="266"/>
      <c r="AC956" s="266"/>
    </row>
    <row r="957" spans="2:29" x14ac:dyDescent="0.25">
      <c r="B957" s="266"/>
      <c r="C957" s="266"/>
      <c r="D957" s="266"/>
      <c r="E957" s="266"/>
      <c r="F957" s="266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  <c r="AB957" s="266"/>
      <c r="AC957" s="266"/>
    </row>
    <row r="958" spans="2:29" x14ac:dyDescent="0.25">
      <c r="B958" s="266"/>
      <c r="C958" s="266"/>
      <c r="D958" s="266"/>
      <c r="E958" s="266"/>
      <c r="F958" s="266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  <c r="AB958" s="266"/>
      <c r="AC958" s="266"/>
    </row>
    <row r="959" spans="2:29" x14ac:dyDescent="0.25">
      <c r="B959" s="266"/>
      <c r="C959" s="266"/>
      <c r="D959" s="266"/>
      <c r="E959" s="266"/>
      <c r="F959" s="266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  <c r="AB959" s="266"/>
      <c r="AC959" s="266"/>
    </row>
    <row r="960" spans="2:29" x14ac:dyDescent="0.25">
      <c r="B960" s="266"/>
      <c r="C960" s="266"/>
      <c r="D960" s="266"/>
      <c r="E960" s="266"/>
      <c r="F960" s="266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  <c r="AB960" s="266"/>
      <c r="AC960" s="266"/>
    </row>
    <row r="961" spans="2:29" x14ac:dyDescent="0.25">
      <c r="B961" s="266"/>
      <c r="C961" s="266"/>
      <c r="D961" s="266"/>
      <c r="E961" s="266"/>
      <c r="F961" s="266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  <c r="AB961" s="266"/>
      <c r="AC961" s="266"/>
    </row>
    <row r="962" spans="2:29" x14ac:dyDescent="0.25">
      <c r="B962" s="266"/>
      <c r="C962" s="266"/>
      <c r="D962" s="266"/>
      <c r="E962" s="266"/>
      <c r="F962" s="266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  <c r="AB962" s="266"/>
      <c r="AC962" s="266"/>
    </row>
    <row r="963" spans="2:29" x14ac:dyDescent="0.25">
      <c r="B963" s="266"/>
      <c r="C963" s="266"/>
      <c r="D963" s="266"/>
      <c r="E963" s="266"/>
      <c r="F963" s="266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  <c r="AB963" s="266"/>
      <c r="AC963" s="266"/>
    </row>
    <row r="964" spans="2:29" x14ac:dyDescent="0.25">
      <c r="B964" s="266"/>
      <c r="C964" s="266"/>
      <c r="D964" s="266"/>
      <c r="E964" s="266"/>
      <c r="F964" s="266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  <c r="AB964" s="266"/>
      <c r="AC964" s="266"/>
    </row>
    <row r="965" spans="2:29" x14ac:dyDescent="0.25">
      <c r="B965" s="266"/>
      <c r="C965" s="266"/>
      <c r="D965" s="266"/>
      <c r="E965" s="266"/>
      <c r="F965" s="266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  <c r="AB965" s="266"/>
      <c r="AC965" s="266"/>
    </row>
    <row r="966" spans="2:29" x14ac:dyDescent="0.25">
      <c r="B966" s="266"/>
      <c r="C966" s="266"/>
      <c r="D966" s="266"/>
      <c r="E966" s="266"/>
      <c r="F966" s="266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  <c r="AB966" s="266"/>
      <c r="AC966" s="266"/>
    </row>
    <row r="967" spans="2:29" x14ac:dyDescent="0.25">
      <c r="B967" s="266"/>
      <c r="C967" s="266"/>
      <c r="D967" s="266"/>
      <c r="E967" s="266"/>
      <c r="F967" s="266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  <c r="AB967" s="266"/>
      <c r="AC967" s="266"/>
    </row>
    <row r="968" spans="2:29" x14ac:dyDescent="0.25">
      <c r="B968" s="266"/>
      <c r="C968" s="266"/>
      <c r="D968" s="266"/>
      <c r="E968" s="266"/>
      <c r="F968" s="266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  <c r="AB968" s="266"/>
      <c r="AC968" s="266"/>
    </row>
    <row r="969" spans="2:29" x14ac:dyDescent="0.25">
      <c r="B969" s="266"/>
      <c r="C969" s="266"/>
      <c r="D969" s="266"/>
      <c r="E969" s="266"/>
      <c r="F969" s="266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  <c r="AB969" s="266"/>
      <c r="AC969" s="266"/>
    </row>
    <row r="970" spans="2:29" x14ac:dyDescent="0.25">
      <c r="B970" s="266"/>
      <c r="C970" s="266"/>
      <c r="D970" s="266"/>
      <c r="E970" s="266"/>
      <c r="F970" s="266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  <c r="AB970" s="266"/>
      <c r="AC970" s="266"/>
    </row>
    <row r="971" spans="2:29" x14ac:dyDescent="0.25">
      <c r="B971" s="266"/>
      <c r="C971" s="266"/>
      <c r="D971" s="266"/>
      <c r="E971" s="266"/>
      <c r="F971" s="266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  <c r="AB971" s="266"/>
      <c r="AC971" s="266"/>
    </row>
    <row r="972" spans="2:29" x14ac:dyDescent="0.25">
      <c r="B972" s="266"/>
      <c r="C972" s="266"/>
      <c r="D972" s="266"/>
      <c r="E972" s="266"/>
      <c r="F972" s="266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  <c r="AB972" s="266"/>
      <c r="AC972" s="266"/>
    </row>
    <row r="973" spans="2:29" x14ac:dyDescent="0.25">
      <c r="B973" s="266"/>
      <c r="C973" s="266"/>
      <c r="D973" s="266"/>
      <c r="E973" s="266"/>
      <c r="F973" s="266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  <c r="AB973" s="266"/>
      <c r="AC973" s="266"/>
    </row>
    <row r="974" spans="2:29" x14ac:dyDescent="0.25">
      <c r="B974" s="266"/>
      <c r="C974" s="266"/>
      <c r="D974" s="266"/>
      <c r="E974" s="266"/>
      <c r="F974" s="266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  <c r="AB974" s="266"/>
      <c r="AC974" s="266"/>
    </row>
    <row r="975" spans="2:29" x14ac:dyDescent="0.25">
      <c r="B975" s="266"/>
      <c r="C975" s="266"/>
      <c r="D975" s="266"/>
      <c r="E975" s="266"/>
      <c r="F975" s="266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  <c r="AB975" s="266"/>
      <c r="AC975" s="266"/>
    </row>
    <row r="976" spans="2:29" x14ac:dyDescent="0.25">
      <c r="B976" s="266"/>
      <c r="C976" s="266"/>
      <c r="D976" s="266"/>
      <c r="E976" s="266"/>
      <c r="F976" s="266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  <c r="AB976" s="266"/>
      <c r="AC976" s="266"/>
    </row>
    <row r="977" spans="2:29" x14ac:dyDescent="0.25">
      <c r="B977" s="266"/>
      <c r="C977" s="266"/>
      <c r="D977" s="266"/>
      <c r="E977" s="266"/>
      <c r="F977" s="266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  <c r="AB977" s="266"/>
      <c r="AC977" s="266"/>
    </row>
    <row r="978" spans="2:29" x14ac:dyDescent="0.25">
      <c r="B978" s="266"/>
      <c r="C978" s="266"/>
      <c r="D978" s="266"/>
      <c r="E978" s="266"/>
      <c r="F978" s="266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  <c r="AB978" s="266"/>
      <c r="AC978" s="266"/>
    </row>
    <row r="979" spans="2:29" x14ac:dyDescent="0.25">
      <c r="B979" s="266"/>
      <c r="C979" s="266"/>
      <c r="D979" s="266"/>
      <c r="E979" s="266"/>
      <c r="F979" s="266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  <c r="AB979" s="266"/>
      <c r="AC979" s="266"/>
    </row>
    <row r="980" spans="2:29" x14ac:dyDescent="0.25">
      <c r="B980" s="266"/>
      <c r="C980" s="266"/>
      <c r="D980" s="266"/>
      <c r="E980" s="266"/>
      <c r="F980" s="266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  <c r="AB980" s="266"/>
      <c r="AC980" s="266"/>
    </row>
    <row r="981" spans="2:29" x14ac:dyDescent="0.25">
      <c r="B981" s="266"/>
      <c r="C981" s="266"/>
      <c r="D981" s="266"/>
      <c r="E981" s="266"/>
      <c r="F981" s="266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  <c r="AB981" s="266"/>
      <c r="AC981" s="266"/>
    </row>
    <row r="982" spans="2:29" x14ac:dyDescent="0.25">
      <c r="B982" s="266"/>
      <c r="C982" s="266"/>
      <c r="D982" s="266"/>
      <c r="E982" s="266"/>
      <c r="F982" s="266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  <c r="AB982" s="266"/>
      <c r="AC982" s="266"/>
    </row>
    <row r="983" spans="2:29" x14ac:dyDescent="0.25">
      <c r="B983" s="266"/>
      <c r="C983" s="266"/>
      <c r="D983" s="266"/>
      <c r="E983" s="266"/>
      <c r="F983" s="266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  <c r="AB983" s="266"/>
      <c r="AC983" s="266"/>
    </row>
    <row r="984" spans="2:29" x14ac:dyDescent="0.25">
      <c r="B984" s="266"/>
      <c r="C984" s="266"/>
      <c r="D984" s="266"/>
      <c r="E984" s="266"/>
      <c r="F984" s="266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  <c r="AB984" s="266"/>
      <c r="AC984" s="266"/>
    </row>
    <row r="985" spans="2:29" x14ac:dyDescent="0.25">
      <c r="B985" s="266"/>
      <c r="C985" s="266"/>
      <c r="D985" s="266"/>
      <c r="E985" s="266"/>
      <c r="F985" s="266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  <c r="AB985" s="266"/>
      <c r="AC985" s="266"/>
    </row>
    <row r="986" spans="2:29" x14ac:dyDescent="0.25">
      <c r="B986" s="266"/>
      <c r="C986" s="266"/>
      <c r="D986" s="266"/>
      <c r="E986" s="266"/>
      <c r="F986" s="266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  <c r="AB986" s="266"/>
      <c r="AC986" s="266"/>
    </row>
    <row r="987" spans="2:29" x14ac:dyDescent="0.25">
      <c r="B987" s="266"/>
      <c r="C987" s="266"/>
      <c r="D987" s="266"/>
      <c r="E987" s="266"/>
      <c r="F987" s="266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  <c r="AB987" s="266"/>
      <c r="AC987" s="266"/>
    </row>
    <row r="988" spans="2:29" x14ac:dyDescent="0.25">
      <c r="B988" s="266"/>
      <c r="C988" s="266"/>
      <c r="D988" s="266"/>
      <c r="E988" s="266"/>
      <c r="F988" s="266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  <c r="AB988" s="266"/>
      <c r="AC988" s="266"/>
    </row>
    <row r="989" spans="2:29" x14ac:dyDescent="0.25">
      <c r="B989" s="266"/>
      <c r="C989" s="266"/>
      <c r="D989" s="266"/>
      <c r="E989" s="266"/>
      <c r="F989" s="266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  <c r="AB989" s="266"/>
      <c r="AC989" s="266"/>
    </row>
    <row r="990" spans="2:29" x14ac:dyDescent="0.25">
      <c r="B990" s="266"/>
      <c r="C990" s="266"/>
      <c r="D990" s="266"/>
      <c r="E990" s="266"/>
      <c r="F990" s="266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  <c r="AB990" s="266"/>
      <c r="AC990" s="266"/>
    </row>
    <row r="991" spans="2:29" x14ac:dyDescent="0.25">
      <c r="B991" s="266"/>
      <c r="C991" s="266"/>
      <c r="D991" s="266"/>
      <c r="E991" s="266"/>
      <c r="F991" s="266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  <c r="AB991" s="266"/>
      <c r="AC991" s="266"/>
    </row>
    <row r="992" spans="2:29" x14ac:dyDescent="0.25">
      <c r="B992" s="266"/>
      <c r="C992" s="266"/>
      <c r="D992" s="266"/>
      <c r="E992" s="266"/>
      <c r="F992" s="266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  <c r="AB992" s="266"/>
      <c r="AC992" s="266"/>
    </row>
    <row r="993" spans="2:29" x14ac:dyDescent="0.25">
      <c r="B993" s="266"/>
      <c r="C993" s="266"/>
      <c r="D993" s="266"/>
      <c r="E993" s="266"/>
      <c r="F993" s="266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  <c r="AB993" s="266"/>
      <c r="AC993" s="266"/>
    </row>
    <row r="994" spans="2:29" x14ac:dyDescent="0.25">
      <c r="B994" s="266"/>
      <c r="C994" s="266"/>
      <c r="D994" s="266"/>
      <c r="E994" s="266"/>
      <c r="F994" s="266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  <c r="AB994" s="266"/>
      <c r="AC994" s="266"/>
    </row>
    <row r="995" spans="2:29" x14ac:dyDescent="0.25">
      <c r="B995" s="266"/>
      <c r="C995" s="266"/>
      <c r="D995" s="266"/>
      <c r="E995" s="266"/>
      <c r="F995" s="266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  <c r="AB995" s="266"/>
      <c r="AC995" s="266"/>
    </row>
    <row r="996" spans="2:29" x14ac:dyDescent="0.25">
      <c r="B996" s="266"/>
      <c r="C996" s="266"/>
      <c r="D996" s="266"/>
      <c r="E996" s="266"/>
      <c r="F996" s="266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  <c r="AB996" s="266"/>
      <c r="AC996" s="266"/>
    </row>
    <row r="997" spans="2:29" x14ac:dyDescent="0.25">
      <c r="B997" s="266"/>
      <c r="C997" s="266"/>
      <c r="D997" s="266"/>
      <c r="E997" s="266"/>
      <c r="F997" s="266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  <c r="AB997" s="266"/>
      <c r="AC997" s="266"/>
    </row>
    <row r="998" spans="2:29" x14ac:dyDescent="0.25">
      <c r="B998" s="266"/>
      <c r="C998" s="266"/>
      <c r="D998" s="266"/>
      <c r="E998" s="266"/>
      <c r="F998" s="266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  <c r="AB998" s="266"/>
      <c r="AC998" s="266"/>
    </row>
    <row r="999" spans="2:29" x14ac:dyDescent="0.25">
      <c r="B999" s="266"/>
      <c r="C999" s="266"/>
      <c r="D999" s="266"/>
      <c r="E999" s="266"/>
      <c r="F999" s="266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  <c r="AB999" s="266"/>
      <c r="AC999" s="266"/>
    </row>
    <row r="1000" spans="2:29" x14ac:dyDescent="0.25">
      <c r="B1000" s="266"/>
      <c r="C1000" s="266"/>
      <c r="D1000" s="266"/>
      <c r="E1000" s="266"/>
      <c r="F1000" s="266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  <c r="AB1000" s="266"/>
      <c r="AC1000" s="266"/>
    </row>
    <row r="1001" spans="2:29" x14ac:dyDescent="0.25">
      <c r="B1001" s="266"/>
      <c r="C1001" s="266"/>
      <c r="D1001" s="266"/>
      <c r="E1001" s="266"/>
      <c r="F1001" s="266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  <c r="Y1001" s="266"/>
      <c r="Z1001" s="266"/>
      <c r="AA1001" s="266"/>
      <c r="AB1001" s="266"/>
      <c r="AC1001" s="266"/>
    </row>
    <row r="1002" spans="2:29" x14ac:dyDescent="0.25">
      <c r="B1002" s="266"/>
      <c r="C1002" s="266"/>
      <c r="D1002" s="266"/>
      <c r="E1002" s="266"/>
      <c r="F1002" s="266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  <c r="Y1002" s="266"/>
      <c r="Z1002" s="266"/>
      <c r="AA1002" s="266"/>
      <c r="AB1002" s="266"/>
      <c r="AC1002" s="266"/>
    </row>
    <row r="1003" spans="2:29" x14ac:dyDescent="0.25">
      <c r="B1003" s="266"/>
      <c r="C1003" s="266"/>
      <c r="D1003" s="266"/>
      <c r="E1003" s="266"/>
      <c r="F1003" s="266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  <c r="Y1003" s="266"/>
      <c r="Z1003" s="266"/>
      <c r="AA1003" s="266"/>
      <c r="AB1003" s="266"/>
      <c r="AC1003" s="266"/>
    </row>
    <row r="1004" spans="2:29" x14ac:dyDescent="0.25">
      <c r="B1004" s="266"/>
      <c r="C1004" s="266"/>
      <c r="D1004" s="266"/>
      <c r="E1004" s="266"/>
      <c r="F1004" s="266"/>
      <c r="G1004" s="266"/>
      <c r="H1004" s="266"/>
      <c r="I1004" s="266"/>
      <c r="J1004" s="266"/>
      <c r="K1004" s="266"/>
      <c r="L1004" s="266"/>
      <c r="M1004" s="266"/>
      <c r="N1004" s="266"/>
      <c r="O1004" s="266"/>
      <c r="P1004" s="266"/>
      <c r="Q1004" s="266"/>
      <c r="R1004" s="266"/>
      <c r="S1004" s="266"/>
      <c r="T1004" s="266"/>
      <c r="U1004" s="266"/>
      <c r="V1004" s="266"/>
      <c r="W1004" s="266"/>
      <c r="X1004" s="266"/>
      <c r="Y1004" s="266"/>
      <c r="Z1004" s="266"/>
      <c r="AA1004" s="266"/>
      <c r="AB1004" s="266"/>
      <c r="AC1004" s="266"/>
    </row>
    <row r="1005" spans="2:29" x14ac:dyDescent="0.25">
      <c r="B1005" s="266"/>
      <c r="C1005" s="266"/>
      <c r="D1005" s="266"/>
      <c r="E1005" s="266"/>
      <c r="F1005" s="266"/>
      <c r="G1005" s="266"/>
      <c r="H1005" s="266"/>
      <c r="I1005" s="266"/>
      <c r="J1005" s="266"/>
      <c r="K1005" s="266"/>
      <c r="L1005" s="266"/>
      <c r="M1005" s="266"/>
      <c r="N1005" s="266"/>
      <c r="O1005" s="266"/>
      <c r="P1005" s="266"/>
      <c r="Q1005" s="266"/>
      <c r="R1005" s="266"/>
      <c r="S1005" s="266"/>
      <c r="T1005" s="266"/>
      <c r="U1005" s="266"/>
      <c r="V1005" s="266"/>
      <c r="W1005" s="266"/>
      <c r="X1005" s="266"/>
      <c r="Y1005" s="266"/>
      <c r="Z1005" s="266"/>
      <c r="AA1005" s="266"/>
      <c r="AB1005" s="266"/>
      <c r="AC1005" s="266"/>
    </row>
    <row r="1006" spans="2:29" x14ac:dyDescent="0.25">
      <c r="B1006" s="266"/>
      <c r="C1006" s="266"/>
      <c r="D1006" s="266"/>
      <c r="E1006" s="266"/>
      <c r="F1006" s="266"/>
      <c r="G1006" s="266"/>
      <c r="H1006" s="266"/>
      <c r="I1006" s="266"/>
      <c r="J1006" s="266"/>
      <c r="K1006" s="266"/>
      <c r="L1006" s="266"/>
      <c r="M1006" s="266"/>
      <c r="N1006" s="266"/>
      <c r="O1006" s="266"/>
      <c r="P1006" s="266"/>
      <c r="Q1006" s="266"/>
      <c r="R1006" s="266"/>
      <c r="S1006" s="266"/>
      <c r="T1006" s="266"/>
      <c r="U1006" s="266"/>
      <c r="V1006" s="266"/>
      <c r="W1006" s="266"/>
      <c r="X1006" s="266"/>
      <c r="Y1006" s="266"/>
      <c r="Z1006" s="266"/>
      <c r="AA1006" s="266"/>
      <c r="AB1006" s="266"/>
      <c r="AC1006" s="266"/>
    </row>
    <row r="1007" spans="2:29" x14ac:dyDescent="0.25">
      <c r="B1007" s="266"/>
      <c r="C1007" s="266"/>
      <c r="D1007" s="266"/>
      <c r="E1007" s="266"/>
      <c r="F1007" s="266"/>
      <c r="G1007" s="266"/>
      <c r="H1007" s="266"/>
      <c r="I1007" s="266"/>
      <c r="J1007" s="266"/>
      <c r="K1007" s="266"/>
      <c r="L1007" s="266"/>
      <c r="M1007" s="266"/>
      <c r="N1007" s="266"/>
      <c r="O1007" s="266"/>
      <c r="P1007" s="266"/>
      <c r="Q1007" s="266"/>
      <c r="R1007" s="266"/>
      <c r="S1007" s="266"/>
      <c r="T1007" s="266"/>
      <c r="U1007" s="266"/>
      <c r="V1007" s="266"/>
      <c r="W1007" s="266"/>
      <c r="X1007" s="266"/>
      <c r="Y1007" s="266"/>
      <c r="Z1007" s="266"/>
      <c r="AA1007" s="266"/>
      <c r="AB1007" s="266"/>
      <c r="AC1007" s="266"/>
    </row>
    <row r="1008" spans="2:29" x14ac:dyDescent="0.25">
      <c r="B1008" s="266"/>
      <c r="C1008" s="266"/>
      <c r="D1008" s="266"/>
      <c r="E1008" s="266"/>
      <c r="F1008" s="266"/>
      <c r="G1008" s="266"/>
      <c r="H1008" s="266"/>
      <c r="I1008" s="266"/>
      <c r="J1008" s="266"/>
      <c r="K1008" s="266"/>
      <c r="L1008" s="266"/>
      <c r="M1008" s="266"/>
      <c r="N1008" s="266"/>
      <c r="O1008" s="266"/>
      <c r="P1008" s="266"/>
      <c r="Q1008" s="266"/>
      <c r="R1008" s="266"/>
      <c r="S1008" s="266"/>
      <c r="T1008" s="266"/>
      <c r="U1008" s="266"/>
      <c r="V1008" s="266"/>
      <c r="W1008" s="266"/>
      <c r="X1008" s="266"/>
      <c r="Y1008" s="266"/>
      <c r="Z1008" s="266"/>
      <c r="AA1008" s="266"/>
      <c r="AB1008" s="266"/>
      <c r="AC1008" s="266"/>
    </row>
    <row r="1009" spans="2:29" x14ac:dyDescent="0.25">
      <c r="B1009" s="266"/>
      <c r="C1009" s="266"/>
      <c r="D1009" s="266"/>
      <c r="E1009" s="266"/>
      <c r="F1009" s="266"/>
      <c r="G1009" s="266"/>
      <c r="H1009" s="266"/>
      <c r="I1009" s="266"/>
      <c r="J1009" s="266"/>
      <c r="K1009" s="266"/>
      <c r="L1009" s="266"/>
      <c r="M1009" s="266"/>
      <c r="N1009" s="266"/>
      <c r="O1009" s="266"/>
      <c r="P1009" s="266"/>
      <c r="Q1009" s="266"/>
      <c r="R1009" s="266"/>
      <c r="S1009" s="266"/>
      <c r="T1009" s="266"/>
      <c r="U1009" s="266"/>
      <c r="V1009" s="266"/>
      <c r="W1009" s="266"/>
      <c r="X1009" s="266"/>
      <c r="Y1009" s="266"/>
      <c r="Z1009" s="266"/>
      <c r="AA1009" s="266"/>
      <c r="AB1009" s="266"/>
      <c r="AC1009" s="266"/>
    </row>
    <row r="1010" spans="2:29" x14ac:dyDescent="0.25">
      <c r="B1010" s="266"/>
      <c r="C1010" s="266"/>
      <c r="D1010" s="266"/>
      <c r="E1010" s="266"/>
      <c r="F1010" s="266"/>
      <c r="G1010" s="266"/>
      <c r="H1010" s="266"/>
      <c r="I1010" s="266"/>
      <c r="J1010" s="266"/>
      <c r="K1010" s="266"/>
      <c r="L1010" s="266"/>
      <c r="M1010" s="266"/>
      <c r="N1010" s="266"/>
      <c r="O1010" s="266"/>
      <c r="P1010" s="266"/>
      <c r="Q1010" s="266"/>
      <c r="R1010" s="266"/>
      <c r="S1010" s="266"/>
      <c r="T1010" s="266"/>
      <c r="U1010" s="266"/>
      <c r="V1010" s="266"/>
      <c r="W1010" s="266"/>
      <c r="X1010" s="266"/>
      <c r="Y1010" s="266"/>
      <c r="Z1010" s="266"/>
      <c r="AA1010" s="266"/>
      <c r="AB1010" s="266"/>
      <c r="AC1010" s="266"/>
    </row>
    <row r="1011" spans="2:29" x14ac:dyDescent="0.25">
      <c r="B1011" s="266"/>
      <c r="C1011" s="266"/>
      <c r="D1011" s="266"/>
      <c r="E1011" s="266"/>
      <c r="F1011" s="266"/>
      <c r="G1011" s="266"/>
      <c r="H1011" s="266"/>
      <c r="I1011" s="266"/>
      <c r="J1011" s="266"/>
      <c r="K1011" s="266"/>
      <c r="L1011" s="266"/>
      <c r="M1011" s="266"/>
      <c r="N1011" s="266"/>
      <c r="O1011" s="266"/>
      <c r="P1011" s="266"/>
      <c r="Q1011" s="266"/>
      <c r="R1011" s="266"/>
      <c r="S1011" s="266"/>
      <c r="T1011" s="266"/>
      <c r="U1011" s="266"/>
      <c r="V1011" s="266"/>
      <c r="W1011" s="266"/>
      <c r="X1011" s="266"/>
      <c r="Y1011" s="266"/>
      <c r="Z1011" s="266"/>
      <c r="AA1011" s="266"/>
      <c r="AB1011" s="266"/>
      <c r="AC1011" s="266"/>
    </row>
    <row r="1012" spans="2:29" x14ac:dyDescent="0.25">
      <c r="B1012" s="266"/>
      <c r="C1012" s="266"/>
      <c r="D1012" s="266"/>
      <c r="E1012" s="266"/>
      <c r="F1012" s="266"/>
      <c r="G1012" s="266"/>
      <c r="H1012" s="266"/>
      <c r="I1012" s="266"/>
      <c r="J1012" s="266"/>
      <c r="K1012" s="266"/>
      <c r="L1012" s="266"/>
      <c r="M1012" s="266"/>
      <c r="N1012" s="266"/>
      <c r="O1012" s="266"/>
      <c r="P1012" s="266"/>
      <c r="Q1012" s="266"/>
      <c r="R1012" s="266"/>
      <c r="S1012" s="266"/>
      <c r="T1012" s="266"/>
      <c r="U1012" s="266"/>
      <c r="V1012" s="266"/>
      <c r="W1012" s="266"/>
      <c r="X1012" s="266"/>
      <c r="Y1012" s="266"/>
      <c r="Z1012" s="266"/>
      <c r="AA1012" s="266"/>
      <c r="AB1012" s="266"/>
      <c r="AC1012" s="266"/>
    </row>
    <row r="1013" spans="2:29" x14ac:dyDescent="0.25">
      <c r="B1013" s="266"/>
      <c r="C1013" s="266"/>
      <c r="D1013" s="266"/>
      <c r="E1013" s="266"/>
      <c r="F1013" s="266"/>
      <c r="G1013" s="266"/>
      <c r="H1013" s="266"/>
      <c r="I1013" s="266"/>
      <c r="J1013" s="266"/>
      <c r="K1013" s="266"/>
      <c r="L1013" s="266"/>
      <c r="M1013" s="266"/>
      <c r="N1013" s="266"/>
      <c r="O1013" s="266"/>
      <c r="P1013" s="266"/>
      <c r="Q1013" s="266"/>
      <c r="R1013" s="266"/>
      <c r="S1013" s="266"/>
      <c r="T1013" s="266"/>
      <c r="U1013" s="266"/>
      <c r="V1013" s="266"/>
      <c r="W1013" s="266"/>
      <c r="X1013" s="266"/>
      <c r="Y1013" s="266"/>
      <c r="Z1013" s="266"/>
      <c r="AA1013" s="266"/>
      <c r="AB1013" s="266"/>
      <c r="AC1013" s="266"/>
    </row>
    <row r="1014" spans="2:29" x14ac:dyDescent="0.25">
      <c r="B1014" s="266"/>
      <c r="C1014" s="266"/>
      <c r="D1014" s="266"/>
      <c r="E1014" s="266"/>
      <c r="F1014" s="266"/>
      <c r="G1014" s="266"/>
      <c r="H1014" s="266"/>
      <c r="I1014" s="266"/>
      <c r="J1014" s="266"/>
      <c r="K1014" s="266"/>
      <c r="L1014" s="266"/>
      <c r="M1014" s="266"/>
      <c r="N1014" s="266"/>
      <c r="O1014" s="266"/>
      <c r="P1014" s="266"/>
      <c r="Q1014" s="266"/>
      <c r="R1014" s="266"/>
      <c r="S1014" s="266"/>
      <c r="T1014" s="266"/>
      <c r="U1014" s="266"/>
      <c r="V1014" s="266"/>
      <c r="W1014" s="266"/>
      <c r="X1014" s="266"/>
      <c r="Y1014" s="266"/>
      <c r="Z1014" s="266"/>
      <c r="AA1014" s="266"/>
      <c r="AB1014" s="266"/>
      <c r="AC1014" s="266"/>
    </row>
    <row r="1015" spans="2:29" x14ac:dyDescent="0.25">
      <c r="B1015" s="266"/>
      <c r="C1015" s="266"/>
      <c r="D1015" s="266"/>
      <c r="E1015" s="266"/>
      <c r="F1015" s="266"/>
      <c r="G1015" s="266"/>
      <c r="H1015" s="266"/>
      <c r="I1015" s="266"/>
      <c r="J1015" s="266"/>
      <c r="K1015" s="266"/>
      <c r="L1015" s="266"/>
      <c r="M1015" s="266"/>
      <c r="N1015" s="266"/>
      <c r="O1015" s="266"/>
      <c r="P1015" s="266"/>
      <c r="Q1015" s="266"/>
      <c r="R1015" s="266"/>
      <c r="S1015" s="266"/>
      <c r="T1015" s="266"/>
      <c r="U1015" s="266"/>
      <c r="V1015" s="266"/>
      <c r="W1015" s="266"/>
      <c r="X1015" s="266"/>
      <c r="Y1015" s="266"/>
      <c r="Z1015" s="266"/>
      <c r="AA1015" s="266"/>
      <c r="AB1015" s="266"/>
      <c r="AC1015" s="266"/>
    </row>
    <row r="1016" spans="2:29" x14ac:dyDescent="0.25">
      <c r="B1016" s="266"/>
      <c r="C1016" s="266"/>
      <c r="D1016" s="266"/>
      <c r="E1016" s="266"/>
      <c r="F1016" s="266"/>
      <c r="G1016" s="266"/>
      <c r="H1016" s="266"/>
      <c r="I1016" s="266"/>
      <c r="J1016" s="266"/>
      <c r="K1016" s="266"/>
      <c r="L1016" s="266"/>
      <c r="M1016" s="266"/>
      <c r="N1016" s="266"/>
      <c r="O1016" s="266"/>
      <c r="P1016" s="266"/>
      <c r="Q1016" s="266"/>
      <c r="R1016" s="266"/>
      <c r="S1016" s="266"/>
      <c r="T1016" s="266"/>
      <c r="U1016" s="266"/>
      <c r="V1016" s="266"/>
      <c r="W1016" s="266"/>
      <c r="X1016" s="266"/>
      <c r="Y1016" s="266"/>
      <c r="Z1016" s="266"/>
      <c r="AA1016" s="266"/>
      <c r="AB1016" s="266"/>
      <c r="AC1016" s="266"/>
    </row>
    <row r="1017" spans="2:29" x14ac:dyDescent="0.25">
      <c r="B1017" s="266"/>
      <c r="C1017" s="266"/>
      <c r="D1017" s="266"/>
      <c r="E1017" s="266"/>
      <c r="F1017" s="266"/>
      <c r="G1017" s="266"/>
      <c r="H1017" s="266"/>
      <c r="I1017" s="266"/>
      <c r="J1017" s="266"/>
      <c r="K1017" s="266"/>
      <c r="L1017" s="266"/>
      <c r="M1017" s="266"/>
      <c r="N1017" s="266"/>
      <c r="O1017" s="266"/>
      <c r="P1017" s="266"/>
      <c r="Q1017" s="266"/>
      <c r="R1017" s="266"/>
      <c r="S1017" s="266"/>
      <c r="T1017" s="266"/>
      <c r="U1017" s="266"/>
      <c r="V1017" s="266"/>
      <c r="W1017" s="266"/>
      <c r="X1017" s="266"/>
      <c r="Y1017" s="266"/>
      <c r="Z1017" s="266"/>
      <c r="AA1017" s="266"/>
      <c r="AB1017" s="266"/>
      <c r="AC1017" s="266"/>
    </row>
    <row r="1018" spans="2:29" x14ac:dyDescent="0.25">
      <c r="B1018" s="266"/>
      <c r="C1018" s="266"/>
      <c r="D1018" s="266"/>
      <c r="E1018" s="266"/>
      <c r="F1018" s="266"/>
      <c r="G1018" s="266"/>
      <c r="H1018" s="266"/>
      <c r="I1018" s="266"/>
      <c r="J1018" s="266"/>
      <c r="K1018" s="266"/>
      <c r="L1018" s="266"/>
      <c r="M1018" s="266"/>
      <c r="N1018" s="266"/>
      <c r="O1018" s="266"/>
      <c r="P1018" s="266"/>
      <c r="Q1018" s="266"/>
      <c r="R1018" s="266"/>
      <c r="S1018" s="266"/>
      <c r="T1018" s="266"/>
      <c r="U1018" s="266"/>
      <c r="V1018" s="266"/>
      <c r="W1018" s="266"/>
      <c r="X1018" s="266"/>
      <c r="Y1018" s="266"/>
      <c r="Z1018" s="266"/>
      <c r="AA1018" s="266"/>
      <c r="AB1018" s="266"/>
      <c r="AC1018" s="266"/>
    </row>
    <row r="1019" spans="2:29" x14ac:dyDescent="0.25">
      <c r="B1019" s="266"/>
      <c r="C1019" s="266"/>
      <c r="D1019" s="266"/>
      <c r="E1019" s="266"/>
      <c r="F1019" s="266"/>
      <c r="G1019" s="266"/>
      <c r="H1019" s="266"/>
      <c r="I1019" s="266"/>
      <c r="J1019" s="266"/>
      <c r="K1019" s="266"/>
      <c r="L1019" s="266"/>
      <c r="M1019" s="266"/>
      <c r="N1019" s="266"/>
      <c r="O1019" s="266"/>
      <c r="P1019" s="266"/>
      <c r="Q1019" s="266"/>
      <c r="R1019" s="266"/>
      <c r="S1019" s="266"/>
      <c r="T1019" s="266"/>
      <c r="U1019" s="266"/>
      <c r="V1019" s="266"/>
      <c r="W1019" s="266"/>
      <c r="X1019" s="266"/>
      <c r="Y1019" s="266"/>
      <c r="Z1019" s="266"/>
      <c r="AA1019" s="266"/>
      <c r="AB1019" s="266"/>
      <c r="AC1019" s="266"/>
    </row>
    <row r="1020" spans="2:29" x14ac:dyDescent="0.25">
      <c r="B1020" s="266"/>
      <c r="C1020" s="266"/>
      <c r="D1020" s="266"/>
      <c r="E1020" s="266"/>
      <c r="F1020" s="266"/>
      <c r="G1020" s="266"/>
      <c r="H1020" s="266"/>
      <c r="I1020" s="266"/>
      <c r="J1020" s="266"/>
      <c r="K1020" s="266"/>
      <c r="L1020" s="266"/>
      <c r="M1020" s="266"/>
      <c r="N1020" s="266"/>
      <c r="O1020" s="266"/>
      <c r="P1020" s="266"/>
      <c r="Q1020" s="266"/>
      <c r="R1020" s="266"/>
      <c r="S1020" s="266"/>
      <c r="T1020" s="266"/>
      <c r="U1020" s="266"/>
      <c r="V1020" s="266"/>
      <c r="W1020" s="266"/>
      <c r="X1020" s="266"/>
      <c r="Y1020" s="266"/>
      <c r="Z1020" s="266"/>
      <c r="AA1020" s="266"/>
      <c r="AB1020" s="266"/>
      <c r="AC1020" s="266"/>
    </row>
    <row r="1021" spans="2:29" x14ac:dyDescent="0.25">
      <c r="B1021" s="266"/>
      <c r="C1021" s="266"/>
      <c r="D1021" s="266"/>
      <c r="E1021" s="266"/>
      <c r="F1021" s="266"/>
      <c r="G1021" s="266"/>
      <c r="H1021" s="266"/>
      <c r="I1021" s="266"/>
      <c r="J1021" s="266"/>
      <c r="K1021" s="266"/>
      <c r="L1021" s="266"/>
      <c r="M1021" s="266"/>
      <c r="N1021" s="266"/>
      <c r="O1021" s="266"/>
      <c r="P1021" s="266"/>
      <c r="Q1021" s="266"/>
      <c r="R1021" s="266"/>
      <c r="S1021" s="266"/>
      <c r="T1021" s="266"/>
      <c r="U1021" s="266"/>
      <c r="V1021" s="266"/>
      <c r="W1021" s="266"/>
      <c r="X1021" s="266"/>
      <c r="Y1021" s="266"/>
      <c r="Z1021" s="266"/>
      <c r="AA1021" s="266"/>
      <c r="AB1021" s="266"/>
      <c r="AC1021" s="266"/>
    </row>
    <row r="1022" spans="2:29" x14ac:dyDescent="0.25">
      <c r="B1022" s="266"/>
      <c r="C1022" s="266"/>
      <c r="D1022" s="266"/>
      <c r="E1022" s="266"/>
      <c r="F1022" s="266"/>
      <c r="G1022" s="266"/>
      <c r="H1022" s="266"/>
      <c r="I1022" s="266"/>
      <c r="J1022" s="266"/>
      <c r="K1022" s="266"/>
      <c r="L1022" s="266"/>
      <c r="M1022" s="266"/>
      <c r="N1022" s="266"/>
      <c r="O1022" s="266"/>
      <c r="P1022" s="266"/>
      <c r="Q1022" s="266"/>
      <c r="R1022" s="266"/>
      <c r="S1022" s="266"/>
      <c r="T1022" s="266"/>
      <c r="U1022" s="266"/>
      <c r="V1022" s="266"/>
      <c r="W1022" s="266"/>
      <c r="X1022" s="266"/>
      <c r="Y1022" s="266"/>
      <c r="Z1022" s="266"/>
      <c r="AA1022" s="266"/>
      <c r="AB1022" s="266"/>
      <c r="AC1022" s="266"/>
    </row>
    <row r="1023" spans="2:29" x14ac:dyDescent="0.25">
      <c r="B1023" s="266"/>
      <c r="C1023" s="266"/>
      <c r="D1023" s="266"/>
      <c r="E1023" s="266"/>
      <c r="F1023" s="266"/>
      <c r="G1023" s="266"/>
      <c r="H1023" s="266"/>
      <c r="I1023" s="266"/>
      <c r="J1023" s="266"/>
      <c r="K1023" s="266"/>
      <c r="L1023" s="266"/>
      <c r="M1023" s="266"/>
      <c r="N1023" s="266"/>
      <c r="O1023" s="266"/>
      <c r="P1023" s="266"/>
      <c r="Q1023" s="266"/>
      <c r="R1023" s="266"/>
      <c r="S1023" s="266"/>
      <c r="T1023" s="266"/>
      <c r="U1023" s="266"/>
      <c r="V1023" s="266"/>
      <c r="W1023" s="266"/>
      <c r="X1023" s="266"/>
      <c r="Y1023" s="266"/>
      <c r="Z1023" s="266"/>
      <c r="AA1023" s="266"/>
      <c r="AB1023" s="266"/>
      <c r="AC1023" s="266"/>
    </row>
    <row r="1024" spans="2:29" x14ac:dyDescent="0.25">
      <c r="B1024" s="266"/>
      <c r="C1024" s="266"/>
      <c r="D1024" s="266"/>
      <c r="E1024" s="266"/>
      <c r="F1024" s="266"/>
      <c r="G1024" s="266"/>
      <c r="H1024" s="266"/>
      <c r="I1024" s="266"/>
      <c r="J1024" s="266"/>
      <c r="K1024" s="266"/>
      <c r="L1024" s="266"/>
      <c r="M1024" s="266"/>
      <c r="N1024" s="266"/>
      <c r="O1024" s="266"/>
      <c r="P1024" s="266"/>
      <c r="Q1024" s="266"/>
      <c r="R1024" s="266"/>
      <c r="S1024" s="266"/>
      <c r="T1024" s="266"/>
      <c r="U1024" s="266"/>
      <c r="V1024" s="266"/>
      <c r="W1024" s="266"/>
      <c r="X1024" s="266"/>
      <c r="Y1024" s="266"/>
      <c r="Z1024" s="266"/>
      <c r="AA1024" s="266"/>
      <c r="AB1024" s="266"/>
      <c r="AC1024" s="266"/>
    </row>
    <row r="1025" spans="2:29" x14ac:dyDescent="0.25">
      <c r="B1025" s="266"/>
      <c r="C1025" s="266"/>
      <c r="D1025" s="266"/>
      <c r="E1025" s="266"/>
      <c r="F1025" s="266"/>
      <c r="G1025" s="266"/>
      <c r="H1025" s="266"/>
      <c r="I1025" s="266"/>
      <c r="J1025" s="266"/>
      <c r="K1025" s="266"/>
      <c r="L1025" s="266"/>
      <c r="M1025" s="266"/>
      <c r="N1025" s="266"/>
      <c r="O1025" s="266"/>
      <c r="P1025" s="266"/>
      <c r="Q1025" s="266"/>
      <c r="R1025" s="266"/>
      <c r="S1025" s="266"/>
      <c r="T1025" s="266"/>
      <c r="U1025" s="266"/>
      <c r="V1025" s="266"/>
      <c r="W1025" s="266"/>
      <c r="X1025" s="266"/>
      <c r="Y1025" s="266"/>
      <c r="Z1025" s="266"/>
      <c r="AA1025" s="266"/>
      <c r="AB1025" s="266"/>
      <c r="AC1025" s="266"/>
    </row>
    <row r="1026" spans="2:29" x14ac:dyDescent="0.25">
      <c r="B1026" s="266"/>
      <c r="C1026" s="266"/>
      <c r="D1026" s="266"/>
      <c r="E1026" s="266"/>
      <c r="F1026" s="266"/>
      <c r="G1026" s="266"/>
      <c r="H1026" s="266"/>
      <c r="I1026" s="266"/>
      <c r="J1026" s="266"/>
      <c r="K1026" s="266"/>
      <c r="L1026" s="266"/>
      <c r="M1026" s="266"/>
      <c r="N1026" s="266"/>
      <c r="O1026" s="266"/>
      <c r="P1026" s="266"/>
      <c r="Q1026" s="266"/>
      <c r="R1026" s="266"/>
      <c r="S1026" s="266"/>
      <c r="T1026" s="266"/>
      <c r="U1026" s="266"/>
      <c r="V1026" s="266"/>
      <c r="W1026" s="266"/>
      <c r="X1026" s="266"/>
      <c r="Y1026" s="266"/>
      <c r="Z1026" s="266"/>
      <c r="AA1026" s="266"/>
      <c r="AB1026" s="266"/>
      <c r="AC1026" s="266"/>
    </row>
    <row r="1027" spans="2:29" x14ac:dyDescent="0.25">
      <c r="B1027" s="266"/>
      <c r="C1027" s="266"/>
      <c r="D1027" s="266"/>
      <c r="E1027" s="266"/>
      <c r="F1027" s="266"/>
      <c r="G1027" s="266"/>
      <c r="H1027" s="266"/>
      <c r="I1027" s="266"/>
      <c r="J1027" s="266"/>
      <c r="K1027" s="266"/>
      <c r="L1027" s="266"/>
      <c r="M1027" s="266"/>
      <c r="N1027" s="266"/>
      <c r="O1027" s="266"/>
      <c r="P1027" s="266"/>
      <c r="Q1027" s="266"/>
      <c r="R1027" s="266"/>
      <c r="S1027" s="266"/>
      <c r="T1027" s="266"/>
      <c r="U1027" s="266"/>
      <c r="V1027" s="266"/>
      <c r="W1027" s="266"/>
      <c r="X1027" s="266"/>
      <c r="Y1027" s="266"/>
      <c r="Z1027" s="266"/>
      <c r="AA1027" s="266"/>
      <c r="AB1027" s="266"/>
      <c r="AC1027" s="266"/>
    </row>
    <row r="1028" spans="2:29" x14ac:dyDescent="0.25">
      <c r="B1028" s="266"/>
      <c r="C1028" s="266"/>
      <c r="D1028" s="266"/>
      <c r="E1028" s="266"/>
      <c r="F1028" s="266"/>
      <c r="G1028" s="266"/>
      <c r="H1028" s="266"/>
      <c r="I1028" s="266"/>
      <c r="J1028" s="266"/>
      <c r="K1028" s="266"/>
      <c r="L1028" s="266"/>
      <c r="M1028" s="266"/>
      <c r="N1028" s="266"/>
      <c r="O1028" s="266"/>
      <c r="P1028" s="266"/>
      <c r="Q1028" s="266"/>
      <c r="R1028" s="266"/>
      <c r="S1028" s="266"/>
      <c r="T1028" s="266"/>
      <c r="U1028" s="266"/>
      <c r="V1028" s="266"/>
      <c r="W1028" s="266"/>
      <c r="X1028" s="266"/>
      <c r="Y1028" s="266"/>
      <c r="Z1028" s="266"/>
      <c r="AA1028" s="266"/>
      <c r="AB1028" s="266"/>
      <c r="AC1028" s="266"/>
    </row>
    <row r="1029" spans="2:29" x14ac:dyDescent="0.25">
      <c r="B1029" s="266"/>
      <c r="C1029" s="266"/>
      <c r="D1029" s="266"/>
      <c r="E1029" s="266"/>
      <c r="F1029" s="266"/>
      <c r="G1029" s="266"/>
      <c r="H1029" s="266"/>
      <c r="I1029" s="266"/>
      <c r="J1029" s="266"/>
      <c r="K1029" s="266"/>
      <c r="L1029" s="266"/>
      <c r="M1029" s="266"/>
      <c r="N1029" s="266"/>
      <c r="O1029" s="266"/>
      <c r="P1029" s="266"/>
      <c r="Q1029" s="266"/>
      <c r="R1029" s="266"/>
      <c r="S1029" s="266"/>
      <c r="T1029" s="266"/>
      <c r="U1029" s="266"/>
      <c r="V1029" s="266"/>
      <c r="W1029" s="266"/>
      <c r="X1029" s="266"/>
      <c r="Y1029" s="266"/>
      <c r="Z1029" s="266"/>
      <c r="AA1029" s="266"/>
      <c r="AB1029" s="266"/>
      <c r="AC1029" s="266"/>
    </row>
    <row r="1030" spans="2:29" x14ac:dyDescent="0.25">
      <c r="B1030" s="266"/>
      <c r="C1030" s="266"/>
      <c r="D1030" s="266"/>
      <c r="E1030" s="266"/>
      <c r="F1030" s="266"/>
      <c r="G1030" s="266"/>
      <c r="H1030" s="266"/>
      <c r="I1030" s="266"/>
      <c r="J1030" s="266"/>
      <c r="K1030" s="266"/>
      <c r="L1030" s="266"/>
      <c r="M1030" s="266"/>
      <c r="N1030" s="266"/>
      <c r="O1030" s="266"/>
      <c r="P1030" s="266"/>
      <c r="Q1030" s="266"/>
      <c r="R1030" s="266"/>
      <c r="S1030" s="266"/>
      <c r="T1030" s="266"/>
      <c r="U1030" s="266"/>
      <c r="V1030" s="266"/>
      <c r="W1030" s="266"/>
      <c r="X1030" s="266"/>
      <c r="Y1030" s="266"/>
      <c r="Z1030" s="266"/>
      <c r="AA1030" s="266"/>
      <c r="AB1030" s="266"/>
      <c r="AC1030" s="266"/>
    </row>
    <row r="1031" spans="2:29" x14ac:dyDescent="0.25">
      <c r="B1031" s="266"/>
      <c r="C1031" s="266"/>
      <c r="D1031" s="266"/>
      <c r="E1031" s="266"/>
      <c r="F1031" s="266"/>
      <c r="G1031" s="266"/>
      <c r="H1031" s="266"/>
      <c r="I1031" s="266"/>
      <c r="J1031" s="266"/>
      <c r="K1031" s="266"/>
      <c r="L1031" s="266"/>
      <c r="M1031" s="266"/>
      <c r="N1031" s="266"/>
      <c r="O1031" s="266"/>
      <c r="P1031" s="266"/>
      <c r="Q1031" s="266"/>
      <c r="R1031" s="266"/>
      <c r="S1031" s="266"/>
      <c r="T1031" s="266"/>
      <c r="U1031" s="266"/>
      <c r="V1031" s="266"/>
      <c r="W1031" s="266"/>
      <c r="X1031" s="266"/>
      <c r="Y1031" s="266"/>
      <c r="Z1031" s="266"/>
      <c r="AA1031" s="266"/>
      <c r="AB1031" s="266"/>
      <c r="AC1031" s="266"/>
    </row>
    <row r="1032" spans="2:29" x14ac:dyDescent="0.25">
      <c r="B1032" s="266"/>
      <c r="C1032" s="266"/>
      <c r="D1032" s="266"/>
      <c r="E1032" s="266"/>
      <c r="F1032" s="266"/>
      <c r="G1032" s="266"/>
      <c r="H1032" s="266"/>
      <c r="I1032" s="266"/>
      <c r="J1032" s="266"/>
      <c r="K1032" s="266"/>
      <c r="L1032" s="266"/>
      <c r="M1032" s="266"/>
      <c r="N1032" s="266"/>
      <c r="O1032" s="266"/>
      <c r="P1032" s="266"/>
      <c r="Q1032" s="266"/>
      <c r="R1032" s="266"/>
      <c r="S1032" s="266"/>
      <c r="T1032" s="266"/>
      <c r="U1032" s="266"/>
      <c r="V1032" s="266"/>
      <c r="W1032" s="266"/>
      <c r="X1032" s="266"/>
      <c r="Y1032" s="266"/>
      <c r="Z1032" s="266"/>
      <c r="AA1032" s="266"/>
      <c r="AB1032" s="266"/>
      <c r="AC1032" s="266"/>
    </row>
    <row r="1033" spans="2:29" x14ac:dyDescent="0.25">
      <c r="B1033" s="266"/>
      <c r="C1033" s="266"/>
      <c r="D1033" s="266"/>
      <c r="E1033" s="266"/>
      <c r="F1033" s="266"/>
      <c r="G1033" s="266"/>
      <c r="H1033" s="266"/>
      <c r="I1033" s="266"/>
      <c r="J1033" s="266"/>
      <c r="K1033" s="266"/>
      <c r="L1033" s="266"/>
      <c r="M1033" s="266"/>
      <c r="N1033" s="266"/>
      <c r="O1033" s="266"/>
      <c r="P1033" s="266"/>
      <c r="Q1033" s="266"/>
      <c r="R1033" s="266"/>
      <c r="S1033" s="266"/>
      <c r="T1033" s="266"/>
      <c r="U1033" s="266"/>
      <c r="V1033" s="266"/>
      <c r="W1033" s="266"/>
      <c r="X1033" s="266"/>
      <c r="Y1033" s="266"/>
      <c r="Z1033" s="266"/>
      <c r="AA1033" s="266"/>
      <c r="AB1033" s="266"/>
      <c r="AC1033" s="266"/>
    </row>
    <row r="1034" spans="2:29" x14ac:dyDescent="0.25">
      <c r="B1034" s="266"/>
      <c r="C1034" s="266"/>
      <c r="D1034" s="266"/>
      <c r="E1034" s="266"/>
      <c r="F1034" s="266"/>
      <c r="G1034" s="266"/>
      <c r="H1034" s="266"/>
      <c r="I1034" s="266"/>
      <c r="J1034" s="266"/>
      <c r="K1034" s="266"/>
      <c r="L1034" s="266"/>
      <c r="M1034" s="266"/>
      <c r="N1034" s="266"/>
      <c r="O1034" s="266"/>
      <c r="P1034" s="266"/>
      <c r="Q1034" s="266"/>
      <c r="R1034" s="266"/>
      <c r="S1034" s="266"/>
      <c r="T1034" s="266"/>
      <c r="U1034" s="266"/>
      <c r="V1034" s="266"/>
      <c r="W1034" s="266"/>
      <c r="X1034" s="266"/>
      <c r="Y1034" s="266"/>
      <c r="Z1034" s="266"/>
      <c r="AA1034" s="266"/>
      <c r="AB1034" s="266"/>
      <c r="AC1034" s="266"/>
    </row>
    <row r="1035" spans="2:29" x14ac:dyDescent="0.25">
      <c r="B1035" s="266"/>
      <c r="C1035" s="266"/>
      <c r="D1035" s="266"/>
      <c r="E1035" s="266"/>
      <c r="F1035" s="266"/>
      <c r="G1035" s="266"/>
      <c r="H1035" s="266"/>
      <c r="I1035" s="266"/>
      <c r="J1035" s="266"/>
      <c r="K1035" s="266"/>
      <c r="L1035" s="266"/>
      <c r="M1035" s="266"/>
      <c r="N1035" s="266"/>
      <c r="O1035" s="266"/>
      <c r="P1035" s="266"/>
      <c r="Q1035" s="266"/>
      <c r="R1035" s="266"/>
      <c r="S1035" s="266"/>
      <c r="T1035" s="266"/>
      <c r="U1035" s="266"/>
      <c r="V1035" s="266"/>
      <c r="W1035" s="266"/>
      <c r="X1035" s="266"/>
      <c r="Y1035" s="266"/>
      <c r="Z1035" s="266"/>
      <c r="AA1035" s="266"/>
      <c r="AB1035" s="266"/>
      <c r="AC1035" s="266"/>
    </row>
    <row r="1036" spans="2:29" x14ac:dyDescent="0.25">
      <c r="B1036" s="266"/>
      <c r="C1036" s="266"/>
      <c r="D1036" s="266"/>
      <c r="E1036" s="266"/>
      <c r="F1036" s="266"/>
      <c r="G1036" s="266"/>
      <c r="H1036" s="266"/>
      <c r="I1036" s="266"/>
      <c r="J1036" s="266"/>
      <c r="K1036" s="266"/>
      <c r="L1036" s="266"/>
      <c r="M1036" s="266"/>
      <c r="N1036" s="266"/>
      <c r="O1036" s="266"/>
      <c r="P1036" s="266"/>
      <c r="Q1036" s="266"/>
      <c r="R1036" s="266"/>
      <c r="S1036" s="266"/>
      <c r="T1036" s="266"/>
      <c r="U1036" s="266"/>
      <c r="V1036" s="266"/>
      <c r="W1036" s="266"/>
      <c r="X1036" s="266"/>
      <c r="Y1036" s="266"/>
      <c r="Z1036" s="266"/>
      <c r="AA1036" s="266"/>
      <c r="AB1036" s="266"/>
      <c r="AC1036" s="266"/>
    </row>
    <row r="1037" spans="2:29" x14ac:dyDescent="0.25">
      <c r="B1037" s="266"/>
      <c r="C1037" s="266"/>
      <c r="D1037" s="266"/>
      <c r="E1037" s="266"/>
      <c r="F1037" s="266"/>
      <c r="G1037" s="266"/>
      <c r="H1037" s="266"/>
      <c r="I1037" s="266"/>
      <c r="J1037" s="266"/>
      <c r="K1037" s="266"/>
      <c r="L1037" s="266"/>
      <c r="M1037" s="266"/>
      <c r="N1037" s="266"/>
      <c r="O1037" s="266"/>
      <c r="P1037" s="266"/>
      <c r="Q1037" s="266"/>
      <c r="R1037" s="266"/>
      <c r="S1037" s="266"/>
      <c r="T1037" s="266"/>
      <c r="U1037" s="266"/>
      <c r="V1037" s="266"/>
      <c r="W1037" s="266"/>
      <c r="X1037" s="266"/>
      <c r="Y1037" s="266"/>
      <c r="Z1037" s="266"/>
      <c r="AA1037" s="266"/>
      <c r="AB1037" s="266"/>
      <c r="AC1037" s="266"/>
    </row>
    <row r="1038" spans="2:29" x14ac:dyDescent="0.25">
      <c r="B1038" s="266"/>
      <c r="C1038" s="266"/>
      <c r="D1038" s="266"/>
      <c r="E1038" s="266"/>
      <c r="F1038" s="266"/>
      <c r="G1038" s="266"/>
      <c r="H1038" s="266"/>
      <c r="I1038" s="266"/>
      <c r="J1038" s="266"/>
      <c r="K1038" s="266"/>
      <c r="L1038" s="266"/>
      <c r="M1038" s="266"/>
      <c r="N1038" s="266"/>
      <c r="O1038" s="266"/>
      <c r="P1038" s="266"/>
      <c r="Q1038" s="266"/>
      <c r="R1038" s="266"/>
      <c r="S1038" s="266"/>
      <c r="T1038" s="266"/>
      <c r="U1038" s="266"/>
      <c r="V1038" s="266"/>
      <c r="W1038" s="266"/>
      <c r="X1038" s="266"/>
      <c r="Y1038" s="266"/>
      <c r="Z1038" s="266"/>
      <c r="AA1038" s="266"/>
      <c r="AB1038" s="266"/>
      <c r="AC1038" s="266"/>
    </row>
    <row r="1039" spans="2:29" x14ac:dyDescent="0.25">
      <c r="B1039" s="266"/>
      <c r="C1039" s="266"/>
      <c r="D1039" s="266"/>
      <c r="E1039" s="266"/>
      <c r="F1039" s="266"/>
      <c r="G1039" s="266"/>
      <c r="H1039" s="266"/>
      <c r="I1039" s="266"/>
      <c r="J1039" s="266"/>
      <c r="K1039" s="266"/>
      <c r="L1039" s="266"/>
      <c r="M1039" s="266"/>
      <c r="N1039" s="266"/>
      <c r="O1039" s="266"/>
      <c r="P1039" s="266"/>
      <c r="Q1039" s="266"/>
      <c r="R1039" s="266"/>
      <c r="S1039" s="266"/>
      <c r="T1039" s="266"/>
      <c r="U1039" s="266"/>
      <c r="V1039" s="266"/>
      <c r="W1039" s="266"/>
      <c r="X1039" s="266"/>
      <c r="Y1039" s="266"/>
      <c r="Z1039" s="266"/>
      <c r="AA1039" s="266"/>
      <c r="AB1039" s="266"/>
      <c r="AC1039" s="266"/>
    </row>
    <row r="1040" spans="2:29" x14ac:dyDescent="0.25">
      <c r="B1040" s="266"/>
      <c r="C1040" s="266"/>
      <c r="D1040" s="266"/>
      <c r="E1040" s="266"/>
      <c r="F1040" s="266"/>
      <c r="G1040" s="266"/>
      <c r="H1040" s="266"/>
      <c r="I1040" s="266"/>
      <c r="J1040" s="266"/>
      <c r="K1040" s="266"/>
      <c r="L1040" s="266"/>
      <c r="M1040" s="266"/>
      <c r="N1040" s="266"/>
      <c r="O1040" s="266"/>
      <c r="P1040" s="266"/>
      <c r="Q1040" s="266"/>
      <c r="R1040" s="266"/>
      <c r="S1040" s="266"/>
      <c r="T1040" s="266"/>
      <c r="U1040" s="266"/>
      <c r="V1040" s="266"/>
      <c r="W1040" s="266"/>
      <c r="X1040" s="266"/>
      <c r="Y1040" s="266"/>
      <c r="Z1040" s="266"/>
      <c r="AA1040" s="266"/>
      <c r="AB1040" s="266"/>
      <c r="AC1040" s="266"/>
    </row>
    <row r="1041" spans="2:29" x14ac:dyDescent="0.25">
      <c r="B1041" s="266"/>
      <c r="C1041" s="266"/>
      <c r="D1041" s="266"/>
      <c r="E1041" s="266"/>
      <c r="F1041" s="266"/>
      <c r="G1041" s="266"/>
      <c r="H1041" s="266"/>
      <c r="I1041" s="266"/>
      <c r="J1041" s="266"/>
      <c r="K1041" s="266"/>
      <c r="L1041" s="266"/>
      <c r="M1041" s="266"/>
      <c r="N1041" s="266"/>
      <c r="O1041" s="266"/>
      <c r="P1041" s="266"/>
      <c r="Q1041" s="266"/>
      <c r="R1041" s="266"/>
      <c r="S1041" s="266"/>
      <c r="T1041" s="266"/>
      <c r="U1041" s="266"/>
      <c r="V1041" s="266"/>
      <c r="W1041" s="266"/>
      <c r="X1041" s="266"/>
      <c r="Y1041" s="266"/>
      <c r="Z1041" s="266"/>
      <c r="AA1041" s="266"/>
      <c r="AB1041" s="266"/>
      <c r="AC1041" s="266"/>
    </row>
    <row r="1042" spans="2:29" x14ac:dyDescent="0.25">
      <c r="B1042" s="266"/>
      <c r="C1042" s="266"/>
      <c r="D1042" s="266"/>
      <c r="E1042" s="266"/>
      <c r="F1042" s="266"/>
      <c r="G1042" s="266"/>
      <c r="H1042" s="266"/>
      <c r="I1042" s="266"/>
      <c r="J1042" s="266"/>
      <c r="K1042" s="266"/>
      <c r="L1042" s="266"/>
      <c r="M1042" s="266"/>
      <c r="N1042" s="266"/>
      <c r="O1042" s="266"/>
      <c r="P1042" s="266"/>
      <c r="Q1042" s="266"/>
      <c r="R1042" s="266"/>
      <c r="S1042" s="266"/>
      <c r="T1042" s="266"/>
      <c r="U1042" s="266"/>
      <c r="V1042" s="266"/>
      <c r="W1042" s="266"/>
      <c r="X1042" s="266"/>
      <c r="Y1042" s="266"/>
      <c r="Z1042" s="266"/>
      <c r="AA1042" s="266"/>
      <c r="AB1042" s="266"/>
      <c r="AC1042" s="266"/>
    </row>
    <row r="1043" spans="2:29" x14ac:dyDescent="0.25">
      <c r="B1043" s="266"/>
      <c r="C1043" s="266"/>
      <c r="D1043" s="266"/>
      <c r="E1043" s="266"/>
      <c r="F1043" s="266"/>
      <c r="G1043" s="266"/>
      <c r="H1043" s="266"/>
      <c r="I1043" s="266"/>
      <c r="J1043" s="266"/>
      <c r="K1043" s="266"/>
      <c r="L1043" s="266"/>
      <c r="M1043" s="266"/>
      <c r="N1043" s="266"/>
      <c r="O1043" s="266"/>
      <c r="P1043" s="266"/>
      <c r="Q1043" s="266"/>
      <c r="R1043" s="266"/>
      <c r="S1043" s="266"/>
      <c r="T1043" s="266"/>
      <c r="U1043" s="266"/>
      <c r="V1043" s="266"/>
      <c r="W1043" s="266"/>
      <c r="X1043" s="266"/>
      <c r="Y1043" s="266"/>
      <c r="Z1043" s="266"/>
      <c r="AA1043" s="266"/>
      <c r="AB1043" s="266"/>
      <c r="AC1043" s="266"/>
    </row>
    <row r="1044" spans="2:29" x14ac:dyDescent="0.25">
      <c r="B1044" s="266"/>
      <c r="C1044" s="266"/>
      <c r="D1044" s="266"/>
      <c r="E1044" s="266"/>
      <c r="F1044" s="266"/>
      <c r="G1044" s="266"/>
      <c r="H1044" s="266"/>
      <c r="I1044" s="266"/>
      <c r="J1044" s="266"/>
      <c r="K1044" s="266"/>
      <c r="L1044" s="266"/>
      <c r="M1044" s="266"/>
      <c r="N1044" s="266"/>
      <c r="O1044" s="266"/>
      <c r="P1044" s="266"/>
      <c r="Q1044" s="266"/>
      <c r="R1044" s="266"/>
      <c r="S1044" s="266"/>
      <c r="T1044" s="266"/>
      <c r="U1044" s="266"/>
      <c r="V1044" s="266"/>
      <c r="W1044" s="266"/>
      <c r="X1044" s="266"/>
      <c r="Y1044" s="266"/>
      <c r="Z1044" s="266"/>
      <c r="AA1044" s="266"/>
      <c r="AB1044" s="266"/>
      <c r="AC1044" s="266"/>
    </row>
    <row r="1045" spans="2:29" x14ac:dyDescent="0.25">
      <c r="B1045" s="266"/>
      <c r="C1045" s="266"/>
      <c r="D1045" s="266"/>
      <c r="E1045" s="266"/>
      <c r="F1045" s="266"/>
      <c r="G1045" s="266"/>
      <c r="H1045" s="266"/>
      <c r="I1045" s="266"/>
      <c r="J1045" s="266"/>
      <c r="K1045" s="266"/>
      <c r="L1045" s="266"/>
      <c r="M1045" s="266"/>
      <c r="N1045" s="266"/>
      <c r="O1045" s="266"/>
      <c r="P1045" s="266"/>
      <c r="Q1045" s="266"/>
      <c r="R1045" s="266"/>
      <c r="S1045" s="266"/>
      <c r="T1045" s="266"/>
      <c r="U1045" s="266"/>
      <c r="V1045" s="266"/>
      <c r="W1045" s="266"/>
      <c r="X1045" s="266"/>
      <c r="Y1045" s="266"/>
      <c r="Z1045" s="266"/>
      <c r="AA1045" s="266"/>
      <c r="AB1045" s="266"/>
      <c r="AC1045" s="266"/>
    </row>
    <row r="1046" spans="2:29" x14ac:dyDescent="0.25">
      <c r="B1046" s="266"/>
      <c r="C1046" s="266"/>
      <c r="D1046" s="266"/>
      <c r="E1046" s="266"/>
      <c r="F1046" s="266"/>
      <c r="G1046" s="266"/>
      <c r="H1046" s="266"/>
      <c r="I1046" s="266"/>
      <c r="J1046" s="266"/>
      <c r="K1046" s="266"/>
      <c r="L1046" s="266"/>
      <c r="M1046" s="266"/>
      <c r="N1046" s="266"/>
      <c r="O1046" s="266"/>
      <c r="P1046" s="266"/>
      <c r="Q1046" s="266"/>
      <c r="R1046" s="266"/>
      <c r="S1046" s="266"/>
      <c r="T1046" s="266"/>
      <c r="U1046" s="266"/>
      <c r="V1046" s="266"/>
      <c r="W1046" s="266"/>
      <c r="X1046" s="266"/>
      <c r="Y1046" s="266"/>
      <c r="Z1046" s="266"/>
      <c r="AA1046" s="266"/>
      <c r="AB1046" s="266"/>
      <c r="AC1046" s="266"/>
    </row>
    <row r="1047" spans="2:29" x14ac:dyDescent="0.25">
      <c r="B1047" s="266"/>
      <c r="C1047" s="266"/>
      <c r="D1047" s="266"/>
      <c r="E1047" s="266"/>
      <c r="F1047" s="266"/>
      <c r="G1047" s="266"/>
      <c r="H1047" s="266"/>
      <c r="I1047" s="266"/>
      <c r="J1047" s="266"/>
      <c r="K1047" s="266"/>
      <c r="L1047" s="266"/>
      <c r="M1047" s="266"/>
      <c r="N1047" s="266"/>
      <c r="O1047" s="266"/>
      <c r="P1047" s="266"/>
      <c r="Q1047" s="266"/>
      <c r="R1047" s="266"/>
      <c r="S1047" s="266"/>
      <c r="T1047" s="266"/>
      <c r="U1047" s="266"/>
      <c r="V1047" s="266"/>
      <c r="W1047" s="266"/>
      <c r="X1047" s="266"/>
      <c r="Y1047" s="266"/>
      <c r="Z1047" s="266"/>
      <c r="AA1047" s="266"/>
      <c r="AB1047" s="266"/>
      <c r="AC1047" s="266"/>
    </row>
    <row r="1048" spans="2:29" x14ac:dyDescent="0.25">
      <c r="B1048" s="266"/>
      <c r="C1048" s="266"/>
      <c r="D1048" s="266"/>
      <c r="E1048" s="266"/>
      <c r="F1048" s="266"/>
      <c r="G1048" s="266"/>
      <c r="H1048" s="266"/>
      <c r="I1048" s="266"/>
      <c r="J1048" s="266"/>
      <c r="K1048" s="266"/>
      <c r="L1048" s="266"/>
      <c r="M1048" s="266"/>
      <c r="N1048" s="266"/>
      <c r="O1048" s="266"/>
      <c r="P1048" s="266"/>
      <c r="Q1048" s="266"/>
      <c r="R1048" s="266"/>
      <c r="S1048" s="266"/>
      <c r="T1048" s="266"/>
      <c r="U1048" s="266"/>
      <c r="V1048" s="266"/>
      <c r="W1048" s="266"/>
      <c r="X1048" s="266"/>
      <c r="Y1048" s="266"/>
      <c r="Z1048" s="266"/>
      <c r="AA1048" s="266"/>
      <c r="AB1048" s="266"/>
      <c r="AC1048" s="266"/>
    </row>
    <row r="1049" spans="2:29" x14ac:dyDescent="0.25">
      <c r="B1049" s="266"/>
      <c r="C1049" s="266"/>
      <c r="D1049" s="266"/>
      <c r="E1049" s="266"/>
      <c r="F1049" s="266"/>
      <c r="G1049" s="266"/>
      <c r="H1049" s="266"/>
      <c r="I1049" s="266"/>
      <c r="J1049" s="266"/>
      <c r="K1049" s="266"/>
      <c r="L1049" s="266"/>
      <c r="M1049" s="266"/>
      <c r="N1049" s="266"/>
      <c r="O1049" s="266"/>
      <c r="P1049" s="266"/>
      <c r="Q1049" s="266"/>
      <c r="R1049" s="266"/>
      <c r="S1049" s="266"/>
      <c r="T1049" s="266"/>
      <c r="U1049" s="266"/>
      <c r="V1049" s="266"/>
      <c r="W1049" s="266"/>
      <c r="X1049" s="266"/>
      <c r="Y1049" s="266"/>
      <c r="Z1049" s="266"/>
      <c r="AA1049" s="266"/>
      <c r="AB1049" s="266"/>
      <c r="AC1049" s="266"/>
    </row>
    <row r="1050" spans="2:29" x14ac:dyDescent="0.25">
      <c r="B1050" s="266"/>
      <c r="C1050" s="266"/>
      <c r="D1050" s="266"/>
      <c r="E1050" s="266"/>
      <c r="F1050" s="266"/>
      <c r="G1050" s="266"/>
      <c r="H1050" s="266"/>
      <c r="I1050" s="266"/>
      <c r="J1050" s="266"/>
      <c r="K1050" s="266"/>
      <c r="L1050" s="266"/>
      <c r="M1050" s="266"/>
      <c r="N1050" s="266"/>
      <c r="O1050" s="266"/>
      <c r="P1050" s="266"/>
      <c r="Q1050" s="266"/>
      <c r="R1050" s="266"/>
      <c r="S1050" s="266"/>
      <c r="T1050" s="266"/>
      <c r="U1050" s="266"/>
      <c r="V1050" s="266"/>
      <c r="W1050" s="266"/>
      <c r="X1050" s="266"/>
      <c r="Y1050" s="266"/>
      <c r="Z1050" s="266"/>
      <c r="AA1050" s="266"/>
      <c r="AB1050" s="266"/>
      <c r="AC1050" s="266"/>
    </row>
    <row r="1051" spans="2:29" x14ac:dyDescent="0.25">
      <c r="B1051" s="266"/>
      <c r="C1051" s="266"/>
      <c r="D1051" s="266"/>
      <c r="E1051" s="266"/>
      <c r="F1051" s="266"/>
      <c r="G1051" s="266"/>
      <c r="H1051" s="266"/>
      <c r="I1051" s="266"/>
      <c r="J1051" s="266"/>
      <c r="K1051" s="266"/>
      <c r="L1051" s="266"/>
      <c r="M1051" s="266"/>
      <c r="N1051" s="266"/>
      <c r="O1051" s="266"/>
      <c r="P1051" s="266"/>
      <c r="Q1051" s="266"/>
      <c r="R1051" s="266"/>
      <c r="S1051" s="266"/>
      <c r="T1051" s="266"/>
      <c r="U1051" s="266"/>
      <c r="V1051" s="266"/>
      <c r="W1051" s="266"/>
      <c r="X1051" s="266"/>
      <c r="Y1051" s="266"/>
      <c r="Z1051" s="266"/>
      <c r="AA1051" s="266"/>
      <c r="AB1051" s="266"/>
      <c r="AC1051" s="266"/>
    </row>
    <row r="1052" spans="2:29" x14ac:dyDescent="0.25">
      <c r="B1052" s="266"/>
      <c r="C1052" s="266"/>
      <c r="D1052" s="266"/>
      <c r="E1052" s="266"/>
      <c r="F1052" s="266"/>
      <c r="G1052" s="266"/>
      <c r="H1052" s="266"/>
      <c r="I1052" s="266"/>
      <c r="J1052" s="266"/>
      <c r="K1052" s="266"/>
      <c r="L1052" s="266"/>
      <c r="M1052" s="266"/>
      <c r="N1052" s="266"/>
      <c r="O1052" s="266"/>
      <c r="P1052" s="266"/>
      <c r="Q1052" s="266"/>
      <c r="R1052" s="266"/>
      <c r="S1052" s="266"/>
      <c r="T1052" s="266"/>
      <c r="U1052" s="266"/>
      <c r="V1052" s="266"/>
      <c r="W1052" s="266"/>
      <c r="X1052" s="266"/>
      <c r="Y1052" s="266"/>
      <c r="Z1052" s="266"/>
      <c r="AA1052" s="266"/>
      <c r="AB1052" s="266"/>
      <c r="AC1052" s="266"/>
    </row>
    <row r="1053" spans="2:29" x14ac:dyDescent="0.25">
      <c r="B1053" s="257"/>
      <c r="C1053" s="257"/>
      <c r="D1053" s="257"/>
      <c r="E1053" s="257"/>
      <c r="F1053" s="257"/>
      <c r="G1053" s="257"/>
      <c r="H1053" s="257"/>
      <c r="I1053" s="257"/>
      <c r="J1053" s="257"/>
      <c r="K1053" s="257"/>
      <c r="L1053" s="257"/>
      <c r="M1053" s="257"/>
      <c r="N1053" s="257"/>
      <c r="O1053" s="257"/>
      <c r="P1053" s="257"/>
      <c r="Q1053" s="257"/>
      <c r="R1053" s="257"/>
      <c r="S1053" s="257"/>
      <c r="T1053" s="257"/>
      <c r="U1053" s="257"/>
      <c r="V1053" s="257"/>
      <c r="W1053" s="257"/>
      <c r="X1053" s="257"/>
      <c r="Y1053" s="257"/>
      <c r="Z1053" s="257"/>
      <c r="AA1053" s="257"/>
      <c r="AB1053" s="257"/>
      <c r="AC1053" s="257"/>
    </row>
    <row r="1054" spans="2:29" x14ac:dyDescent="0.25">
      <c r="B1054" s="257"/>
      <c r="C1054" s="257"/>
      <c r="D1054" s="257"/>
      <c r="E1054" s="257"/>
      <c r="F1054" s="257"/>
      <c r="G1054" s="257"/>
      <c r="H1054" s="257"/>
      <c r="I1054" s="257"/>
      <c r="J1054" s="257"/>
      <c r="K1054" s="257"/>
      <c r="L1054" s="257"/>
      <c r="M1054" s="257"/>
      <c r="N1054" s="257"/>
      <c r="O1054" s="257"/>
      <c r="P1054" s="257"/>
      <c r="Q1054" s="257"/>
      <c r="R1054" s="257"/>
      <c r="S1054" s="257"/>
      <c r="T1054" s="257"/>
      <c r="U1054" s="257"/>
      <c r="V1054" s="257"/>
      <c r="W1054" s="257"/>
      <c r="X1054" s="257"/>
      <c r="Y1054" s="257"/>
      <c r="Z1054" s="257"/>
      <c r="AA1054" s="257"/>
      <c r="AB1054" s="257"/>
      <c r="AC1054" s="257"/>
    </row>
    <row r="1055" spans="2:29" x14ac:dyDescent="0.25">
      <c r="B1055" s="257"/>
      <c r="C1055" s="257"/>
      <c r="D1055" s="257"/>
      <c r="E1055" s="257"/>
      <c r="F1055" s="257"/>
      <c r="G1055" s="257"/>
      <c r="H1055" s="257"/>
      <c r="I1055" s="257"/>
      <c r="J1055" s="257"/>
      <c r="K1055" s="257"/>
      <c r="L1055" s="257"/>
      <c r="M1055" s="257"/>
      <c r="N1055" s="257"/>
      <c r="O1055" s="257"/>
      <c r="P1055" s="257"/>
      <c r="Q1055" s="257"/>
      <c r="R1055" s="257"/>
      <c r="S1055" s="257"/>
      <c r="T1055" s="257"/>
      <c r="U1055" s="257"/>
      <c r="V1055" s="257"/>
      <c r="W1055" s="257"/>
      <c r="X1055" s="257"/>
      <c r="Y1055" s="257"/>
      <c r="Z1055" s="257"/>
      <c r="AA1055" s="257"/>
      <c r="AB1055" s="257"/>
      <c r="AC1055" s="257"/>
    </row>
    <row r="1056" spans="2:29" x14ac:dyDescent="0.25">
      <c r="B1056" s="257"/>
      <c r="C1056" s="257"/>
      <c r="D1056" s="257"/>
      <c r="E1056" s="257"/>
      <c r="F1056" s="257"/>
      <c r="G1056" s="257"/>
      <c r="H1056" s="257"/>
      <c r="I1056" s="257"/>
      <c r="J1056" s="257"/>
      <c r="K1056" s="257"/>
      <c r="L1056" s="257"/>
      <c r="M1056" s="257"/>
      <c r="N1056" s="257"/>
      <c r="O1056" s="257"/>
      <c r="P1056" s="257"/>
      <c r="Q1056" s="257"/>
      <c r="R1056" s="257"/>
      <c r="S1056" s="257"/>
      <c r="T1056" s="257"/>
      <c r="U1056" s="257"/>
      <c r="V1056" s="257"/>
      <c r="W1056" s="257"/>
      <c r="X1056" s="257"/>
      <c r="Y1056" s="257"/>
      <c r="Z1056" s="257"/>
      <c r="AA1056" s="257"/>
      <c r="AB1056" s="257"/>
      <c r="AC1056" s="257"/>
    </row>
    <row r="1057" spans="2:29" x14ac:dyDescent="0.25">
      <c r="B1057" s="257"/>
      <c r="C1057" s="257"/>
      <c r="D1057" s="257"/>
      <c r="E1057" s="257"/>
      <c r="F1057" s="257"/>
      <c r="G1057" s="257"/>
      <c r="H1057" s="257"/>
      <c r="I1057" s="257"/>
      <c r="J1057" s="257"/>
      <c r="K1057" s="257"/>
      <c r="L1057" s="257"/>
      <c r="M1057" s="257"/>
      <c r="N1057" s="257"/>
      <c r="O1057" s="257"/>
      <c r="P1057" s="257"/>
      <c r="Q1057" s="257"/>
      <c r="R1057" s="257"/>
      <c r="S1057" s="257"/>
      <c r="T1057" s="257"/>
      <c r="U1057" s="257"/>
      <c r="V1057" s="257"/>
      <c r="W1057" s="257"/>
      <c r="X1057" s="257"/>
      <c r="Y1057" s="257"/>
      <c r="Z1057" s="257"/>
      <c r="AA1057" s="257"/>
      <c r="AB1057" s="257"/>
      <c r="AC1057" s="257"/>
    </row>
    <row r="1058" spans="2:29" x14ac:dyDescent="0.25">
      <c r="B1058" s="257"/>
      <c r="C1058" s="257"/>
      <c r="D1058" s="257"/>
      <c r="E1058" s="257"/>
      <c r="F1058" s="257"/>
      <c r="G1058" s="257"/>
      <c r="H1058" s="257"/>
      <c r="I1058" s="257"/>
      <c r="J1058" s="257"/>
      <c r="K1058" s="257"/>
      <c r="L1058" s="257"/>
      <c r="M1058" s="257"/>
      <c r="N1058" s="257"/>
      <c r="O1058" s="257"/>
      <c r="P1058" s="257"/>
      <c r="Q1058" s="257"/>
      <c r="R1058" s="257"/>
      <c r="S1058" s="257"/>
      <c r="T1058" s="257"/>
      <c r="U1058" s="257"/>
      <c r="V1058" s="257"/>
      <c r="W1058" s="257"/>
      <c r="X1058" s="257"/>
      <c r="Y1058" s="257"/>
      <c r="Z1058" s="257"/>
      <c r="AA1058" s="257"/>
      <c r="AB1058" s="257"/>
      <c r="AC1058" s="257"/>
    </row>
    <row r="1059" spans="2:29" x14ac:dyDescent="0.25">
      <c r="B1059" s="257"/>
      <c r="C1059" s="257"/>
      <c r="D1059" s="257"/>
      <c r="E1059" s="257"/>
      <c r="F1059" s="257"/>
      <c r="G1059" s="257"/>
      <c r="H1059" s="257"/>
      <c r="I1059" s="257"/>
      <c r="J1059" s="257"/>
      <c r="K1059" s="257"/>
      <c r="L1059" s="257"/>
      <c r="M1059" s="257"/>
      <c r="N1059" s="257"/>
      <c r="O1059" s="257"/>
      <c r="P1059" s="257"/>
      <c r="Q1059" s="257"/>
      <c r="R1059" s="257"/>
      <c r="S1059" s="257"/>
      <c r="T1059" s="257"/>
      <c r="U1059" s="257"/>
      <c r="V1059" s="257"/>
      <c r="W1059" s="257"/>
      <c r="X1059" s="257"/>
      <c r="Y1059" s="257"/>
      <c r="Z1059" s="257"/>
      <c r="AA1059" s="257"/>
      <c r="AB1059" s="257"/>
      <c r="AC1059" s="257"/>
    </row>
    <row r="1060" spans="2:29" x14ac:dyDescent="0.25">
      <c r="B1060" s="257"/>
      <c r="C1060" s="257"/>
      <c r="D1060" s="257"/>
      <c r="E1060" s="257"/>
      <c r="F1060" s="257"/>
      <c r="G1060" s="257"/>
      <c r="H1060" s="257"/>
      <c r="I1060" s="257"/>
      <c r="J1060" s="257"/>
      <c r="K1060" s="257"/>
      <c r="L1060" s="257"/>
      <c r="M1060" s="257"/>
      <c r="N1060" s="257"/>
      <c r="O1060" s="257"/>
      <c r="P1060" s="257"/>
      <c r="Q1060" s="257"/>
      <c r="R1060" s="257"/>
      <c r="S1060" s="257"/>
      <c r="T1060" s="257"/>
      <c r="U1060" s="257"/>
      <c r="V1060" s="257"/>
      <c r="W1060" s="257"/>
      <c r="X1060" s="257"/>
      <c r="Y1060" s="257"/>
      <c r="Z1060" s="257"/>
      <c r="AA1060" s="257"/>
      <c r="AB1060" s="257"/>
      <c r="AC1060" s="257"/>
    </row>
    <row r="1061" spans="2:29" x14ac:dyDescent="0.25">
      <c r="B1061" s="257"/>
      <c r="C1061" s="257"/>
      <c r="D1061" s="257"/>
      <c r="E1061" s="257"/>
      <c r="F1061" s="257"/>
      <c r="G1061" s="257"/>
      <c r="H1061" s="257"/>
      <c r="I1061" s="257"/>
      <c r="J1061" s="257"/>
      <c r="K1061" s="257"/>
      <c r="L1061" s="257"/>
      <c r="M1061" s="257"/>
      <c r="N1061" s="257"/>
      <c r="O1061" s="257"/>
      <c r="P1061" s="257"/>
      <c r="Q1061" s="257"/>
      <c r="R1061" s="257"/>
      <c r="S1061" s="257"/>
      <c r="T1061" s="257"/>
      <c r="U1061" s="257"/>
      <c r="V1061" s="257"/>
      <c r="W1061" s="257"/>
      <c r="X1061" s="257"/>
      <c r="Y1061" s="257"/>
      <c r="Z1061" s="257"/>
      <c r="AA1061" s="257"/>
      <c r="AB1061" s="257"/>
      <c r="AC1061" s="257"/>
    </row>
    <row r="1062" spans="2:29" x14ac:dyDescent="0.25">
      <c r="B1062" s="257"/>
      <c r="C1062" s="257"/>
      <c r="D1062" s="257"/>
      <c r="E1062" s="257"/>
      <c r="F1062" s="257"/>
      <c r="G1062" s="257"/>
      <c r="H1062" s="257"/>
      <c r="I1062" s="257"/>
      <c r="J1062" s="257"/>
      <c r="K1062" s="257"/>
      <c r="L1062" s="257"/>
      <c r="M1062" s="257"/>
      <c r="N1062" s="257"/>
      <c r="O1062" s="257"/>
      <c r="P1062" s="257"/>
      <c r="Q1062" s="257"/>
      <c r="R1062" s="257"/>
      <c r="S1062" s="257"/>
      <c r="T1062" s="257"/>
      <c r="U1062" s="257"/>
      <c r="V1062" s="257"/>
      <c r="W1062" s="257"/>
      <c r="X1062" s="257"/>
      <c r="Y1062" s="257"/>
      <c r="Z1062" s="257"/>
      <c r="AA1062" s="257"/>
      <c r="AB1062" s="257"/>
      <c r="AC1062" s="257"/>
    </row>
  </sheetData>
  <mergeCells count="63">
    <mergeCell ref="B72:E72"/>
    <mergeCell ref="G72:J72"/>
    <mergeCell ref="L72:O72"/>
    <mergeCell ref="Q72:T72"/>
    <mergeCell ref="V74:X74"/>
    <mergeCell ref="V76:X76"/>
    <mergeCell ref="B59:E59"/>
    <mergeCell ref="G59:J59"/>
    <mergeCell ref="L59:O59"/>
    <mergeCell ref="Q59:T59"/>
    <mergeCell ref="V59:Y59"/>
    <mergeCell ref="B71:E71"/>
    <mergeCell ref="G71:J71"/>
    <mergeCell ref="L71:O71"/>
    <mergeCell ref="Q71:T71"/>
    <mergeCell ref="A57:Y57"/>
    <mergeCell ref="B58:E58"/>
    <mergeCell ref="G58:J58"/>
    <mergeCell ref="L58:O58"/>
    <mergeCell ref="Q58:T58"/>
    <mergeCell ref="V58:Y58"/>
    <mergeCell ref="B44:E44"/>
    <mergeCell ref="G44:J44"/>
    <mergeCell ref="L44:O44"/>
    <mergeCell ref="Q44:T44"/>
    <mergeCell ref="V46:X46"/>
    <mergeCell ref="V48:X48"/>
    <mergeCell ref="B31:E31"/>
    <mergeCell ref="G31:J31"/>
    <mergeCell ref="L31:O31"/>
    <mergeCell ref="Q31:T31"/>
    <mergeCell ref="V31:Y31"/>
    <mergeCell ref="B43:E43"/>
    <mergeCell ref="G43:J43"/>
    <mergeCell ref="L43:O43"/>
    <mergeCell ref="Q43:T43"/>
    <mergeCell ref="A29:Y29"/>
    <mergeCell ref="B30:E30"/>
    <mergeCell ref="G30:J30"/>
    <mergeCell ref="L30:O30"/>
    <mergeCell ref="Q30:T30"/>
    <mergeCell ref="V30:Y30"/>
    <mergeCell ref="B16:E16"/>
    <mergeCell ref="G16:J16"/>
    <mergeCell ref="L16:O16"/>
    <mergeCell ref="Q16:T16"/>
    <mergeCell ref="V18:X18"/>
    <mergeCell ref="V20:X20"/>
    <mergeCell ref="B3:E3"/>
    <mergeCell ref="G3:J3"/>
    <mergeCell ref="L3:O3"/>
    <mergeCell ref="Q3:T3"/>
    <mergeCell ref="V3:Y3"/>
    <mergeCell ref="B15:E15"/>
    <mergeCell ref="G15:J15"/>
    <mergeCell ref="L15:O15"/>
    <mergeCell ref="Q15:T15"/>
    <mergeCell ref="A1:Y1"/>
    <mergeCell ref="B2:E2"/>
    <mergeCell ref="G2:J2"/>
    <mergeCell ref="L2:O2"/>
    <mergeCell ref="Q2:T2"/>
    <mergeCell ref="V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28 FAYN FULL LYC İKİ İPLK GRMAJ</vt:lpstr>
      <vt:lpstr>28 FAYN FULL LYC İKİ İPLK ENLER</vt:lpstr>
      <vt:lpstr>DÜZ İKİ İPLİK GRAMAJ</vt:lpstr>
      <vt:lpstr>DÜZ İKİ İPLİK ENLERİ</vt:lpstr>
      <vt:lpstr>İKİ İPLK ORTLMA İPLK VE LYC ORA</vt:lpstr>
      <vt:lpstr>150DN POLY İKİ İPLİK ORANLARI</vt:lpstr>
      <vt:lpstr>90DN POLY İKİ İPLİK ORANLARI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2022-11-08T08:26:53Z</dcterms:created>
  <dcterms:modified xsi:type="dcterms:W3CDTF">2022-11-08T08:49:40Z</dcterms:modified>
</cp:coreProperties>
</file>