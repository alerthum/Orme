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4175" windowHeight="6660" firstSheet="1" activeTab="4"/>
  </bookViews>
  <sheets>
    <sheet name="70DN POLY ÜÇ İPLİKLER" sheetId="1" r:id="rId1"/>
    <sheet name="90DN POLY ÜÇ İPLİKLER" sheetId="2" r:id="rId2"/>
    <sheet name="ARA İPLİK 36-1 ÜÇ İPLİKLER" sheetId="3" r:id="rId3"/>
    <sheet name="ARA İPLİK 30-1 ÜÇ İPLİKLER" sheetId="4" r:id="rId4"/>
    <sheet name="ARA İPLİK 20-1 ÜÇİPLİKL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9" i="5" l="1"/>
  <c r="Z59" i="5"/>
  <c r="Q59" i="5"/>
  <c r="H59" i="5"/>
  <c r="AI58" i="5"/>
  <c r="Z58" i="5"/>
  <c r="Q58" i="5"/>
  <c r="H58" i="5"/>
  <c r="AI57" i="5"/>
  <c r="Z57" i="5"/>
  <c r="Q57" i="5"/>
  <c r="H57" i="5"/>
  <c r="AI56" i="5"/>
  <c r="Z56" i="5"/>
  <c r="Q56" i="5"/>
  <c r="H56" i="5"/>
  <c r="AI55" i="5"/>
  <c r="Z55" i="5"/>
  <c r="Q55" i="5"/>
  <c r="H55" i="5"/>
  <c r="AI54" i="5"/>
  <c r="Z54" i="5"/>
  <c r="Q54" i="5"/>
  <c r="H54" i="5"/>
  <c r="AI53" i="5"/>
  <c r="Z53" i="5"/>
  <c r="Q53" i="5"/>
  <c r="H53" i="5"/>
  <c r="AI52" i="5"/>
  <c r="Z52" i="5"/>
  <c r="Q52" i="5"/>
  <c r="H52" i="5"/>
  <c r="AI51" i="5"/>
  <c r="Z51" i="5"/>
  <c r="Q51" i="5"/>
  <c r="H51" i="5"/>
  <c r="AI50" i="5"/>
  <c r="Z50" i="5"/>
  <c r="Q50" i="5"/>
  <c r="H50" i="5"/>
  <c r="AI48" i="5"/>
  <c r="Z48" i="5"/>
  <c r="Q48" i="5"/>
  <c r="H48" i="5"/>
  <c r="AI47" i="5"/>
  <c r="Z47" i="5"/>
  <c r="Q47" i="5"/>
  <c r="H47" i="5"/>
  <c r="AI46" i="5"/>
  <c r="Z46" i="5"/>
  <c r="Q46" i="5"/>
  <c r="H46" i="5"/>
  <c r="AI45" i="5"/>
  <c r="Z45" i="5"/>
  <c r="Q45" i="5"/>
  <c r="H45" i="5"/>
  <c r="AI44" i="5"/>
  <c r="Z44" i="5"/>
  <c r="Q44" i="5"/>
  <c r="H44" i="5"/>
  <c r="AI43" i="5"/>
  <c r="Z43" i="5"/>
  <c r="Q43" i="5"/>
  <c r="H43" i="5"/>
  <c r="AI42" i="5"/>
  <c r="Z42" i="5"/>
  <c r="Q42" i="5"/>
  <c r="H42" i="5"/>
  <c r="AI41" i="5"/>
  <c r="Z41" i="5"/>
  <c r="Q41" i="5"/>
  <c r="H41" i="5"/>
  <c r="AI40" i="5"/>
  <c r="Z40" i="5"/>
  <c r="Q40" i="5"/>
  <c r="H40" i="5"/>
  <c r="AI39" i="5"/>
  <c r="Z39" i="5"/>
  <c r="Q39" i="5"/>
  <c r="H39" i="5"/>
  <c r="AI37" i="5"/>
  <c r="Z37" i="5"/>
  <c r="Q37" i="5"/>
  <c r="H37" i="5"/>
  <c r="AI36" i="5"/>
  <c r="Z36" i="5"/>
  <c r="Q36" i="5"/>
  <c r="H36" i="5"/>
  <c r="AI35" i="5"/>
  <c r="Z35" i="5"/>
  <c r="Q35" i="5"/>
  <c r="H35" i="5"/>
  <c r="AI34" i="5"/>
  <c r="Z34" i="5"/>
  <c r="Q34" i="5"/>
  <c r="H34" i="5"/>
  <c r="AI33" i="5"/>
  <c r="Z33" i="5"/>
  <c r="Q33" i="5"/>
  <c r="H33" i="5"/>
  <c r="AI32" i="5"/>
  <c r="Z32" i="5"/>
  <c r="Q32" i="5"/>
  <c r="H32" i="5"/>
  <c r="AI31" i="5"/>
  <c r="Z31" i="5"/>
  <c r="Q31" i="5"/>
  <c r="H31" i="5"/>
  <c r="AI30" i="5"/>
  <c r="Z30" i="5"/>
  <c r="Q30" i="5"/>
  <c r="H30" i="5"/>
  <c r="AI29" i="5"/>
  <c r="Z29" i="5"/>
  <c r="Q29" i="5"/>
  <c r="H29" i="5"/>
  <c r="AI28" i="5"/>
  <c r="Z28" i="5"/>
  <c r="Q28" i="5"/>
  <c r="H28" i="5"/>
  <c r="AI26" i="5"/>
  <c r="Z26" i="5"/>
  <c r="Q26" i="5"/>
  <c r="H26" i="5"/>
  <c r="AI25" i="5"/>
  <c r="Z25" i="5"/>
  <c r="Q25" i="5"/>
  <c r="H25" i="5"/>
  <c r="AI24" i="5"/>
  <c r="Z24" i="5"/>
  <c r="Q24" i="5"/>
  <c r="H24" i="5"/>
  <c r="AI23" i="5"/>
  <c r="Z23" i="5"/>
  <c r="Q23" i="5"/>
  <c r="H23" i="5"/>
  <c r="AI22" i="5"/>
  <c r="Z22" i="5"/>
  <c r="Q22" i="5"/>
  <c r="H22" i="5"/>
  <c r="AI21" i="5"/>
  <c r="Z21" i="5"/>
  <c r="Q21" i="5"/>
  <c r="H21" i="5"/>
  <c r="AI20" i="5"/>
  <c r="Z20" i="5"/>
  <c r="Q20" i="5"/>
  <c r="H20" i="5"/>
  <c r="AI19" i="5"/>
  <c r="Z19" i="5"/>
  <c r="Q19" i="5"/>
  <c r="H19" i="5"/>
  <c r="AI18" i="5"/>
  <c r="Z18" i="5"/>
  <c r="Q18" i="5"/>
  <c r="H18" i="5"/>
  <c r="AI17" i="5"/>
  <c r="Z17" i="5"/>
  <c r="Q17" i="5"/>
  <c r="H17" i="5"/>
  <c r="AI15" i="5"/>
  <c r="Z15" i="5"/>
  <c r="Q15" i="5"/>
  <c r="H15" i="5"/>
  <c r="AI14" i="5"/>
  <c r="Z14" i="5"/>
  <c r="Q14" i="5"/>
  <c r="H14" i="5"/>
  <c r="AI13" i="5"/>
  <c r="Z13" i="5"/>
  <c r="Q13" i="5"/>
  <c r="H13" i="5"/>
  <c r="AI12" i="5"/>
  <c r="Z12" i="5"/>
  <c r="Q12" i="5"/>
  <c r="H12" i="5"/>
  <c r="AI11" i="5"/>
  <c r="Z11" i="5"/>
  <c r="Q11" i="5"/>
  <c r="H11" i="5"/>
  <c r="AI10" i="5"/>
  <c r="Z10" i="5"/>
  <c r="Q10" i="5"/>
  <c r="H10" i="5"/>
  <c r="AI9" i="5"/>
  <c r="Z9" i="5"/>
  <c r="Q9" i="5"/>
  <c r="H9" i="5"/>
  <c r="AI8" i="5"/>
  <c r="Z8" i="5"/>
  <c r="Q8" i="5"/>
  <c r="H8" i="5"/>
  <c r="AI7" i="5"/>
  <c r="Z7" i="5"/>
  <c r="Q7" i="5"/>
  <c r="H7" i="5"/>
  <c r="AI6" i="5"/>
  <c r="Z6" i="5"/>
  <c r="Q6" i="5"/>
  <c r="H6" i="5"/>
  <c r="AI59" i="4"/>
  <c r="Z59" i="4"/>
  <c r="Q59" i="4"/>
  <c r="H59" i="4"/>
  <c r="AI58" i="4"/>
  <c r="Z58" i="4"/>
  <c r="Q58" i="4"/>
  <c r="H58" i="4"/>
  <c r="AI57" i="4"/>
  <c r="Z57" i="4"/>
  <c r="Q57" i="4"/>
  <c r="H57" i="4"/>
  <c r="AI56" i="4"/>
  <c r="Z56" i="4"/>
  <c r="Q56" i="4"/>
  <c r="H56" i="4"/>
  <c r="AI55" i="4"/>
  <c r="Z55" i="4"/>
  <c r="Q55" i="4"/>
  <c r="H55" i="4"/>
  <c r="AI54" i="4"/>
  <c r="Z54" i="4"/>
  <c r="Q54" i="4"/>
  <c r="H54" i="4"/>
  <c r="AI53" i="4"/>
  <c r="Z53" i="4"/>
  <c r="Q53" i="4"/>
  <c r="H53" i="4"/>
  <c r="AI52" i="4"/>
  <c r="Z52" i="4"/>
  <c r="Q52" i="4"/>
  <c r="H52" i="4"/>
  <c r="AI51" i="4"/>
  <c r="Z51" i="4"/>
  <c r="Q51" i="4"/>
  <c r="H51" i="4"/>
  <c r="AI50" i="4"/>
  <c r="Z50" i="4"/>
  <c r="Q50" i="4"/>
  <c r="H50" i="4"/>
  <c r="AI48" i="4"/>
  <c r="Z48" i="4"/>
  <c r="Q48" i="4"/>
  <c r="H48" i="4"/>
  <c r="AI47" i="4"/>
  <c r="Z47" i="4"/>
  <c r="Q47" i="4"/>
  <c r="H47" i="4"/>
  <c r="AI46" i="4"/>
  <c r="Z46" i="4"/>
  <c r="Q46" i="4"/>
  <c r="H46" i="4"/>
  <c r="AI45" i="4"/>
  <c r="Z45" i="4"/>
  <c r="Q45" i="4"/>
  <c r="H45" i="4"/>
  <c r="AI44" i="4"/>
  <c r="Z44" i="4"/>
  <c r="Q44" i="4"/>
  <c r="H44" i="4"/>
  <c r="AI43" i="4"/>
  <c r="Z43" i="4"/>
  <c r="Q43" i="4"/>
  <c r="H43" i="4"/>
  <c r="AI42" i="4"/>
  <c r="Z42" i="4"/>
  <c r="Q42" i="4"/>
  <c r="H42" i="4"/>
  <c r="AI41" i="4"/>
  <c r="Z41" i="4"/>
  <c r="Q41" i="4"/>
  <c r="H41" i="4"/>
  <c r="AI40" i="4"/>
  <c r="Z40" i="4"/>
  <c r="Q40" i="4"/>
  <c r="H40" i="4"/>
  <c r="AI39" i="4"/>
  <c r="Z39" i="4"/>
  <c r="Q39" i="4"/>
  <c r="H39" i="4"/>
  <c r="AI37" i="4"/>
  <c r="Z37" i="4"/>
  <c r="Q37" i="4"/>
  <c r="H37" i="4"/>
  <c r="AI36" i="4"/>
  <c r="Z36" i="4"/>
  <c r="Q36" i="4"/>
  <c r="H36" i="4"/>
  <c r="AI35" i="4"/>
  <c r="Z35" i="4"/>
  <c r="Q35" i="4"/>
  <c r="H35" i="4"/>
  <c r="AI34" i="4"/>
  <c r="Z34" i="4"/>
  <c r="Q34" i="4"/>
  <c r="H34" i="4"/>
  <c r="AI33" i="4"/>
  <c r="Z33" i="4"/>
  <c r="Q33" i="4"/>
  <c r="H33" i="4"/>
  <c r="AI32" i="4"/>
  <c r="Z32" i="4"/>
  <c r="Q32" i="4"/>
  <c r="H32" i="4"/>
  <c r="AI31" i="4"/>
  <c r="Z31" i="4"/>
  <c r="Q31" i="4"/>
  <c r="H31" i="4"/>
  <c r="AI30" i="4"/>
  <c r="Z30" i="4"/>
  <c r="Q30" i="4"/>
  <c r="H30" i="4"/>
  <c r="AI29" i="4"/>
  <c r="Z29" i="4"/>
  <c r="Q29" i="4"/>
  <c r="H29" i="4"/>
  <c r="AI28" i="4"/>
  <c r="Z28" i="4"/>
  <c r="Q28" i="4"/>
  <c r="H28" i="4"/>
  <c r="AI26" i="4"/>
  <c r="Z26" i="4"/>
  <c r="Q26" i="4"/>
  <c r="H26" i="4"/>
  <c r="AI25" i="4"/>
  <c r="Z25" i="4"/>
  <c r="Q25" i="4"/>
  <c r="H25" i="4"/>
  <c r="AI24" i="4"/>
  <c r="Z24" i="4"/>
  <c r="Q24" i="4"/>
  <c r="H24" i="4"/>
  <c r="AI23" i="4"/>
  <c r="Z23" i="4"/>
  <c r="Q23" i="4"/>
  <c r="H23" i="4"/>
  <c r="AI22" i="4"/>
  <c r="Z22" i="4"/>
  <c r="Q22" i="4"/>
  <c r="H22" i="4"/>
  <c r="AI21" i="4"/>
  <c r="Z21" i="4"/>
  <c r="Q21" i="4"/>
  <c r="H21" i="4"/>
  <c r="AI20" i="4"/>
  <c r="Z20" i="4"/>
  <c r="Q20" i="4"/>
  <c r="H20" i="4"/>
  <c r="AI19" i="4"/>
  <c r="Z19" i="4"/>
  <c r="Q19" i="4"/>
  <c r="H19" i="4"/>
  <c r="AI18" i="4"/>
  <c r="Z18" i="4"/>
  <c r="Q18" i="4"/>
  <c r="H18" i="4"/>
  <c r="AI17" i="4"/>
  <c r="Z17" i="4"/>
  <c r="Q17" i="4"/>
  <c r="H17" i="4"/>
  <c r="AI15" i="4"/>
  <c r="Z15" i="4"/>
  <c r="Q15" i="4"/>
  <c r="H15" i="4"/>
  <c r="AI14" i="4"/>
  <c r="Z14" i="4"/>
  <c r="Q14" i="4"/>
  <c r="H14" i="4"/>
  <c r="AI13" i="4"/>
  <c r="Z13" i="4"/>
  <c r="Q13" i="4"/>
  <c r="H13" i="4"/>
  <c r="AI12" i="4"/>
  <c r="Z12" i="4"/>
  <c r="Q12" i="4"/>
  <c r="H12" i="4"/>
  <c r="AI11" i="4"/>
  <c r="Z11" i="4"/>
  <c r="Q11" i="4"/>
  <c r="H11" i="4"/>
  <c r="AI10" i="4"/>
  <c r="Z10" i="4"/>
  <c r="Q10" i="4"/>
  <c r="H10" i="4"/>
  <c r="AI9" i="4"/>
  <c r="Z9" i="4"/>
  <c r="Q9" i="4"/>
  <c r="H9" i="4"/>
  <c r="AI8" i="4"/>
  <c r="Z8" i="4"/>
  <c r="Q8" i="4"/>
  <c r="H8" i="4"/>
  <c r="AI7" i="4"/>
  <c r="Z7" i="4"/>
  <c r="Q7" i="4"/>
  <c r="H7" i="4"/>
  <c r="AI6" i="4"/>
  <c r="Z6" i="4"/>
  <c r="Q6" i="4"/>
  <c r="H6" i="4"/>
  <c r="AI59" i="3"/>
  <c r="Z59" i="3"/>
  <c r="Q59" i="3"/>
  <c r="H59" i="3"/>
  <c r="AI58" i="3"/>
  <c r="Z58" i="3"/>
  <c r="Q58" i="3"/>
  <c r="H58" i="3"/>
  <c r="AI57" i="3"/>
  <c r="Z57" i="3"/>
  <c r="Q57" i="3"/>
  <c r="H57" i="3"/>
  <c r="AI56" i="3"/>
  <c r="Z56" i="3"/>
  <c r="Q56" i="3"/>
  <c r="H56" i="3"/>
  <c r="AI55" i="3"/>
  <c r="Z55" i="3"/>
  <c r="Q55" i="3"/>
  <c r="H55" i="3"/>
  <c r="AI54" i="3"/>
  <c r="Z54" i="3"/>
  <c r="Q54" i="3"/>
  <c r="H54" i="3"/>
  <c r="AI53" i="3"/>
  <c r="Z53" i="3"/>
  <c r="Q53" i="3"/>
  <c r="H53" i="3"/>
  <c r="AI52" i="3"/>
  <c r="Z52" i="3"/>
  <c r="Q52" i="3"/>
  <c r="H52" i="3"/>
  <c r="AI51" i="3"/>
  <c r="Z51" i="3"/>
  <c r="Q51" i="3"/>
  <c r="H51" i="3"/>
  <c r="AI50" i="3"/>
  <c r="Z50" i="3"/>
  <c r="Q50" i="3"/>
  <c r="H50" i="3"/>
  <c r="AI48" i="3"/>
  <c r="Z48" i="3"/>
  <c r="Q48" i="3"/>
  <c r="H48" i="3"/>
  <c r="AI47" i="3"/>
  <c r="Z47" i="3"/>
  <c r="Q47" i="3"/>
  <c r="H47" i="3"/>
  <c r="AI46" i="3"/>
  <c r="Z46" i="3"/>
  <c r="Q46" i="3"/>
  <c r="H46" i="3"/>
  <c r="AI45" i="3"/>
  <c r="Z45" i="3"/>
  <c r="Q45" i="3"/>
  <c r="H45" i="3"/>
  <c r="AI44" i="3"/>
  <c r="Z44" i="3"/>
  <c r="Q44" i="3"/>
  <c r="H44" i="3"/>
  <c r="AI43" i="3"/>
  <c r="Z43" i="3"/>
  <c r="Q43" i="3"/>
  <c r="H43" i="3"/>
  <c r="AI42" i="3"/>
  <c r="Z42" i="3"/>
  <c r="Q42" i="3"/>
  <c r="H42" i="3"/>
  <c r="AI41" i="3"/>
  <c r="Z41" i="3"/>
  <c r="Q41" i="3"/>
  <c r="H41" i="3"/>
  <c r="AI40" i="3"/>
  <c r="Z40" i="3"/>
  <c r="Q40" i="3"/>
  <c r="H40" i="3"/>
  <c r="AI39" i="3"/>
  <c r="Z39" i="3"/>
  <c r="Q39" i="3"/>
  <c r="H39" i="3"/>
  <c r="AI37" i="3"/>
  <c r="Z37" i="3"/>
  <c r="Q37" i="3"/>
  <c r="H37" i="3"/>
  <c r="AI36" i="3"/>
  <c r="Z36" i="3"/>
  <c r="Q36" i="3"/>
  <c r="H36" i="3"/>
  <c r="AI35" i="3"/>
  <c r="Z35" i="3"/>
  <c r="Q35" i="3"/>
  <c r="H35" i="3"/>
  <c r="AI34" i="3"/>
  <c r="Z34" i="3"/>
  <c r="Q34" i="3"/>
  <c r="H34" i="3"/>
  <c r="AI33" i="3"/>
  <c r="Z33" i="3"/>
  <c r="Q33" i="3"/>
  <c r="H33" i="3"/>
  <c r="AI32" i="3"/>
  <c r="Z32" i="3"/>
  <c r="Q32" i="3"/>
  <c r="H32" i="3"/>
  <c r="AI31" i="3"/>
  <c r="Z31" i="3"/>
  <c r="Q31" i="3"/>
  <c r="H31" i="3"/>
  <c r="AI30" i="3"/>
  <c r="Z30" i="3"/>
  <c r="Q30" i="3"/>
  <c r="H30" i="3"/>
  <c r="AI29" i="3"/>
  <c r="Z29" i="3"/>
  <c r="Q29" i="3"/>
  <c r="H29" i="3"/>
  <c r="AI28" i="3"/>
  <c r="Z28" i="3"/>
  <c r="Q28" i="3"/>
  <c r="H28" i="3"/>
  <c r="AI26" i="3"/>
  <c r="Z26" i="3"/>
  <c r="Q26" i="3"/>
  <c r="H26" i="3"/>
  <c r="AI25" i="3"/>
  <c r="Z25" i="3"/>
  <c r="Q25" i="3"/>
  <c r="H25" i="3"/>
  <c r="AI24" i="3"/>
  <c r="Z24" i="3"/>
  <c r="Q24" i="3"/>
  <c r="H24" i="3"/>
  <c r="AI23" i="3"/>
  <c r="Z23" i="3"/>
  <c r="Q23" i="3"/>
  <c r="H23" i="3"/>
  <c r="AI22" i="3"/>
  <c r="Z22" i="3"/>
  <c r="Q22" i="3"/>
  <c r="H22" i="3"/>
  <c r="AI21" i="3"/>
  <c r="Z21" i="3"/>
  <c r="Q21" i="3"/>
  <c r="H21" i="3"/>
  <c r="AI20" i="3"/>
  <c r="Z20" i="3"/>
  <c r="Q20" i="3"/>
  <c r="H20" i="3"/>
  <c r="AI19" i="3"/>
  <c r="Z19" i="3"/>
  <c r="Q19" i="3"/>
  <c r="H19" i="3"/>
  <c r="AI18" i="3"/>
  <c r="Z18" i="3"/>
  <c r="Q18" i="3"/>
  <c r="H18" i="3"/>
  <c r="AI17" i="3"/>
  <c r="Z17" i="3"/>
  <c r="Q17" i="3"/>
  <c r="H17" i="3"/>
  <c r="AI15" i="3"/>
  <c r="Z15" i="3"/>
  <c r="Q15" i="3"/>
  <c r="H15" i="3"/>
  <c r="AI14" i="3"/>
  <c r="Z14" i="3"/>
  <c r="Q14" i="3"/>
  <c r="H14" i="3"/>
  <c r="AI13" i="3"/>
  <c r="Z13" i="3"/>
  <c r="Q13" i="3"/>
  <c r="H13" i="3"/>
  <c r="AI12" i="3"/>
  <c r="Z12" i="3"/>
  <c r="Q12" i="3"/>
  <c r="H12" i="3"/>
  <c r="AI11" i="3"/>
  <c r="Z11" i="3"/>
  <c r="Q11" i="3"/>
  <c r="H11" i="3"/>
  <c r="AI10" i="3"/>
  <c r="Z10" i="3"/>
  <c r="Q10" i="3"/>
  <c r="H10" i="3"/>
  <c r="AI9" i="3"/>
  <c r="Z9" i="3"/>
  <c r="Q9" i="3"/>
  <c r="H9" i="3"/>
  <c r="AI8" i="3"/>
  <c r="Z8" i="3"/>
  <c r="Q8" i="3"/>
  <c r="H8" i="3"/>
  <c r="AI7" i="3"/>
  <c r="Z7" i="3"/>
  <c r="Q7" i="3"/>
  <c r="H7" i="3"/>
  <c r="AI6" i="3"/>
  <c r="Z6" i="3"/>
  <c r="Q6" i="3"/>
  <c r="H6" i="3"/>
  <c r="Z81" i="2"/>
  <c r="Q81" i="2"/>
  <c r="H81" i="2"/>
  <c r="Z80" i="2"/>
  <c r="Q80" i="2"/>
  <c r="H80" i="2"/>
  <c r="Z79" i="2"/>
  <c r="Q79" i="2"/>
  <c r="H79" i="2"/>
  <c r="Z78" i="2"/>
  <c r="Q78" i="2"/>
  <c r="H78" i="2"/>
  <c r="Z77" i="2"/>
  <c r="Q77" i="2"/>
  <c r="H77" i="2"/>
  <c r="Z76" i="2"/>
  <c r="Q76" i="2"/>
  <c r="H76" i="2"/>
  <c r="Z75" i="2"/>
  <c r="Q75" i="2"/>
  <c r="H75" i="2"/>
  <c r="Z74" i="2"/>
  <c r="Q74" i="2"/>
  <c r="H74" i="2"/>
  <c r="Z73" i="2"/>
  <c r="Q73" i="2"/>
  <c r="H73" i="2"/>
  <c r="Z72" i="2"/>
  <c r="Q72" i="2"/>
  <c r="H72" i="2"/>
  <c r="Z70" i="2"/>
  <c r="Q70" i="2"/>
  <c r="H70" i="2"/>
  <c r="Z69" i="2"/>
  <c r="Q69" i="2"/>
  <c r="H69" i="2"/>
  <c r="Z68" i="2"/>
  <c r="Q68" i="2"/>
  <c r="H68" i="2"/>
  <c r="Z67" i="2"/>
  <c r="Q67" i="2"/>
  <c r="H67" i="2"/>
  <c r="Z66" i="2"/>
  <c r="Q66" i="2"/>
  <c r="H66" i="2"/>
  <c r="Z65" i="2"/>
  <c r="Q65" i="2"/>
  <c r="H65" i="2"/>
  <c r="Z64" i="2"/>
  <c r="Q64" i="2"/>
  <c r="H64" i="2"/>
  <c r="Z63" i="2"/>
  <c r="Q63" i="2"/>
  <c r="H63" i="2"/>
  <c r="Z62" i="2"/>
  <c r="Q62" i="2"/>
  <c r="H62" i="2"/>
  <c r="Z61" i="2"/>
  <c r="Q61" i="2"/>
  <c r="H61" i="2"/>
  <c r="Z59" i="2"/>
  <c r="Q59" i="2"/>
  <c r="H59" i="2"/>
  <c r="Z58" i="2"/>
  <c r="Q58" i="2"/>
  <c r="H58" i="2"/>
  <c r="Z57" i="2"/>
  <c r="Q57" i="2"/>
  <c r="H57" i="2"/>
  <c r="Z56" i="2"/>
  <c r="Q56" i="2"/>
  <c r="H56" i="2"/>
  <c r="Z55" i="2"/>
  <c r="Q55" i="2"/>
  <c r="H55" i="2"/>
  <c r="Z54" i="2"/>
  <c r="Q54" i="2"/>
  <c r="H54" i="2"/>
  <c r="Z53" i="2"/>
  <c r="Q53" i="2"/>
  <c r="H53" i="2"/>
  <c r="Z52" i="2"/>
  <c r="Q52" i="2"/>
  <c r="H52" i="2"/>
  <c r="Z51" i="2"/>
  <c r="Q51" i="2"/>
  <c r="H51" i="2"/>
  <c r="Z50" i="2"/>
  <c r="Q50" i="2"/>
  <c r="H50" i="2"/>
  <c r="Z48" i="2"/>
  <c r="Q48" i="2"/>
  <c r="H48" i="2"/>
  <c r="Z47" i="2"/>
  <c r="Q47" i="2"/>
  <c r="H47" i="2"/>
  <c r="Z46" i="2"/>
  <c r="Q46" i="2"/>
  <c r="H46" i="2"/>
  <c r="Z45" i="2"/>
  <c r="Q45" i="2"/>
  <c r="H45" i="2"/>
  <c r="Z44" i="2"/>
  <c r="Q44" i="2"/>
  <c r="H44" i="2"/>
  <c r="Z43" i="2"/>
  <c r="Q43" i="2"/>
  <c r="H43" i="2"/>
  <c r="Z42" i="2"/>
  <c r="Q42" i="2"/>
  <c r="H42" i="2"/>
  <c r="Z41" i="2"/>
  <c r="Q41" i="2"/>
  <c r="H41" i="2"/>
  <c r="Z40" i="2"/>
  <c r="Q40" i="2"/>
  <c r="H40" i="2"/>
  <c r="Z39" i="2"/>
  <c r="Q39" i="2"/>
  <c r="H39" i="2"/>
  <c r="Z37" i="2"/>
  <c r="Q37" i="2"/>
  <c r="H37" i="2"/>
  <c r="Z36" i="2"/>
  <c r="Q36" i="2"/>
  <c r="H36" i="2"/>
  <c r="Z35" i="2"/>
  <c r="Q35" i="2"/>
  <c r="H35" i="2"/>
  <c r="Z34" i="2"/>
  <c r="Q34" i="2"/>
  <c r="H34" i="2"/>
  <c r="Z33" i="2"/>
  <c r="Q33" i="2"/>
  <c r="H33" i="2"/>
  <c r="Z32" i="2"/>
  <c r="Q32" i="2"/>
  <c r="H32" i="2"/>
  <c r="Z31" i="2"/>
  <c r="Q31" i="2"/>
  <c r="H31" i="2"/>
  <c r="Z30" i="2"/>
  <c r="Q30" i="2"/>
  <c r="H30" i="2"/>
  <c r="Z29" i="2"/>
  <c r="Q29" i="2"/>
  <c r="H29" i="2"/>
  <c r="Z28" i="2"/>
  <c r="Q28" i="2"/>
  <c r="H28" i="2"/>
  <c r="Z26" i="2"/>
  <c r="Q26" i="2"/>
  <c r="H26" i="2"/>
  <c r="Z25" i="2"/>
  <c r="Q25" i="2"/>
  <c r="H25" i="2"/>
  <c r="Z24" i="2"/>
  <c r="Q24" i="2"/>
  <c r="H24" i="2"/>
  <c r="Z23" i="2"/>
  <c r="Q23" i="2"/>
  <c r="H23" i="2"/>
  <c r="Z22" i="2"/>
  <c r="Q22" i="2"/>
  <c r="H22" i="2"/>
  <c r="Z21" i="2"/>
  <c r="Q21" i="2"/>
  <c r="H21" i="2"/>
  <c r="Z20" i="2"/>
  <c r="Q20" i="2"/>
  <c r="H20" i="2"/>
  <c r="Z19" i="2"/>
  <c r="Q19" i="2"/>
  <c r="H19" i="2"/>
  <c r="Z18" i="2"/>
  <c r="Q18" i="2"/>
  <c r="H18" i="2"/>
  <c r="Z17" i="2"/>
  <c r="Q17" i="2"/>
  <c r="H17" i="2"/>
  <c r="Z15" i="2"/>
  <c r="Q15" i="2"/>
  <c r="H15" i="2"/>
  <c r="Z14" i="2"/>
  <c r="Q14" i="2"/>
  <c r="H14" i="2"/>
  <c r="Z13" i="2"/>
  <c r="Q13" i="2"/>
  <c r="H13" i="2"/>
  <c r="Z12" i="2"/>
  <c r="Q12" i="2"/>
  <c r="H12" i="2"/>
  <c r="Z11" i="2"/>
  <c r="Q11" i="2"/>
  <c r="H11" i="2"/>
  <c r="Z10" i="2"/>
  <c r="Q10" i="2"/>
  <c r="H10" i="2"/>
  <c r="Z9" i="2"/>
  <c r="Q9" i="2"/>
  <c r="H9" i="2"/>
  <c r="Z8" i="2"/>
  <c r="Q8" i="2"/>
  <c r="H8" i="2"/>
  <c r="Z7" i="2"/>
  <c r="Q7" i="2"/>
  <c r="H7" i="2"/>
  <c r="Z6" i="2"/>
  <c r="Q6" i="2"/>
  <c r="H6" i="2"/>
  <c r="Z81" i="1"/>
  <c r="Q81" i="1"/>
  <c r="H81" i="1"/>
  <c r="Z80" i="1"/>
  <c r="Q80" i="1"/>
  <c r="H80" i="1"/>
  <c r="Z79" i="1"/>
  <c r="Q79" i="1"/>
  <c r="H79" i="1"/>
  <c r="Z78" i="1"/>
  <c r="Q78" i="1"/>
  <c r="H78" i="1"/>
  <c r="Z77" i="1"/>
  <c r="Q77" i="1"/>
  <c r="H77" i="1"/>
  <c r="Z76" i="1"/>
  <c r="Q76" i="1"/>
  <c r="H76" i="1"/>
  <c r="Z75" i="1"/>
  <c r="Q75" i="1"/>
  <c r="H75" i="1"/>
  <c r="Z74" i="1"/>
  <c r="Q74" i="1"/>
  <c r="H74" i="1"/>
  <c r="Z73" i="1"/>
  <c r="Q73" i="1"/>
  <c r="H73" i="1"/>
  <c r="Z72" i="1"/>
  <c r="Q72" i="1"/>
  <c r="H72" i="1"/>
  <c r="Z70" i="1"/>
  <c r="Q70" i="1"/>
  <c r="H70" i="1"/>
  <c r="Z69" i="1"/>
  <c r="Q69" i="1"/>
  <c r="H69" i="1"/>
  <c r="Z68" i="1"/>
  <c r="Q68" i="1"/>
  <c r="H68" i="1"/>
  <c r="Z67" i="1"/>
  <c r="Q67" i="1"/>
  <c r="H67" i="1"/>
  <c r="Z66" i="1"/>
  <c r="Q66" i="1"/>
  <c r="H66" i="1"/>
  <c r="Z65" i="1"/>
  <c r="Q65" i="1"/>
  <c r="H65" i="1"/>
  <c r="Z64" i="1"/>
  <c r="Q64" i="1"/>
  <c r="H64" i="1"/>
  <c r="Z63" i="1"/>
  <c r="Q63" i="1"/>
  <c r="H63" i="1"/>
  <c r="Z62" i="1"/>
  <c r="Q62" i="1"/>
  <c r="H62" i="1"/>
  <c r="Z61" i="1"/>
  <c r="Q61" i="1"/>
  <c r="H61" i="1"/>
  <c r="Z59" i="1"/>
  <c r="Q59" i="1"/>
  <c r="H59" i="1"/>
  <c r="Z58" i="1"/>
  <c r="Q58" i="1"/>
  <c r="H58" i="1"/>
  <c r="Z57" i="1"/>
  <c r="Q57" i="1"/>
  <c r="H57" i="1"/>
  <c r="Z56" i="1"/>
  <c r="Q56" i="1"/>
  <c r="H56" i="1"/>
  <c r="Z55" i="1"/>
  <c r="Q55" i="1"/>
  <c r="H55" i="1"/>
  <c r="Z54" i="1"/>
  <c r="Q54" i="1"/>
  <c r="H54" i="1"/>
  <c r="Z53" i="1"/>
  <c r="Q53" i="1"/>
  <c r="H53" i="1"/>
  <c r="Z52" i="1"/>
  <c r="Q52" i="1"/>
  <c r="H52" i="1"/>
  <c r="Z51" i="1"/>
  <c r="Q51" i="1"/>
  <c r="H51" i="1"/>
  <c r="Z50" i="1"/>
  <c r="Q50" i="1"/>
  <c r="H50" i="1"/>
  <c r="Z48" i="1"/>
  <c r="Q48" i="1"/>
  <c r="H48" i="1"/>
  <c r="Z47" i="1"/>
  <c r="Q47" i="1"/>
  <c r="H47" i="1"/>
  <c r="Z46" i="1"/>
  <c r="Q46" i="1"/>
  <c r="H46" i="1"/>
  <c r="Z45" i="1"/>
  <c r="Q45" i="1"/>
  <c r="H45" i="1"/>
  <c r="Z44" i="1"/>
  <c r="Q44" i="1"/>
  <c r="H44" i="1"/>
  <c r="Z43" i="1"/>
  <c r="Q43" i="1"/>
  <c r="H43" i="1"/>
  <c r="Z42" i="1"/>
  <c r="Q42" i="1"/>
  <c r="H42" i="1"/>
  <c r="Z41" i="1"/>
  <c r="Q41" i="1"/>
  <c r="H41" i="1"/>
  <c r="Z40" i="1"/>
  <c r="Q40" i="1"/>
  <c r="H40" i="1"/>
  <c r="Z39" i="1"/>
  <c r="Q39" i="1"/>
  <c r="H39" i="1"/>
  <c r="Z37" i="1"/>
  <c r="Q37" i="1"/>
  <c r="H37" i="1"/>
  <c r="Z36" i="1"/>
  <c r="Q36" i="1"/>
  <c r="H36" i="1"/>
  <c r="Z35" i="1"/>
  <c r="Q35" i="1"/>
  <c r="H35" i="1"/>
  <c r="Z34" i="1"/>
  <c r="Q34" i="1"/>
  <c r="H34" i="1"/>
  <c r="Z33" i="1"/>
  <c r="Q33" i="1"/>
  <c r="H33" i="1"/>
  <c r="Z32" i="1"/>
  <c r="Q32" i="1"/>
  <c r="H32" i="1"/>
  <c r="Z31" i="1"/>
  <c r="Q31" i="1"/>
  <c r="H31" i="1"/>
  <c r="Z30" i="1"/>
  <c r="Q30" i="1"/>
  <c r="H30" i="1"/>
  <c r="Z29" i="1"/>
  <c r="Q29" i="1"/>
  <c r="H29" i="1"/>
  <c r="Z28" i="1"/>
  <c r="Q28" i="1"/>
  <c r="H28" i="1"/>
  <c r="Z26" i="1"/>
  <c r="Q26" i="1"/>
  <c r="H26" i="1"/>
  <c r="Z25" i="1"/>
  <c r="Q25" i="1"/>
  <c r="H25" i="1"/>
  <c r="Z24" i="1"/>
  <c r="Q24" i="1"/>
  <c r="H24" i="1"/>
  <c r="Z23" i="1"/>
  <c r="Q23" i="1"/>
  <c r="H23" i="1"/>
  <c r="Z22" i="1"/>
  <c r="Q22" i="1"/>
  <c r="H22" i="1"/>
  <c r="Z21" i="1"/>
  <c r="Q21" i="1"/>
  <c r="H21" i="1"/>
  <c r="Z20" i="1"/>
  <c r="Q20" i="1"/>
  <c r="H20" i="1"/>
  <c r="Z19" i="1"/>
  <c r="Q19" i="1"/>
  <c r="H19" i="1"/>
  <c r="Z18" i="1"/>
  <c r="Q18" i="1"/>
  <c r="H18" i="1"/>
  <c r="Z17" i="1"/>
  <c r="Q17" i="1"/>
  <c r="H17" i="1"/>
  <c r="Z15" i="1"/>
  <c r="Q15" i="1"/>
  <c r="H15" i="1"/>
  <c r="Z14" i="1"/>
  <c r="Q14" i="1"/>
  <c r="H14" i="1"/>
  <c r="Z13" i="1"/>
  <c r="Q13" i="1"/>
  <c r="H13" i="1"/>
  <c r="Z12" i="1"/>
  <c r="Q12" i="1"/>
  <c r="H12" i="1"/>
  <c r="Z11" i="1"/>
  <c r="Q11" i="1"/>
  <c r="H11" i="1"/>
  <c r="Z10" i="1"/>
  <c r="Q10" i="1"/>
  <c r="H10" i="1"/>
  <c r="Z9" i="1"/>
  <c r="Q9" i="1"/>
  <c r="H9" i="1"/>
  <c r="Z8" i="1"/>
  <c r="Q8" i="1"/>
  <c r="H8" i="1"/>
  <c r="Z7" i="1"/>
  <c r="Q7" i="1"/>
  <c r="H7" i="1"/>
  <c r="Z6" i="1"/>
  <c r="Q6" i="1"/>
  <c r="H6" i="1"/>
</calcChain>
</file>

<file path=xl/sharedStrings.xml><?xml version="1.0" encoding="utf-8"?>
<sst xmlns="http://schemas.openxmlformats.org/spreadsheetml/2006/main" count="1277" uniqueCount="325">
  <si>
    <t>70 DENYELİ 3 İPLİKLER</t>
  </si>
  <si>
    <t>280 Gr/m2</t>
  </si>
  <si>
    <t>300 Gr/m2</t>
  </si>
  <si>
    <t>320 Gr/m2</t>
  </si>
  <si>
    <t>DIŞ</t>
  </si>
  <si>
    <t>POLYESTER</t>
  </si>
  <si>
    <t>ARKA</t>
  </si>
  <si>
    <t>KUMAŞ</t>
  </si>
  <si>
    <t>İPLİK</t>
  </si>
  <si>
    <t>MAMÜL</t>
  </si>
  <si>
    <t>CİNSİ</t>
  </si>
  <si>
    <t>22,5 CM</t>
  </si>
  <si>
    <t>16 CM</t>
  </si>
  <si>
    <t>8,2 CM</t>
  </si>
  <si>
    <t>GRAMAJ</t>
  </si>
  <si>
    <t>15 CM</t>
  </si>
  <si>
    <t>14 CM</t>
  </si>
  <si>
    <t>40/70/10</t>
  </si>
  <si>
    <t>40/70/12</t>
  </si>
  <si>
    <t>40/70/14</t>
  </si>
  <si>
    <t>40/70/16</t>
  </si>
  <si>
    <t>40/70/18</t>
  </si>
  <si>
    <t>40/70/20</t>
  </si>
  <si>
    <t>40/70/24</t>
  </si>
  <si>
    <t>40/70/26</t>
  </si>
  <si>
    <t>40/70/28</t>
  </si>
  <si>
    <t>40/70/30</t>
  </si>
  <si>
    <t>36/70/10</t>
  </si>
  <si>
    <t>36/70/12</t>
  </si>
  <si>
    <t>36/70/14</t>
  </si>
  <si>
    <t>36/70/16</t>
  </si>
  <si>
    <t>36/70/18</t>
  </si>
  <si>
    <t>36/70/20</t>
  </si>
  <si>
    <t>36/70/24</t>
  </si>
  <si>
    <t>36/70/26</t>
  </si>
  <si>
    <t>36/70/28</t>
  </si>
  <si>
    <t>36/70/30</t>
  </si>
  <si>
    <t>30/70/10</t>
  </si>
  <si>
    <t>30/70/12</t>
  </si>
  <si>
    <t>30/70/14</t>
  </si>
  <si>
    <t>30/70/16</t>
  </si>
  <si>
    <t>30/70/18</t>
  </si>
  <si>
    <t>30/70/20</t>
  </si>
  <si>
    <t>30/70/24</t>
  </si>
  <si>
    <t>30/70/26</t>
  </si>
  <si>
    <t>30/70/28</t>
  </si>
  <si>
    <t>30/70/30</t>
  </si>
  <si>
    <t>28/70/10</t>
  </si>
  <si>
    <t>28/70/12</t>
  </si>
  <si>
    <t>28/70/14</t>
  </si>
  <si>
    <t>28/70/16</t>
  </si>
  <si>
    <t>28/70/18</t>
  </si>
  <si>
    <t>28/70/20</t>
  </si>
  <si>
    <t>28/70/24</t>
  </si>
  <si>
    <t>28/70/26</t>
  </si>
  <si>
    <t>28/70/28</t>
  </si>
  <si>
    <t>28/70/30</t>
  </si>
  <si>
    <t>26/70/10</t>
  </si>
  <si>
    <t>26/70/12</t>
  </si>
  <si>
    <t>26/70/14</t>
  </si>
  <si>
    <t>26/70/16</t>
  </si>
  <si>
    <t>26/70/18</t>
  </si>
  <si>
    <t>26/70/20</t>
  </si>
  <si>
    <t>26/70/24</t>
  </si>
  <si>
    <t>26/70/26</t>
  </si>
  <si>
    <t>26/70/28</t>
  </si>
  <si>
    <t>26/70/30</t>
  </si>
  <si>
    <t>24/70/10</t>
  </si>
  <si>
    <t>24/70/12</t>
  </si>
  <si>
    <t>24/70/14</t>
  </si>
  <si>
    <t>24/70/16</t>
  </si>
  <si>
    <t>24/70/18</t>
  </si>
  <si>
    <t>24/70/20</t>
  </si>
  <si>
    <t>24/70/24</t>
  </si>
  <si>
    <t>24/70/26</t>
  </si>
  <si>
    <t>24/70/28</t>
  </si>
  <si>
    <t>24/70/30</t>
  </si>
  <si>
    <t>20/70/10</t>
  </si>
  <si>
    <t>20/70/12</t>
  </si>
  <si>
    <t>20/70/14</t>
  </si>
  <si>
    <t>20/70/16</t>
  </si>
  <si>
    <t>20/70/18</t>
  </si>
  <si>
    <t>20/70/20</t>
  </si>
  <si>
    <t>20/70/24</t>
  </si>
  <si>
    <t>20/70/26</t>
  </si>
  <si>
    <t>20/70/28</t>
  </si>
  <si>
    <t>20/70/30</t>
  </si>
  <si>
    <t>90 DENYELİ 3 İPLİKLER</t>
  </si>
  <si>
    <t>340 Gr/m2</t>
  </si>
  <si>
    <t>360 Gr/m2</t>
  </si>
  <si>
    <t>380 Gr/m2</t>
  </si>
  <si>
    <t>40/90/10</t>
  </si>
  <si>
    <t>40/90/12</t>
  </si>
  <si>
    <t>40/90/14</t>
  </si>
  <si>
    <t>40/90/16</t>
  </si>
  <si>
    <t>40/90/18</t>
  </si>
  <si>
    <t>40/90/20</t>
  </si>
  <si>
    <t>40/90/24</t>
  </si>
  <si>
    <t>40/90/26</t>
  </si>
  <si>
    <t>40/90/28</t>
  </si>
  <si>
    <t>40/90/30</t>
  </si>
  <si>
    <t>36/90/10</t>
  </si>
  <si>
    <t>36/90/12</t>
  </si>
  <si>
    <t>36/90/14</t>
  </si>
  <si>
    <t>36/90/16</t>
  </si>
  <si>
    <t>36/90/18</t>
  </si>
  <si>
    <t>36/90/20</t>
  </si>
  <si>
    <t>36/90/24</t>
  </si>
  <si>
    <t>36/90/26</t>
  </si>
  <si>
    <t>36/90/28</t>
  </si>
  <si>
    <t>36/90/30</t>
  </si>
  <si>
    <t>30/90/10</t>
  </si>
  <si>
    <t>30/90/12</t>
  </si>
  <si>
    <t>30/90/14</t>
  </si>
  <si>
    <t>30/90/16</t>
  </si>
  <si>
    <t>30/90/18</t>
  </si>
  <si>
    <t>30/90/20</t>
  </si>
  <si>
    <t>30/90/24</t>
  </si>
  <si>
    <t>30/90/26</t>
  </si>
  <si>
    <t>30/90/28</t>
  </si>
  <si>
    <t>30/90/30</t>
  </si>
  <si>
    <t>28/90/10</t>
  </si>
  <si>
    <t>28/90/12</t>
  </si>
  <si>
    <t>28/90/14</t>
  </si>
  <si>
    <t>28/90/16</t>
  </si>
  <si>
    <t>28/90/18</t>
  </si>
  <si>
    <t>28/90/20</t>
  </si>
  <si>
    <t>28/90/24</t>
  </si>
  <si>
    <t>28/90/26</t>
  </si>
  <si>
    <t>28/90/28</t>
  </si>
  <si>
    <t>28/90/30</t>
  </si>
  <si>
    <t>26/90/10</t>
  </si>
  <si>
    <t>26/90/12</t>
  </si>
  <si>
    <t>26/90/14</t>
  </si>
  <si>
    <t>26/90/16</t>
  </si>
  <si>
    <t>26/90/18</t>
  </si>
  <si>
    <t>26/90/20</t>
  </si>
  <si>
    <t>26/90/24</t>
  </si>
  <si>
    <t>26/90/26</t>
  </si>
  <si>
    <t>26/90/28</t>
  </si>
  <si>
    <t>26/90/30</t>
  </si>
  <si>
    <t>24/90/10</t>
  </si>
  <si>
    <t>24/90/12</t>
  </si>
  <si>
    <t>24/90/14</t>
  </si>
  <si>
    <t>24/90/16</t>
  </si>
  <si>
    <t>24/90/18</t>
  </si>
  <si>
    <t>24/90/20</t>
  </si>
  <si>
    <t>24/90/24</t>
  </si>
  <si>
    <t>24/90/26</t>
  </si>
  <si>
    <t>24/90/28</t>
  </si>
  <si>
    <t>24/90/30</t>
  </si>
  <si>
    <t>20/90/10</t>
  </si>
  <si>
    <t>20/90/12</t>
  </si>
  <si>
    <t>20/90/14</t>
  </si>
  <si>
    <t>20/90/16</t>
  </si>
  <si>
    <t>20/90/18</t>
  </si>
  <si>
    <t>20/90/20</t>
  </si>
  <si>
    <t>20/90/24</t>
  </si>
  <si>
    <t>20/90/26</t>
  </si>
  <si>
    <t>20/90/28</t>
  </si>
  <si>
    <t>20/90/30</t>
  </si>
  <si>
    <t>PAMUKLU 3 İPLİKLER (ARA İPLİKLERİ 36/1 OLAN)</t>
  </si>
  <si>
    <t>330 Gr/m2</t>
  </si>
  <si>
    <t>315 Gr/m2</t>
  </si>
  <si>
    <t>286 Gr/m2</t>
  </si>
  <si>
    <t>ARA</t>
  </si>
  <si>
    <t>17 CM</t>
  </si>
  <si>
    <t>18 CM</t>
  </si>
  <si>
    <t>19 CM</t>
  </si>
  <si>
    <t>20 CM</t>
  </si>
  <si>
    <t>36/36/10</t>
  </si>
  <si>
    <t>36/36/12</t>
  </si>
  <si>
    <t>36/36/14</t>
  </si>
  <si>
    <t>36/36/16</t>
  </si>
  <si>
    <t>36/36/18</t>
  </si>
  <si>
    <t>36/36/20</t>
  </si>
  <si>
    <t>36/36/24</t>
  </si>
  <si>
    <t>36/36/26</t>
  </si>
  <si>
    <t>36/36/28</t>
  </si>
  <si>
    <t>36/36/30</t>
  </si>
  <si>
    <t>30/36/10</t>
  </si>
  <si>
    <t>30/36/12</t>
  </si>
  <si>
    <t>30/36/14</t>
  </si>
  <si>
    <t>30/36/16</t>
  </si>
  <si>
    <t>30/36/18</t>
  </si>
  <si>
    <t>30/36/20</t>
  </si>
  <si>
    <t>30/36/24</t>
  </si>
  <si>
    <t>30/36/26</t>
  </si>
  <si>
    <t>30/36/28</t>
  </si>
  <si>
    <t>30/36/30</t>
  </si>
  <si>
    <t>28/36/10</t>
  </si>
  <si>
    <t>28/36/12</t>
  </si>
  <si>
    <t>28/36/14</t>
  </si>
  <si>
    <t>28/36/16</t>
  </si>
  <si>
    <t>28/36/18</t>
  </si>
  <si>
    <t>28/36/20</t>
  </si>
  <si>
    <t>28/36/24</t>
  </si>
  <si>
    <t>28/36/26</t>
  </si>
  <si>
    <t>28/36/28</t>
  </si>
  <si>
    <t>28/36/30</t>
  </si>
  <si>
    <t>26/36/10</t>
  </si>
  <si>
    <t>26/36/12</t>
  </si>
  <si>
    <t>26/36/14</t>
  </si>
  <si>
    <t>26/36/16</t>
  </si>
  <si>
    <t>26/36/18</t>
  </si>
  <si>
    <t>26/36/20</t>
  </si>
  <si>
    <t>26/36/24</t>
  </si>
  <si>
    <t>26/36/26</t>
  </si>
  <si>
    <t>26/36/28</t>
  </si>
  <si>
    <t>26/36/30</t>
  </si>
  <si>
    <t>24/36/10</t>
  </si>
  <si>
    <t>24/36/12</t>
  </si>
  <si>
    <t>24/36/14</t>
  </si>
  <si>
    <t>24/36/16</t>
  </si>
  <si>
    <t>24/36/18</t>
  </si>
  <si>
    <t>24/36/20</t>
  </si>
  <si>
    <t>24/36/24</t>
  </si>
  <si>
    <t>24/36/26</t>
  </si>
  <si>
    <t>24/36/28</t>
  </si>
  <si>
    <t>24/36/30</t>
  </si>
  <si>
    <t>PAMUKLU 3 İPLİKLER (ARA İPLİKLERİ 30/1 OLAN)</t>
  </si>
  <si>
    <t>36/30/10</t>
  </si>
  <si>
    <t>36/30/12</t>
  </si>
  <si>
    <t>36/30/14</t>
  </si>
  <si>
    <t>36/30/16</t>
  </si>
  <si>
    <t>36/30/18</t>
  </si>
  <si>
    <t>36/30/20</t>
  </si>
  <si>
    <t>36/30/24</t>
  </si>
  <si>
    <t>36/30/26</t>
  </si>
  <si>
    <t>36/30/28</t>
  </si>
  <si>
    <t>36/30/30</t>
  </si>
  <si>
    <t>30/30/10</t>
  </si>
  <si>
    <t>30/30/12</t>
  </si>
  <si>
    <t>30/30/14</t>
  </si>
  <si>
    <t>30/30/16</t>
  </si>
  <si>
    <t>30/30/18</t>
  </si>
  <si>
    <t>30/30/20</t>
  </si>
  <si>
    <t>30/30/24</t>
  </si>
  <si>
    <t>30/30/26</t>
  </si>
  <si>
    <t>30/30/28</t>
  </si>
  <si>
    <t>30/30/30</t>
  </si>
  <si>
    <t>28/30/10</t>
  </si>
  <si>
    <t>28/30/12</t>
  </si>
  <si>
    <t>28/30/14</t>
  </si>
  <si>
    <t>28/30/16</t>
  </si>
  <si>
    <t>28/30/18</t>
  </si>
  <si>
    <t>28/30/20</t>
  </si>
  <si>
    <t>28/30/24</t>
  </si>
  <si>
    <t>28/30/26</t>
  </si>
  <si>
    <t>28/30/28</t>
  </si>
  <si>
    <t>28/30/30</t>
  </si>
  <si>
    <t>26/30/10</t>
  </si>
  <si>
    <t>26/30/12</t>
  </si>
  <si>
    <t>26/30/14</t>
  </si>
  <si>
    <t>26/30/16</t>
  </si>
  <si>
    <t>26/30/18</t>
  </si>
  <si>
    <t>26/30/20</t>
  </si>
  <si>
    <t>26/30/24</t>
  </si>
  <si>
    <t>26/30/26</t>
  </si>
  <si>
    <t>26/30/28</t>
  </si>
  <si>
    <t>26/30/30</t>
  </si>
  <si>
    <t>24/30/10</t>
  </si>
  <si>
    <t>24/30/12</t>
  </si>
  <si>
    <t>24/30/14</t>
  </si>
  <si>
    <t>24/30/16</t>
  </si>
  <si>
    <t>24/30/18</t>
  </si>
  <si>
    <t>24/30/20</t>
  </si>
  <si>
    <t>24/30/24</t>
  </si>
  <si>
    <t>24/30/26</t>
  </si>
  <si>
    <t>24/30/28</t>
  </si>
  <si>
    <t>24/30/30</t>
  </si>
  <si>
    <t>PAMUKLU 3 İPLİKLER (ARA İPLİKLERİ 20/1 OLAN)</t>
  </si>
  <si>
    <t>356 Gr/m2</t>
  </si>
  <si>
    <t>344 Gr/m2</t>
  </si>
  <si>
    <t>323 Gr/m2</t>
  </si>
  <si>
    <t>36/20/10</t>
  </si>
  <si>
    <t>36/20/12</t>
  </si>
  <si>
    <t>36/20/14</t>
  </si>
  <si>
    <t>36/20/16</t>
  </si>
  <si>
    <t>36/20/18</t>
  </si>
  <si>
    <t>36/20/20</t>
  </si>
  <si>
    <t>36/20/24</t>
  </si>
  <si>
    <t>36/20/26</t>
  </si>
  <si>
    <t>36/20/28</t>
  </si>
  <si>
    <t>36/20/30</t>
  </si>
  <si>
    <t>30/20/10</t>
  </si>
  <si>
    <t>30/20/12</t>
  </si>
  <si>
    <t>30/20/14</t>
  </si>
  <si>
    <t>30/20/16</t>
  </si>
  <si>
    <t>30/20/18</t>
  </si>
  <si>
    <t>30/20/20</t>
  </si>
  <si>
    <t>30/20/24</t>
  </si>
  <si>
    <t>30/20/26</t>
  </si>
  <si>
    <t>30/20/28</t>
  </si>
  <si>
    <t>30/20/30</t>
  </si>
  <si>
    <t>28/20/10</t>
  </si>
  <si>
    <t>28/20/12</t>
  </si>
  <si>
    <t>28/20/14</t>
  </si>
  <si>
    <t>28/20/16</t>
  </si>
  <si>
    <t>28/20/18</t>
  </si>
  <si>
    <t>28/20/20</t>
  </si>
  <si>
    <t>28/20/24</t>
  </si>
  <si>
    <t>28/20/26</t>
  </si>
  <si>
    <t>28/20/28</t>
  </si>
  <si>
    <t>28/20/30</t>
  </si>
  <si>
    <t>26/20/10</t>
  </si>
  <si>
    <t>26/20/12</t>
  </si>
  <si>
    <t>26/20/14</t>
  </si>
  <si>
    <t>26/20/16</t>
  </si>
  <si>
    <t>26/20/18</t>
  </si>
  <si>
    <t>26/20/20</t>
  </si>
  <si>
    <t>26/20/24</t>
  </si>
  <si>
    <t>26/20/26</t>
  </si>
  <si>
    <t>26/20/28</t>
  </si>
  <si>
    <t>26/20/30</t>
  </si>
  <si>
    <t>24/20/10</t>
  </si>
  <si>
    <t>24/20/12</t>
  </si>
  <si>
    <t>24/20/14</t>
  </si>
  <si>
    <t>24/20/16</t>
  </si>
  <si>
    <t>24/20/18</t>
  </si>
  <si>
    <t>24/20/20</t>
  </si>
  <si>
    <t>24/20/24</t>
  </si>
  <si>
    <t>24/20/26</t>
  </si>
  <si>
    <t>24/20/28</t>
  </si>
  <si>
    <t>24/20/30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</si>
</sst>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9]General"/>
    <numFmt numFmtId="165" formatCode="[$-419]0"/>
    <numFmt numFmtId="166" formatCode="[$-419]0.00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77D0"/>
      <name val="Calibri"/>
      <family val="2"/>
    </font>
    <font>
      <b/>
      <sz val="8"/>
      <color rgb="FFFF0000"/>
      <name val="Calibri"/>
      <family val="2"/>
    </font>
    <font>
      <b/>
      <sz val="8"/>
      <color rgb="FF7030A0"/>
      <name val="Calibri"/>
      <family val="2"/>
    </font>
    <font>
      <b/>
      <sz val="9"/>
      <color rgb="FF000000"/>
      <name val="Calibri"/>
      <family val="2"/>
    </font>
    <font>
      <b/>
      <sz val="8"/>
      <color rgb="FF558ED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66"/>
        <bgColor rgb="FFCCFF66"/>
      </patternFill>
    </fill>
    <fill>
      <patternFill patternType="solid">
        <fgColor rgb="FFD7E4BD"/>
        <bgColor rgb="FFD7E4BD"/>
      </patternFill>
    </fill>
    <fill>
      <patternFill patternType="solid">
        <fgColor rgb="FFFDEADA"/>
        <bgColor rgb="FFFDEAD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37">
    <xf numFmtId="0" fontId="0" fillId="0" borderId="0" xfId="0"/>
    <xf numFmtId="164" fontId="2" fillId="0" borderId="1" xfId="1" applyFont="1" applyFill="1" applyBorder="1" applyAlignment="1" applyProtection="1">
      <alignment horizontal="center"/>
    </xf>
    <xf numFmtId="164" fontId="1" fillId="0" borderId="0" xfId="1" applyFont="1" applyFill="1" applyAlignment="1" applyProtection="1"/>
    <xf numFmtId="164" fontId="1" fillId="0" borderId="1" xfId="1" applyFont="1" applyFill="1" applyBorder="1" applyAlignment="1" applyProtection="1">
      <alignment horizontal="center"/>
    </xf>
    <xf numFmtId="165" fontId="1" fillId="0" borderId="0" xfId="1" applyNumberFormat="1" applyFont="1" applyFill="1" applyAlignment="1" applyProtection="1">
      <alignment horizontal="center"/>
    </xf>
    <xf numFmtId="164" fontId="1" fillId="0" borderId="0" xfId="1" applyFont="1" applyFill="1" applyAlignment="1" applyProtection="1">
      <alignment horizontal="center"/>
    </xf>
    <xf numFmtId="164" fontId="3" fillId="0" borderId="1" xfId="1" applyFont="1" applyFill="1" applyBorder="1" applyAlignment="1" applyProtection="1">
      <alignment horizontal="center"/>
    </xf>
    <xf numFmtId="164" fontId="4" fillId="2" borderId="1" xfId="1" applyFont="1" applyFill="1" applyBorder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164" fontId="3" fillId="0" borderId="0" xfId="1" applyFont="1" applyFill="1" applyAlignment="1" applyProtection="1">
      <alignment horizontal="center"/>
    </xf>
    <xf numFmtId="164" fontId="5" fillId="0" borderId="2" xfId="1" applyFont="1" applyFill="1" applyBorder="1" applyAlignment="1" applyProtection="1">
      <alignment horizontal="center"/>
    </xf>
    <xf numFmtId="164" fontId="3" fillId="3" borderId="2" xfId="1" applyFont="1" applyFill="1" applyBorder="1" applyAlignment="1" applyProtection="1">
      <alignment horizontal="center"/>
    </xf>
    <xf numFmtId="164" fontId="5" fillId="0" borderId="3" xfId="1" applyFont="1" applyFill="1" applyBorder="1" applyAlignment="1" applyProtection="1">
      <alignment horizontal="center" vertical="center"/>
    </xf>
    <xf numFmtId="164" fontId="6" fillId="0" borderId="1" xfId="1" applyFont="1" applyFill="1" applyBorder="1" applyAlignment="1" applyProtection="1">
      <alignment horizontal="center" vertical="center"/>
    </xf>
    <xf numFmtId="165" fontId="6" fillId="0" borderId="0" xfId="1" applyNumberFormat="1" applyFont="1" applyFill="1" applyAlignment="1" applyProtection="1">
      <alignment horizontal="center" vertical="center"/>
    </xf>
    <xf numFmtId="164" fontId="3" fillId="3" borderId="3" xfId="1" applyFont="1" applyFill="1" applyBorder="1" applyAlignment="1" applyProtection="1">
      <alignment horizontal="center" vertical="center"/>
    </xf>
    <xf numFmtId="164" fontId="6" fillId="0" borderId="0" xfId="1" applyFont="1" applyFill="1" applyAlignment="1" applyProtection="1">
      <alignment horizontal="center" vertical="center"/>
    </xf>
    <xf numFmtId="164" fontId="3" fillId="0" borderId="1" xfId="1" applyFont="1" applyFill="1" applyBorder="1" applyAlignment="1" applyProtection="1">
      <alignment horizontal="center" vertical="center"/>
    </xf>
    <xf numFmtId="166" fontId="3" fillId="0" borderId="1" xfId="1" applyNumberFormat="1" applyFont="1" applyFill="1" applyBorder="1" applyAlignment="1" applyProtection="1">
      <alignment horizontal="center" vertical="center"/>
    </xf>
    <xf numFmtId="165" fontId="7" fillId="0" borderId="0" xfId="1" applyNumberFormat="1" applyFont="1" applyFill="1" applyAlignment="1" applyProtection="1">
      <alignment horizontal="center" vertical="center"/>
    </xf>
    <xf numFmtId="165" fontId="8" fillId="0" borderId="0" xfId="1" applyNumberFormat="1" applyFont="1" applyFill="1" applyAlignment="1" applyProtection="1">
      <alignment horizontal="center" vertical="center"/>
    </xf>
    <xf numFmtId="165" fontId="3" fillId="3" borderId="1" xfId="1" applyNumberFormat="1" applyFont="1" applyFill="1" applyBorder="1" applyAlignment="1" applyProtection="1">
      <alignment horizontal="center" vertical="center"/>
    </xf>
    <xf numFmtId="164" fontId="9" fillId="0" borderId="0" xfId="1" applyFont="1" applyFill="1" applyAlignment="1" applyProtection="1">
      <alignment horizontal="center" vertical="center"/>
    </xf>
    <xf numFmtId="166" fontId="3" fillId="0" borderId="0" xfId="1" applyNumberFormat="1" applyFont="1" applyFill="1" applyAlignment="1" applyProtection="1">
      <alignment horizontal="center" vertical="center"/>
    </xf>
    <xf numFmtId="165" fontId="3" fillId="0" borderId="0" xfId="1" applyNumberFormat="1" applyFont="1" applyFill="1" applyAlignment="1" applyProtection="1">
      <alignment horizontal="center" vertical="center"/>
    </xf>
    <xf numFmtId="164" fontId="3" fillId="4" borderId="1" xfId="1" applyFont="1" applyFill="1" applyBorder="1" applyAlignment="1" applyProtection="1">
      <alignment horizontal="center" vertical="center"/>
    </xf>
    <xf numFmtId="164" fontId="3" fillId="5" borderId="1" xfId="1" applyFont="1" applyFill="1" applyBorder="1" applyAlignment="1" applyProtection="1">
      <alignment horizontal="center" vertical="center"/>
    </xf>
    <xf numFmtId="165" fontId="10" fillId="0" borderId="0" xfId="1" applyNumberFormat="1" applyFont="1" applyFill="1" applyAlignment="1" applyProtection="1">
      <alignment horizontal="center" vertical="center"/>
    </xf>
    <xf numFmtId="164" fontId="9" fillId="0" borderId="0" xfId="1" applyFont="1" applyFill="1" applyAlignment="1" applyProtection="1">
      <alignment vertical="center"/>
    </xf>
    <xf numFmtId="164" fontId="3" fillId="0" borderId="0" xfId="1" applyFont="1" applyFill="1" applyAlignment="1" applyProtection="1">
      <alignment vertical="center"/>
    </xf>
    <xf numFmtId="165" fontId="1" fillId="0" borderId="0" xfId="1" applyNumberFormat="1" applyFont="1" applyFill="1" applyAlignment="1" applyProtection="1"/>
    <xf numFmtId="164" fontId="5" fillId="0" borderId="1" xfId="1" applyFont="1" applyFill="1" applyBorder="1" applyAlignment="1" applyProtection="1">
      <alignment horizontal="center"/>
    </xf>
    <xf numFmtId="164" fontId="3" fillId="6" borderId="1" xfId="1" applyFont="1" applyFill="1" applyBorder="1" applyAlignment="1" applyProtection="1">
      <alignment horizontal="center" vertical="center"/>
    </xf>
    <xf numFmtId="166" fontId="3" fillId="6" borderId="1" xfId="1" applyNumberFormat="1" applyFont="1" applyFill="1" applyBorder="1" applyAlignment="1" applyProtection="1">
      <alignment horizontal="center" vertical="center"/>
    </xf>
    <xf numFmtId="164" fontId="9" fillId="6" borderId="0" xfId="1" applyFont="1" applyFill="1" applyAlignment="1" applyProtection="1">
      <alignment horizontal="center" vertical="center"/>
    </xf>
    <xf numFmtId="164" fontId="9" fillId="6" borderId="0" xfId="1" applyFont="1" applyFill="1" applyAlignment="1" applyProtection="1">
      <alignment vertical="center"/>
    </xf>
    <xf numFmtId="164" fontId="3" fillId="6" borderId="0" xfId="1" applyFont="1" applyFill="1" applyAlignment="1" applyProtection="1">
      <alignment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1"/>
  <sheetViews>
    <sheetView workbookViewId="0">
      <selection sqref="A1:XFD1048576"/>
    </sheetView>
  </sheetViews>
  <sheetFormatPr defaultRowHeight="15" x14ac:dyDescent="0.25"/>
  <cols>
    <col min="1" max="1" width="10.7109375" style="2" customWidth="1"/>
    <col min="2" max="4" width="7.42578125" style="2" customWidth="1"/>
    <col min="5" max="7" width="7.42578125" style="30" hidden="1" customWidth="1"/>
    <col min="8" max="8" width="7.42578125" style="2" customWidth="1"/>
    <col min="9" max="9" width="1" style="2" customWidth="1"/>
    <col min="10" max="10" width="10" style="2" customWidth="1"/>
    <col min="11" max="13" width="7.42578125" style="2" customWidth="1"/>
    <col min="14" max="16" width="7.42578125" style="2" hidden="1" customWidth="1"/>
    <col min="17" max="17" width="7.42578125" style="2" customWidth="1"/>
    <col min="18" max="18" width="1" style="2" customWidth="1"/>
    <col min="19" max="19" width="10.140625" style="2" customWidth="1"/>
    <col min="20" max="22" width="7.42578125" style="2" customWidth="1"/>
    <col min="23" max="25" width="7.42578125" style="2" hidden="1" customWidth="1"/>
    <col min="26" max="26" width="7.42578125" style="2" customWidth="1"/>
    <col min="27" max="1024" width="10" style="2" customWidth="1"/>
    <col min="1025" max="1025" width="10.28515625" customWidth="1"/>
  </cols>
  <sheetData>
    <row r="1" spans="1:26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B2" s="3" t="s">
        <v>1</v>
      </c>
      <c r="C2" s="3"/>
      <c r="D2" s="3"/>
      <c r="E2" s="4"/>
      <c r="F2" s="4"/>
      <c r="G2" s="4"/>
      <c r="H2" s="5"/>
      <c r="I2" s="5"/>
      <c r="K2" s="3" t="s">
        <v>2</v>
      </c>
      <c r="L2" s="3"/>
      <c r="M2" s="3"/>
      <c r="N2" s="5"/>
      <c r="O2" s="5"/>
      <c r="P2" s="5"/>
      <c r="Q2" s="5"/>
      <c r="R2" s="5"/>
      <c r="T2" s="3" t="s">
        <v>3</v>
      </c>
      <c r="U2" s="3"/>
      <c r="V2" s="3"/>
      <c r="W2" s="5"/>
      <c r="X2" s="5"/>
      <c r="Y2" s="5"/>
      <c r="Z2" s="5"/>
    </row>
    <row r="3" spans="1:26" x14ac:dyDescent="0.25">
      <c r="B3" s="6" t="s">
        <v>4</v>
      </c>
      <c r="C3" s="7" t="s">
        <v>5</v>
      </c>
      <c r="D3" s="6" t="s">
        <v>6</v>
      </c>
      <c r="E3" s="8"/>
      <c r="F3" s="8"/>
      <c r="G3" s="8"/>
      <c r="H3" s="9"/>
      <c r="I3" s="9"/>
      <c r="K3" s="6" t="s">
        <v>4</v>
      </c>
      <c r="L3" s="7" t="s">
        <v>5</v>
      </c>
      <c r="M3" s="6" t="s">
        <v>6</v>
      </c>
      <c r="N3" s="9"/>
      <c r="O3" s="9"/>
      <c r="P3" s="9"/>
      <c r="Q3" s="9"/>
      <c r="R3" s="9"/>
      <c r="T3" s="6" t="s">
        <v>4</v>
      </c>
      <c r="U3" s="7" t="s">
        <v>5</v>
      </c>
      <c r="V3" s="6" t="s">
        <v>6</v>
      </c>
      <c r="W3" s="9"/>
      <c r="X3" s="9"/>
      <c r="Y3" s="9"/>
      <c r="Z3" s="9"/>
    </row>
    <row r="4" spans="1:26" x14ac:dyDescent="0.25">
      <c r="A4" s="10" t="s">
        <v>7</v>
      </c>
      <c r="B4" s="6" t="s">
        <v>8</v>
      </c>
      <c r="C4" s="6" t="s">
        <v>8</v>
      </c>
      <c r="D4" s="6" t="s">
        <v>8</v>
      </c>
      <c r="E4" s="8"/>
      <c r="F4" s="8"/>
      <c r="G4" s="8"/>
      <c r="H4" s="11" t="s">
        <v>9</v>
      </c>
      <c r="I4" s="9"/>
      <c r="J4" s="10" t="s">
        <v>7</v>
      </c>
      <c r="K4" s="6" t="s">
        <v>8</v>
      </c>
      <c r="L4" s="6" t="s">
        <v>8</v>
      </c>
      <c r="M4" s="6" t="s">
        <v>8</v>
      </c>
      <c r="N4" s="9"/>
      <c r="O4" s="9"/>
      <c r="P4" s="9"/>
      <c r="Q4" s="11" t="s">
        <v>9</v>
      </c>
      <c r="R4" s="9"/>
      <c r="S4" s="10" t="s">
        <v>7</v>
      </c>
      <c r="T4" s="6" t="s">
        <v>8</v>
      </c>
      <c r="U4" s="6" t="s">
        <v>8</v>
      </c>
      <c r="V4" s="6" t="s">
        <v>8</v>
      </c>
      <c r="W4" s="9"/>
      <c r="X4" s="9"/>
      <c r="Y4" s="9"/>
      <c r="Z4" s="11" t="s">
        <v>9</v>
      </c>
    </row>
    <row r="5" spans="1:26" x14ac:dyDescent="0.25">
      <c r="A5" s="12" t="s">
        <v>10</v>
      </c>
      <c r="B5" s="13" t="s">
        <v>11</v>
      </c>
      <c r="C5" s="13" t="s">
        <v>12</v>
      </c>
      <c r="D5" s="13" t="s">
        <v>13</v>
      </c>
      <c r="E5" s="14"/>
      <c r="F5" s="14"/>
      <c r="G5" s="14"/>
      <c r="H5" s="15" t="s">
        <v>14</v>
      </c>
      <c r="I5" s="16"/>
      <c r="J5" s="12" t="s">
        <v>10</v>
      </c>
      <c r="K5" s="13" t="s">
        <v>11</v>
      </c>
      <c r="L5" s="13" t="s">
        <v>15</v>
      </c>
      <c r="M5" s="13" t="s">
        <v>13</v>
      </c>
      <c r="N5" s="16"/>
      <c r="O5" s="16"/>
      <c r="P5" s="16"/>
      <c r="Q5" s="15" t="s">
        <v>14</v>
      </c>
      <c r="R5" s="16"/>
      <c r="S5" s="12" t="s">
        <v>10</v>
      </c>
      <c r="T5" s="13" t="s">
        <v>11</v>
      </c>
      <c r="U5" s="13" t="s">
        <v>16</v>
      </c>
      <c r="V5" s="13" t="s">
        <v>13</v>
      </c>
      <c r="W5" s="16"/>
      <c r="X5" s="16"/>
      <c r="Y5" s="16"/>
      <c r="Z5" s="15" t="s">
        <v>14</v>
      </c>
    </row>
    <row r="6" spans="1:26" ht="10.5" customHeight="1" x14ac:dyDescent="0.25">
      <c r="A6" s="17" t="s">
        <v>17</v>
      </c>
      <c r="B6" s="18">
        <v>35.31</v>
      </c>
      <c r="C6" s="18">
        <v>13.22</v>
      </c>
      <c r="D6" s="18">
        <v>51.47</v>
      </c>
      <c r="E6" s="14">
        <v>40</v>
      </c>
      <c r="F6" s="19">
        <v>16</v>
      </c>
      <c r="G6" s="20">
        <v>10</v>
      </c>
      <c r="H6" s="21">
        <f t="shared" ref="H6:H15" si="0">57294/E6/F6+33.51+20875.5/G6/F6</f>
        <v>253.50375</v>
      </c>
      <c r="I6" s="16"/>
      <c r="J6" s="17" t="s">
        <v>17</v>
      </c>
      <c r="K6" s="18">
        <v>35.6</v>
      </c>
      <c r="L6" s="18">
        <v>12.5</v>
      </c>
      <c r="M6" s="18">
        <v>51.9</v>
      </c>
      <c r="N6" s="14">
        <v>40</v>
      </c>
      <c r="O6" s="19">
        <v>15</v>
      </c>
      <c r="P6" s="20">
        <v>10</v>
      </c>
      <c r="Q6" s="21">
        <f t="shared" ref="Q6:Q15" si="1">57294/N6/O6+33.51+20875.5/P6/O6</f>
        <v>268.17</v>
      </c>
      <c r="R6" s="16"/>
      <c r="S6" s="17" t="s">
        <v>17</v>
      </c>
      <c r="T6" s="18">
        <v>35.9</v>
      </c>
      <c r="U6" s="18">
        <v>11.77</v>
      </c>
      <c r="V6" s="18">
        <v>52.33</v>
      </c>
      <c r="W6" s="14">
        <v>40</v>
      </c>
      <c r="X6" s="19">
        <v>14</v>
      </c>
      <c r="Y6" s="20">
        <v>10</v>
      </c>
      <c r="Z6" s="21">
        <f t="shared" ref="Z6:Z15" si="2">57294/W6/X6+33.51+20875.5/Y6/X6</f>
        <v>284.93142857142857</v>
      </c>
    </row>
    <row r="7" spans="1:26" ht="10.5" customHeight="1" x14ac:dyDescent="0.25">
      <c r="A7" s="17" t="s">
        <v>18</v>
      </c>
      <c r="B7" s="18">
        <v>38.619999999999997</v>
      </c>
      <c r="C7" s="18">
        <v>14.46</v>
      </c>
      <c r="D7" s="18">
        <v>46.92</v>
      </c>
      <c r="E7" s="14">
        <v>40</v>
      </c>
      <c r="F7" s="19">
        <v>16</v>
      </c>
      <c r="G7" s="20">
        <v>12</v>
      </c>
      <c r="H7" s="21">
        <f t="shared" si="0"/>
        <v>231.75843749999999</v>
      </c>
      <c r="I7" s="16"/>
      <c r="J7" s="17" t="s">
        <v>18</v>
      </c>
      <c r="K7" s="18">
        <v>38.97</v>
      </c>
      <c r="L7" s="18">
        <v>13.68</v>
      </c>
      <c r="M7" s="18">
        <v>47.35</v>
      </c>
      <c r="N7" s="14">
        <v>40</v>
      </c>
      <c r="O7" s="19">
        <v>15</v>
      </c>
      <c r="P7" s="20">
        <v>12</v>
      </c>
      <c r="Q7" s="21">
        <f t="shared" si="1"/>
        <v>244.97499999999999</v>
      </c>
      <c r="R7" s="16"/>
      <c r="S7" s="17" t="s">
        <v>18</v>
      </c>
      <c r="T7" s="18">
        <v>39.33</v>
      </c>
      <c r="U7" s="18">
        <v>12.89</v>
      </c>
      <c r="V7" s="18">
        <v>47.78</v>
      </c>
      <c r="W7" s="14">
        <v>40</v>
      </c>
      <c r="X7" s="19">
        <v>14</v>
      </c>
      <c r="Y7" s="20">
        <v>12</v>
      </c>
      <c r="Z7" s="21">
        <f t="shared" si="2"/>
        <v>260.07964285714286</v>
      </c>
    </row>
    <row r="8" spans="1:26" ht="10.5" customHeight="1" x14ac:dyDescent="0.25">
      <c r="A8" s="17" t="s">
        <v>19</v>
      </c>
      <c r="B8" s="18">
        <v>41.39</v>
      </c>
      <c r="C8" s="18">
        <v>15.51</v>
      </c>
      <c r="D8" s="18">
        <v>43.1</v>
      </c>
      <c r="E8" s="14">
        <v>40</v>
      </c>
      <c r="F8" s="19">
        <v>16</v>
      </c>
      <c r="G8" s="20">
        <v>14</v>
      </c>
      <c r="H8" s="21">
        <f t="shared" si="0"/>
        <v>216.2260714285714</v>
      </c>
      <c r="I8" s="16"/>
      <c r="J8" s="17" t="s">
        <v>19</v>
      </c>
      <c r="K8" s="18">
        <v>41.8</v>
      </c>
      <c r="L8" s="18">
        <v>14.68</v>
      </c>
      <c r="M8" s="18">
        <v>43.52</v>
      </c>
      <c r="N8" s="14">
        <v>40</v>
      </c>
      <c r="O8" s="19">
        <v>15</v>
      </c>
      <c r="P8" s="20">
        <v>14</v>
      </c>
      <c r="Q8" s="21">
        <f t="shared" si="1"/>
        <v>228.40714285714284</v>
      </c>
      <c r="R8" s="16"/>
      <c r="S8" s="17" t="s">
        <v>19</v>
      </c>
      <c r="T8" s="18">
        <v>42.22</v>
      </c>
      <c r="U8" s="18">
        <v>13.83</v>
      </c>
      <c r="V8" s="18">
        <v>43.95</v>
      </c>
      <c r="W8" s="14">
        <v>40</v>
      </c>
      <c r="X8" s="19">
        <v>14</v>
      </c>
      <c r="Y8" s="20">
        <v>14</v>
      </c>
      <c r="Z8" s="21">
        <f t="shared" si="2"/>
        <v>242.32836734693876</v>
      </c>
    </row>
    <row r="9" spans="1:26" ht="10.5" customHeight="1" x14ac:dyDescent="0.25">
      <c r="A9" s="17" t="s">
        <v>20</v>
      </c>
      <c r="B9" s="18">
        <v>43.75</v>
      </c>
      <c r="C9" s="18">
        <v>16.39</v>
      </c>
      <c r="D9" s="18">
        <v>39.86</v>
      </c>
      <c r="E9" s="14">
        <v>40</v>
      </c>
      <c r="F9" s="19">
        <v>16</v>
      </c>
      <c r="G9" s="20">
        <v>16</v>
      </c>
      <c r="H9" s="21">
        <f t="shared" si="0"/>
        <v>204.57679687499999</v>
      </c>
      <c r="I9" s="16"/>
      <c r="J9" s="17" t="s">
        <v>20</v>
      </c>
      <c r="K9" s="18">
        <v>44.21</v>
      </c>
      <c r="L9" s="18">
        <v>15.52</v>
      </c>
      <c r="M9" s="18">
        <v>40.270000000000003</v>
      </c>
      <c r="N9" s="14">
        <v>40</v>
      </c>
      <c r="O9" s="19">
        <v>15</v>
      </c>
      <c r="P9" s="20">
        <v>16</v>
      </c>
      <c r="Q9" s="21">
        <f t="shared" si="1"/>
        <v>215.98124999999999</v>
      </c>
      <c r="R9" s="16"/>
      <c r="S9" s="17" t="s">
        <v>20</v>
      </c>
      <c r="T9" s="18">
        <v>44.67</v>
      </c>
      <c r="U9" s="18">
        <v>14.63</v>
      </c>
      <c r="V9" s="18">
        <v>40.700000000000003</v>
      </c>
      <c r="W9" s="14">
        <v>40</v>
      </c>
      <c r="X9" s="19">
        <v>14</v>
      </c>
      <c r="Y9" s="20">
        <v>16</v>
      </c>
      <c r="Z9" s="21">
        <f t="shared" si="2"/>
        <v>229.01491071428569</v>
      </c>
    </row>
    <row r="10" spans="1:26" ht="10.5" customHeight="1" x14ac:dyDescent="0.25">
      <c r="A10" s="17" t="s">
        <v>21</v>
      </c>
      <c r="B10" s="18">
        <v>45.78</v>
      </c>
      <c r="C10" s="18">
        <v>17.149999999999999</v>
      </c>
      <c r="D10" s="18">
        <v>37.07</v>
      </c>
      <c r="E10" s="14">
        <v>40</v>
      </c>
      <c r="F10" s="19">
        <v>16</v>
      </c>
      <c r="G10" s="20">
        <v>18</v>
      </c>
      <c r="H10" s="21">
        <f t="shared" si="0"/>
        <v>195.51624999999999</v>
      </c>
      <c r="I10" s="16"/>
      <c r="J10" s="17" t="s">
        <v>21</v>
      </c>
      <c r="K10" s="18">
        <v>46.27</v>
      </c>
      <c r="L10" s="18">
        <v>16.25</v>
      </c>
      <c r="M10" s="18">
        <v>37.479999999999997</v>
      </c>
      <c r="N10" s="14">
        <v>40</v>
      </c>
      <c r="O10" s="19">
        <v>15</v>
      </c>
      <c r="P10" s="20">
        <v>18</v>
      </c>
      <c r="Q10" s="21">
        <f t="shared" si="1"/>
        <v>206.31666666666666</v>
      </c>
      <c r="R10" s="16"/>
      <c r="S10" s="17" t="s">
        <v>21</v>
      </c>
      <c r="T10" s="18">
        <v>46.78</v>
      </c>
      <c r="U10" s="18">
        <v>15.33</v>
      </c>
      <c r="V10" s="18">
        <v>37.89</v>
      </c>
      <c r="W10" s="14">
        <v>40</v>
      </c>
      <c r="X10" s="19">
        <v>14</v>
      </c>
      <c r="Y10" s="20">
        <v>18</v>
      </c>
      <c r="Z10" s="21">
        <f t="shared" si="2"/>
        <v>218.65999999999997</v>
      </c>
    </row>
    <row r="11" spans="1:26" ht="10.5" customHeight="1" x14ac:dyDescent="0.25">
      <c r="A11" s="17" t="s">
        <v>22</v>
      </c>
      <c r="B11" s="18">
        <v>47.54</v>
      </c>
      <c r="C11" s="18">
        <v>17.809999999999999</v>
      </c>
      <c r="D11" s="18">
        <v>34.65</v>
      </c>
      <c r="E11" s="14">
        <v>40</v>
      </c>
      <c r="F11" s="19">
        <v>16</v>
      </c>
      <c r="G11" s="20">
        <v>20</v>
      </c>
      <c r="H11" s="21">
        <f t="shared" si="0"/>
        <v>188.26781249999999</v>
      </c>
      <c r="I11" s="16"/>
      <c r="J11" s="17" t="s">
        <v>22</v>
      </c>
      <c r="K11" s="18">
        <v>48.08</v>
      </c>
      <c r="L11" s="18">
        <v>16.88</v>
      </c>
      <c r="M11" s="18">
        <v>35.04</v>
      </c>
      <c r="N11" s="14">
        <v>40</v>
      </c>
      <c r="O11" s="19">
        <v>15</v>
      </c>
      <c r="P11" s="20">
        <v>20</v>
      </c>
      <c r="Q11" s="21">
        <f t="shared" si="1"/>
        <v>198.58500000000001</v>
      </c>
      <c r="R11" s="16"/>
      <c r="S11" s="17" t="s">
        <v>22</v>
      </c>
      <c r="T11" s="18">
        <v>48.62</v>
      </c>
      <c r="U11" s="18">
        <v>15.94</v>
      </c>
      <c r="V11" s="18">
        <v>35.44</v>
      </c>
      <c r="W11" s="14">
        <v>40</v>
      </c>
      <c r="X11" s="19">
        <v>14</v>
      </c>
      <c r="Y11" s="20">
        <v>20</v>
      </c>
      <c r="Z11" s="21">
        <f t="shared" si="2"/>
        <v>210.37607142857144</v>
      </c>
    </row>
    <row r="12" spans="1:26" ht="10.5" customHeight="1" x14ac:dyDescent="0.25">
      <c r="A12" s="17" t="s">
        <v>23</v>
      </c>
      <c r="B12" s="18">
        <v>50.45</v>
      </c>
      <c r="C12" s="18">
        <v>18.899999999999999</v>
      </c>
      <c r="D12" s="18">
        <v>30.65</v>
      </c>
      <c r="E12" s="14">
        <v>40</v>
      </c>
      <c r="F12" s="19">
        <v>16</v>
      </c>
      <c r="G12" s="20">
        <v>24</v>
      </c>
      <c r="H12" s="21">
        <f t="shared" si="0"/>
        <v>177.39515624999999</v>
      </c>
      <c r="I12" s="16"/>
      <c r="J12" s="17" t="s">
        <v>23</v>
      </c>
      <c r="K12" s="18">
        <v>51.06</v>
      </c>
      <c r="L12" s="18">
        <v>17.93</v>
      </c>
      <c r="M12" s="18">
        <v>31.01</v>
      </c>
      <c r="N12" s="14">
        <v>40</v>
      </c>
      <c r="O12" s="19">
        <v>15</v>
      </c>
      <c r="P12" s="20">
        <v>24</v>
      </c>
      <c r="Q12" s="21">
        <f t="shared" si="1"/>
        <v>186.98750000000001</v>
      </c>
      <c r="R12" s="16"/>
      <c r="S12" s="17" t="s">
        <v>23</v>
      </c>
      <c r="T12" s="18">
        <v>51.68</v>
      </c>
      <c r="U12" s="18">
        <v>16.93</v>
      </c>
      <c r="V12" s="18">
        <v>31.39</v>
      </c>
      <c r="W12" s="14">
        <v>40</v>
      </c>
      <c r="X12" s="19">
        <v>14</v>
      </c>
      <c r="Y12" s="20">
        <v>24</v>
      </c>
      <c r="Z12" s="21">
        <f t="shared" si="2"/>
        <v>197.95017857142855</v>
      </c>
    </row>
    <row r="13" spans="1:26" ht="10.5" customHeight="1" x14ac:dyDescent="0.25">
      <c r="A13" s="17" t="s">
        <v>24</v>
      </c>
      <c r="B13" s="18">
        <v>51.68</v>
      </c>
      <c r="C13" s="18">
        <v>19.350000000000001</v>
      </c>
      <c r="D13" s="18">
        <v>28.97</v>
      </c>
      <c r="E13" s="14">
        <v>40</v>
      </c>
      <c r="F13" s="19">
        <v>16</v>
      </c>
      <c r="G13" s="20">
        <v>26</v>
      </c>
      <c r="H13" s="21">
        <f t="shared" si="0"/>
        <v>173.21336538461537</v>
      </c>
      <c r="I13" s="16"/>
      <c r="J13" s="17" t="s">
        <v>24</v>
      </c>
      <c r="K13" s="18">
        <v>52.31</v>
      </c>
      <c r="L13" s="18">
        <v>18.36</v>
      </c>
      <c r="M13" s="18">
        <v>29.33</v>
      </c>
      <c r="N13" s="14">
        <v>40</v>
      </c>
      <c r="O13" s="19">
        <v>15</v>
      </c>
      <c r="P13" s="20">
        <v>26</v>
      </c>
      <c r="Q13" s="21">
        <f t="shared" si="1"/>
        <v>182.52692307692308</v>
      </c>
      <c r="R13" s="16"/>
      <c r="S13" s="17" t="s">
        <v>24</v>
      </c>
      <c r="T13" s="18">
        <v>52.95</v>
      </c>
      <c r="U13" s="18">
        <v>17.36</v>
      </c>
      <c r="V13" s="18">
        <v>29.69</v>
      </c>
      <c r="W13" s="14">
        <v>40</v>
      </c>
      <c r="X13" s="19">
        <v>14</v>
      </c>
      <c r="Y13" s="20">
        <v>26</v>
      </c>
      <c r="Z13" s="21">
        <f t="shared" si="2"/>
        <v>193.17098901098899</v>
      </c>
    </row>
    <row r="14" spans="1:26" ht="10.5" customHeight="1" x14ac:dyDescent="0.25">
      <c r="A14" s="17" t="s">
        <v>25</v>
      </c>
      <c r="B14" s="18">
        <v>52.77</v>
      </c>
      <c r="C14" s="18">
        <v>19.760000000000002</v>
      </c>
      <c r="D14" s="18">
        <v>27.47</v>
      </c>
      <c r="E14" s="14">
        <v>40</v>
      </c>
      <c r="F14" s="19">
        <v>16</v>
      </c>
      <c r="G14" s="20">
        <v>28</v>
      </c>
      <c r="H14" s="21">
        <f t="shared" si="0"/>
        <v>169.62897321428571</v>
      </c>
      <c r="I14" s="16"/>
      <c r="J14" s="17" t="s">
        <v>25</v>
      </c>
      <c r="K14" s="18">
        <v>53.43</v>
      </c>
      <c r="L14" s="18">
        <v>18.75</v>
      </c>
      <c r="M14" s="18">
        <v>27.82</v>
      </c>
      <c r="N14" s="14">
        <v>40</v>
      </c>
      <c r="O14" s="19">
        <v>15</v>
      </c>
      <c r="P14" s="20">
        <v>28</v>
      </c>
      <c r="Q14" s="21">
        <f t="shared" si="1"/>
        <v>178.70357142857142</v>
      </c>
      <c r="R14" s="16"/>
      <c r="S14" s="17" t="s">
        <v>25</v>
      </c>
      <c r="T14" s="18">
        <v>54.1</v>
      </c>
      <c r="U14" s="18">
        <v>17.73</v>
      </c>
      <c r="V14" s="18">
        <v>28.17</v>
      </c>
      <c r="W14" s="14">
        <v>40</v>
      </c>
      <c r="X14" s="19">
        <v>14</v>
      </c>
      <c r="Y14" s="20">
        <v>28</v>
      </c>
      <c r="Z14" s="21">
        <f t="shared" si="2"/>
        <v>189.07454081632653</v>
      </c>
    </row>
    <row r="15" spans="1:26" ht="10.5" customHeight="1" x14ac:dyDescent="0.25">
      <c r="A15" s="17" t="s">
        <v>26</v>
      </c>
      <c r="B15" s="18">
        <v>53.75</v>
      </c>
      <c r="C15" s="18">
        <v>20.13</v>
      </c>
      <c r="D15" s="18">
        <v>26.12</v>
      </c>
      <c r="E15" s="14">
        <v>40</v>
      </c>
      <c r="F15" s="19">
        <v>16</v>
      </c>
      <c r="G15" s="20">
        <v>30</v>
      </c>
      <c r="H15" s="21">
        <f t="shared" si="0"/>
        <v>166.52249999999998</v>
      </c>
      <c r="I15" s="16"/>
      <c r="J15" s="17" t="s">
        <v>26</v>
      </c>
      <c r="K15" s="18">
        <v>54.44</v>
      </c>
      <c r="L15" s="18">
        <v>19.11</v>
      </c>
      <c r="M15" s="18">
        <v>26.45</v>
      </c>
      <c r="N15" s="14">
        <v>40</v>
      </c>
      <c r="O15" s="19">
        <v>15</v>
      </c>
      <c r="P15" s="20">
        <v>30</v>
      </c>
      <c r="Q15" s="21">
        <f t="shared" si="1"/>
        <v>175.39</v>
      </c>
      <c r="R15" s="16"/>
      <c r="S15" s="17" t="s">
        <v>26</v>
      </c>
      <c r="T15" s="18">
        <v>55.14</v>
      </c>
      <c r="U15" s="18">
        <v>18.07</v>
      </c>
      <c r="V15" s="18">
        <v>26.79</v>
      </c>
      <c r="W15" s="14">
        <v>40</v>
      </c>
      <c r="X15" s="19">
        <v>14</v>
      </c>
      <c r="Y15" s="20">
        <v>30</v>
      </c>
      <c r="Z15" s="21">
        <f t="shared" si="2"/>
        <v>185.5242857142857</v>
      </c>
    </row>
    <row r="16" spans="1:26" ht="10.5" customHeight="1" x14ac:dyDescent="0.25">
      <c r="A16" s="22"/>
      <c r="B16" s="23"/>
      <c r="C16" s="23"/>
      <c r="D16" s="23"/>
      <c r="E16" s="24"/>
      <c r="F16" s="24"/>
      <c r="G16" s="24"/>
      <c r="H16" s="23"/>
      <c r="I16" s="16"/>
      <c r="J16" s="22"/>
      <c r="K16" s="23"/>
      <c r="L16" s="23"/>
      <c r="M16" s="23"/>
      <c r="N16" s="23"/>
      <c r="O16" s="23"/>
      <c r="P16" s="23"/>
      <c r="Q16" s="23"/>
      <c r="R16" s="9"/>
      <c r="S16" s="22"/>
      <c r="T16" s="23"/>
      <c r="U16" s="23"/>
      <c r="V16" s="23"/>
      <c r="W16" s="23"/>
      <c r="X16" s="23"/>
      <c r="Y16" s="23"/>
      <c r="Z16" s="23"/>
    </row>
    <row r="17" spans="1:26" ht="10.5" customHeight="1" x14ac:dyDescent="0.25">
      <c r="A17" s="17" t="s">
        <v>27</v>
      </c>
      <c r="B17" s="18">
        <v>37.75</v>
      </c>
      <c r="C17" s="18">
        <v>12.72</v>
      </c>
      <c r="D17" s="18">
        <v>49.53</v>
      </c>
      <c r="E17" s="14">
        <v>36</v>
      </c>
      <c r="F17" s="19">
        <v>16</v>
      </c>
      <c r="G17" s="20">
        <v>10</v>
      </c>
      <c r="H17" s="21">
        <f t="shared" ref="H17:H26" si="3">57294/E17/F17+33.51+20875.5/G17/F17</f>
        <v>263.450625</v>
      </c>
      <c r="I17" s="16"/>
      <c r="J17" s="25" t="s">
        <v>27</v>
      </c>
      <c r="K17" s="18">
        <v>38.049999999999997</v>
      </c>
      <c r="L17" s="18">
        <v>12.03</v>
      </c>
      <c r="M17" s="18">
        <v>49.92</v>
      </c>
      <c r="N17" s="14">
        <v>36</v>
      </c>
      <c r="O17" s="19">
        <v>15</v>
      </c>
      <c r="P17" s="20">
        <v>10</v>
      </c>
      <c r="Q17" s="21">
        <f t="shared" ref="Q17:Q26" si="4">57294/N17/O17+33.51+20875.5/P17/O17</f>
        <v>278.77999999999997</v>
      </c>
      <c r="R17" s="16"/>
      <c r="S17" s="26" t="s">
        <v>27</v>
      </c>
      <c r="T17" s="18">
        <v>38.36</v>
      </c>
      <c r="U17" s="18">
        <v>11.31</v>
      </c>
      <c r="V17" s="18">
        <v>50.33</v>
      </c>
      <c r="W17" s="14">
        <v>36</v>
      </c>
      <c r="X17" s="19">
        <v>14</v>
      </c>
      <c r="Y17" s="20">
        <v>10</v>
      </c>
      <c r="Z17" s="21">
        <f t="shared" ref="Z17:Z26" si="5">57294/W17/X17+33.51+20875.5/Y17/X17</f>
        <v>296.2992857142857</v>
      </c>
    </row>
    <row r="18" spans="1:26" ht="10.5" customHeight="1" x14ac:dyDescent="0.25">
      <c r="A18" s="17" t="s">
        <v>28</v>
      </c>
      <c r="B18" s="18">
        <v>41.15</v>
      </c>
      <c r="C18" s="18">
        <v>13.86</v>
      </c>
      <c r="D18" s="18">
        <v>44.99</v>
      </c>
      <c r="E18" s="14">
        <v>36</v>
      </c>
      <c r="F18" s="19">
        <v>16</v>
      </c>
      <c r="G18" s="20">
        <v>12</v>
      </c>
      <c r="H18" s="21">
        <f t="shared" si="3"/>
        <v>241.70531249999999</v>
      </c>
      <c r="I18" s="16"/>
      <c r="J18" s="25" t="s">
        <v>28</v>
      </c>
      <c r="K18" s="18">
        <v>41.5</v>
      </c>
      <c r="L18" s="18">
        <v>13.12</v>
      </c>
      <c r="M18" s="18">
        <v>45.38</v>
      </c>
      <c r="N18" s="14">
        <v>36</v>
      </c>
      <c r="O18" s="19">
        <v>15</v>
      </c>
      <c r="P18" s="20">
        <v>12</v>
      </c>
      <c r="Q18" s="21">
        <f t="shared" si="4"/>
        <v>255.58499999999998</v>
      </c>
      <c r="R18" s="16"/>
      <c r="S18" s="26" t="s">
        <v>28</v>
      </c>
      <c r="T18" s="18">
        <v>41.87</v>
      </c>
      <c r="U18" s="18">
        <v>12.35</v>
      </c>
      <c r="V18" s="18">
        <v>45.78</v>
      </c>
      <c r="W18" s="14">
        <v>36</v>
      </c>
      <c r="X18" s="19">
        <v>14</v>
      </c>
      <c r="Y18" s="20">
        <v>12</v>
      </c>
      <c r="Z18" s="21">
        <f t="shared" si="5"/>
        <v>271.44749999999999</v>
      </c>
    </row>
    <row r="19" spans="1:26" ht="10.5" customHeight="1" x14ac:dyDescent="0.25">
      <c r="A19" s="17" t="s">
        <v>29</v>
      </c>
      <c r="B19" s="18">
        <v>43.97</v>
      </c>
      <c r="C19" s="18">
        <v>14.82</v>
      </c>
      <c r="D19" s="18">
        <v>41.21</v>
      </c>
      <c r="E19" s="14">
        <v>36</v>
      </c>
      <c r="F19" s="19">
        <v>16</v>
      </c>
      <c r="G19" s="20">
        <v>14</v>
      </c>
      <c r="H19" s="21">
        <f t="shared" si="3"/>
        <v>226.17294642857144</v>
      </c>
      <c r="I19" s="16"/>
      <c r="J19" s="25" t="s">
        <v>29</v>
      </c>
      <c r="K19" s="18">
        <v>44.38</v>
      </c>
      <c r="L19" s="18">
        <v>14.03</v>
      </c>
      <c r="M19" s="18">
        <v>41.59</v>
      </c>
      <c r="N19" s="14">
        <v>36</v>
      </c>
      <c r="O19" s="19">
        <v>15</v>
      </c>
      <c r="P19" s="20">
        <v>14</v>
      </c>
      <c r="Q19" s="21">
        <f t="shared" si="4"/>
        <v>239.01714285714286</v>
      </c>
      <c r="R19" s="16"/>
      <c r="S19" s="26" t="s">
        <v>29</v>
      </c>
      <c r="T19" s="18">
        <v>44.81</v>
      </c>
      <c r="U19" s="18">
        <v>13.21</v>
      </c>
      <c r="V19" s="18">
        <v>41.98</v>
      </c>
      <c r="W19" s="14">
        <v>36</v>
      </c>
      <c r="X19" s="19">
        <v>14</v>
      </c>
      <c r="Y19" s="20">
        <v>14</v>
      </c>
      <c r="Z19" s="21">
        <f t="shared" si="5"/>
        <v>253.69622448979592</v>
      </c>
    </row>
    <row r="20" spans="1:26" ht="10.5" customHeight="1" x14ac:dyDescent="0.25">
      <c r="A20" s="17" t="s">
        <v>30</v>
      </c>
      <c r="B20" s="18">
        <v>46.36</v>
      </c>
      <c r="C20" s="18">
        <v>15.63</v>
      </c>
      <c r="D20" s="18">
        <v>38.01</v>
      </c>
      <c r="E20" s="14">
        <v>36</v>
      </c>
      <c r="F20" s="19">
        <v>16</v>
      </c>
      <c r="G20" s="20">
        <v>16</v>
      </c>
      <c r="H20" s="21">
        <f t="shared" si="3"/>
        <v>214.52367187499999</v>
      </c>
      <c r="I20" s="16"/>
      <c r="J20" s="25" t="s">
        <v>30</v>
      </c>
      <c r="K20" s="18">
        <v>46.82</v>
      </c>
      <c r="L20" s="18">
        <v>14.8</v>
      </c>
      <c r="M20" s="18">
        <v>38.380000000000003</v>
      </c>
      <c r="N20" s="14">
        <v>36</v>
      </c>
      <c r="O20" s="19">
        <v>15</v>
      </c>
      <c r="P20" s="20">
        <v>16</v>
      </c>
      <c r="Q20" s="21">
        <f t="shared" si="4"/>
        <v>226.59125</v>
      </c>
      <c r="R20" s="16"/>
      <c r="S20" s="26" t="s">
        <v>30</v>
      </c>
      <c r="T20" s="18">
        <v>47.28</v>
      </c>
      <c r="U20" s="18">
        <v>13.95</v>
      </c>
      <c r="V20" s="18">
        <v>38.770000000000003</v>
      </c>
      <c r="W20" s="14">
        <v>36</v>
      </c>
      <c r="X20" s="19">
        <v>14</v>
      </c>
      <c r="Y20" s="20">
        <v>16</v>
      </c>
      <c r="Z20" s="21">
        <f t="shared" si="5"/>
        <v>240.38276785714288</v>
      </c>
    </row>
    <row r="21" spans="1:26" ht="10.5" customHeight="1" x14ac:dyDescent="0.25">
      <c r="A21" s="17" t="s">
        <v>31</v>
      </c>
      <c r="B21" s="18">
        <v>48.4</v>
      </c>
      <c r="C21" s="18">
        <v>16.32</v>
      </c>
      <c r="D21" s="18">
        <v>35.28</v>
      </c>
      <c r="E21" s="14">
        <v>36</v>
      </c>
      <c r="F21" s="19">
        <v>16</v>
      </c>
      <c r="G21" s="20">
        <v>18</v>
      </c>
      <c r="H21" s="21">
        <f t="shared" si="3"/>
        <v>205.46312499999999</v>
      </c>
      <c r="I21" s="16"/>
      <c r="J21" s="25" t="s">
        <v>31</v>
      </c>
      <c r="K21" s="18">
        <v>48.9</v>
      </c>
      <c r="L21" s="18">
        <v>15.45</v>
      </c>
      <c r="M21" s="18">
        <v>35.65</v>
      </c>
      <c r="N21" s="14">
        <v>36</v>
      </c>
      <c r="O21" s="19">
        <v>15</v>
      </c>
      <c r="P21" s="20">
        <v>18</v>
      </c>
      <c r="Q21" s="21">
        <f t="shared" si="4"/>
        <v>216.92666666666665</v>
      </c>
      <c r="R21" s="16"/>
      <c r="S21" s="26" t="s">
        <v>31</v>
      </c>
      <c r="T21" s="18">
        <v>49.41</v>
      </c>
      <c r="U21" s="18">
        <v>14.57</v>
      </c>
      <c r="V21" s="18">
        <v>36.020000000000003</v>
      </c>
      <c r="W21" s="14">
        <v>36</v>
      </c>
      <c r="X21" s="19">
        <v>14</v>
      </c>
      <c r="Y21" s="20">
        <v>18</v>
      </c>
      <c r="Z21" s="21">
        <f t="shared" si="5"/>
        <v>230.02785714285716</v>
      </c>
    </row>
    <row r="22" spans="1:26" ht="10.5" customHeight="1" x14ac:dyDescent="0.25">
      <c r="A22" s="17" t="s">
        <v>32</v>
      </c>
      <c r="B22" s="18">
        <v>50.18</v>
      </c>
      <c r="C22" s="18">
        <v>16.91</v>
      </c>
      <c r="D22" s="18">
        <v>32.909999999999997</v>
      </c>
      <c r="E22" s="14">
        <v>36</v>
      </c>
      <c r="F22" s="19">
        <v>16</v>
      </c>
      <c r="G22" s="20">
        <v>20</v>
      </c>
      <c r="H22" s="21">
        <f t="shared" si="3"/>
        <v>198.2146875</v>
      </c>
      <c r="I22" s="16"/>
      <c r="J22" s="25" t="s">
        <v>32</v>
      </c>
      <c r="K22" s="18">
        <v>50.71</v>
      </c>
      <c r="L22" s="18">
        <v>16.02</v>
      </c>
      <c r="M22" s="18">
        <v>33.270000000000003</v>
      </c>
      <c r="N22" s="14">
        <v>36</v>
      </c>
      <c r="O22" s="19">
        <v>15</v>
      </c>
      <c r="P22" s="20">
        <v>20</v>
      </c>
      <c r="Q22" s="21">
        <f t="shared" si="4"/>
        <v>209.19499999999999</v>
      </c>
      <c r="R22" s="16"/>
      <c r="S22" s="26" t="s">
        <v>32</v>
      </c>
      <c r="T22" s="18">
        <v>51.26</v>
      </c>
      <c r="U22" s="18">
        <v>15.12</v>
      </c>
      <c r="V22" s="18">
        <v>33.619999999999997</v>
      </c>
      <c r="W22" s="14">
        <v>36</v>
      </c>
      <c r="X22" s="19">
        <v>14</v>
      </c>
      <c r="Y22" s="20">
        <v>20</v>
      </c>
      <c r="Z22" s="21">
        <f t="shared" si="5"/>
        <v>221.74392857142857</v>
      </c>
    </row>
    <row r="23" spans="1:26" ht="10.5" customHeight="1" x14ac:dyDescent="0.25">
      <c r="A23" s="17" t="s">
        <v>33</v>
      </c>
      <c r="B23" s="18">
        <v>53.09</v>
      </c>
      <c r="C23" s="18">
        <v>17.89</v>
      </c>
      <c r="D23" s="18">
        <v>29.02</v>
      </c>
      <c r="E23" s="14">
        <v>36</v>
      </c>
      <c r="F23" s="19">
        <v>16</v>
      </c>
      <c r="G23" s="20">
        <v>24</v>
      </c>
      <c r="H23" s="21">
        <f t="shared" si="3"/>
        <v>187.34203124999999</v>
      </c>
      <c r="I23" s="16"/>
      <c r="J23" s="25" t="s">
        <v>33</v>
      </c>
      <c r="K23" s="18">
        <v>53.69</v>
      </c>
      <c r="L23" s="18">
        <v>16.96</v>
      </c>
      <c r="M23" s="18">
        <v>29.35</v>
      </c>
      <c r="N23" s="14">
        <v>36</v>
      </c>
      <c r="O23" s="19">
        <v>15</v>
      </c>
      <c r="P23" s="20">
        <v>24</v>
      </c>
      <c r="Q23" s="21">
        <f t="shared" si="4"/>
        <v>197.59749999999997</v>
      </c>
      <c r="R23" s="16"/>
      <c r="S23" s="26" t="s">
        <v>33</v>
      </c>
      <c r="T23" s="18">
        <v>54.3</v>
      </c>
      <c r="U23" s="18">
        <v>16.02</v>
      </c>
      <c r="V23" s="18">
        <v>29.68</v>
      </c>
      <c r="W23" s="14">
        <v>36</v>
      </c>
      <c r="X23" s="19">
        <v>14</v>
      </c>
      <c r="Y23" s="20">
        <v>24</v>
      </c>
      <c r="Z23" s="21">
        <f t="shared" si="5"/>
        <v>209.31803571428571</v>
      </c>
    </row>
    <row r="24" spans="1:26" ht="10.5" customHeight="1" x14ac:dyDescent="0.25">
      <c r="A24" s="17" t="s">
        <v>34</v>
      </c>
      <c r="B24" s="18">
        <v>54.3</v>
      </c>
      <c r="C24" s="18">
        <v>18.3</v>
      </c>
      <c r="D24" s="18">
        <v>27.4</v>
      </c>
      <c r="E24" s="14">
        <v>36</v>
      </c>
      <c r="F24" s="19">
        <v>16</v>
      </c>
      <c r="G24" s="20">
        <v>26</v>
      </c>
      <c r="H24" s="21">
        <f t="shared" si="3"/>
        <v>183.16024038461538</v>
      </c>
      <c r="I24" s="16"/>
      <c r="J24" s="25" t="s">
        <v>34</v>
      </c>
      <c r="K24" s="18">
        <v>54.93</v>
      </c>
      <c r="L24" s="18">
        <v>17.350000000000001</v>
      </c>
      <c r="M24" s="18">
        <v>27.72</v>
      </c>
      <c r="N24" s="14">
        <v>36</v>
      </c>
      <c r="O24" s="19">
        <v>15</v>
      </c>
      <c r="P24" s="20">
        <v>26</v>
      </c>
      <c r="Q24" s="21">
        <f t="shared" si="4"/>
        <v>193.13692307692307</v>
      </c>
      <c r="R24" s="16"/>
      <c r="S24" s="26" t="s">
        <v>34</v>
      </c>
      <c r="T24" s="18">
        <v>55.57</v>
      </c>
      <c r="U24" s="18">
        <v>16.39</v>
      </c>
      <c r="V24" s="18">
        <v>28.04</v>
      </c>
      <c r="W24" s="14">
        <v>36</v>
      </c>
      <c r="X24" s="19">
        <v>14</v>
      </c>
      <c r="Y24" s="20">
        <v>26</v>
      </c>
      <c r="Z24" s="21">
        <f t="shared" si="5"/>
        <v>204.53884615384618</v>
      </c>
    </row>
    <row r="25" spans="1:26" ht="10.5" customHeight="1" x14ac:dyDescent="0.25">
      <c r="A25" s="17" t="s">
        <v>35</v>
      </c>
      <c r="B25" s="18">
        <v>55.38</v>
      </c>
      <c r="C25" s="18">
        <v>18.670000000000002</v>
      </c>
      <c r="D25" s="18">
        <v>25.95</v>
      </c>
      <c r="E25" s="14">
        <v>36</v>
      </c>
      <c r="F25" s="19">
        <v>16</v>
      </c>
      <c r="G25" s="20">
        <v>28</v>
      </c>
      <c r="H25" s="21">
        <f t="shared" si="3"/>
        <v>179.57584821428571</v>
      </c>
      <c r="I25" s="16"/>
      <c r="J25" s="25" t="s">
        <v>35</v>
      </c>
      <c r="K25" s="18">
        <v>56.04</v>
      </c>
      <c r="L25" s="18">
        <v>17.71</v>
      </c>
      <c r="M25" s="18">
        <v>26.25</v>
      </c>
      <c r="N25" s="14">
        <v>36</v>
      </c>
      <c r="O25" s="19">
        <v>15</v>
      </c>
      <c r="P25" s="20">
        <v>28</v>
      </c>
      <c r="Q25" s="21">
        <f t="shared" si="4"/>
        <v>189.31357142857141</v>
      </c>
      <c r="R25" s="16"/>
      <c r="S25" s="26" t="s">
        <v>35</v>
      </c>
      <c r="T25" s="18">
        <v>56.7</v>
      </c>
      <c r="U25" s="18">
        <v>16.73</v>
      </c>
      <c r="V25" s="18">
        <v>26.57</v>
      </c>
      <c r="W25" s="14">
        <v>36</v>
      </c>
      <c r="X25" s="19">
        <v>14</v>
      </c>
      <c r="Y25" s="20">
        <v>28</v>
      </c>
      <c r="Z25" s="21">
        <f t="shared" si="5"/>
        <v>200.44239795918367</v>
      </c>
    </row>
    <row r="26" spans="1:26" ht="10.5" customHeight="1" x14ac:dyDescent="0.25">
      <c r="A26" s="17" t="s">
        <v>36</v>
      </c>
      <c r="B26" s="18">
        <v>56.36</v>
      </c>
      <c r="C26" s="18">
        <v>19</v>
      </c>
      <c r="D26" s="18">
        <v>24.64</v>
      </c>
      <c r="E26" s="14">
        <v>36</v>
      </c>
      <c r="F26" s="19">
        <v>16</v>
      </c>
      <c r="G26" s="20">
        <v>30</v>
      </c>
      <c r="H26" s="21">
        <f t="shared" si="3"/>
        <v>176.46937499999999</v>
      </c>
      <c r="I26" s="16"/>
      <c r="J26" s="25" t="s">
        <v>36</v>
      </c>
      <c r="K26" s="18">
        <v>57.03</v>
      </c>
      <c r="L26" s="18">
        <v>18.02</v>
      </c>
      <c r="M26" s="18">
        <v>24.95</v>
      </c>
      <c r="N26" s="14">
        <v>36</v>
      </c>
      <c r="O26" s="19">
        <v>15</v>
      </c>
      <c r="P26" s="20">
        <v>30</v>
      </c>
      <c r="Q26" s="21">
        <f t="shared" si="4"/>
        <v>186</v>
      </c>
      <c r="R26" s="16"/>
      <c r="S26" s="26" t="s">
        <v>36</v>
      </c>
      <c r="T26" s="18">
        <v>57.73</v>
      </c>
      <c r="U26" s="18">
        <v>17.02</v>
      </c>
      <c r="V26" s="18">
        <v>25.25</v>
      </c>
      <c r="W26" s="14">
        <v>36</v>
      </c>
      <c r="X26" s="19">
        <v>14</v>
      </c>
      <c r="Y26" s="20">
        <v>30</v>
      </c>
      <c r="Z26" s="21">
        <f t="shared" si="5"/>
        <v>196.89214285714286</v>
      </c>
    </row>
    <row r="27" spans="1:26" ht="10.5" customHeight="1" x14ac:dyDescent="0.25">
      <c r="A27" s="22"/>
      <c r="B27" s="23"/>
      <c r="C27" s="23"/>
      <c r="D27" s="23"/>
      <c r="E27" s="24"/>
      <c r="F27" s="24"/>
      <c r="G27" s="24"/>
      <c r="H27" s="23"/>
      <c r="I27" s="16"/>
      <c r="J27" s="22"/>
      <c r="K27" s="23"/>
      <c r="L27" s="23"/>
      <c r="M27" s="23"/>
      <c r="N27" s="23"/>
      <c r="O27" s="23"/>
      <c r="P27" s="23"/>
      <c r="Q27" s="23"/>
      <c r="R27" s="9"/>
      <c r="S27" s="22"/>
      <c r="T27" s="23"/>
      <c r="U27" s="23"/>
      <c r="V27" s="23"/>
      <c r="W27" s="23"/>
      <c r="X27" s="23"/>
      <c r="Y27" s="23"/>
      <c r="Z27" s="23"/>
    </row>
    <row r="28" spans="1:26" ht="10.5" customHeight="1" x14ac:dyDescent="0.25">
      <c r="A28" s="17" t="s">
        <v>37</v>
      </c>
      <c r="B28" s="18">
        <v>42.12</v>
      </c>
      <c r="C28" s="18">
        <v>11.83</v>
      </c>
      <c r="D28" s="18">
        <v>46.05</v>
      </c>
      <c r="E28" s="27">
        <v>30</v>
      </c>
      <c r="F28" s="19">
        <v>16</v>
      </c>
      <c r="G28" s="20">
        <v>10</v>
      </c>
      <c r="H28" s="21">
        <f t="shared" ref="H28:H37" si="6">57294/E28/F28+33.51+20875.5/G28/F28</f>
        <v>283.34437500000001</v>
      </c>
      <c r="I28" s="16"/>
      <c r="J28" s="25" t="s">
        <v>37</v>
      </c>
      <c r="K28" s="18">
        <v>42.44</v>
      </c>
      <c r="L28" s="18">
        <v>11.17</v>
      </c>
      <c r="M28" s="18">
        <v>46.39</v>
      </c>
      <c r="N28" s="27">
        <v>30</v>
      </c>
      <c r="O28" s="19">
        <v>15</v>
      </c>
      <c r="P28" s="24">
        <v>10</v>
      </c>
      <c r="Q28" s="21">
        <f t="shared" ref="Q28:Q37" si="7">57294/N28/O28+33.51+20875.5/P28/O28</f>
        <v>300</v>
      </c>
      <c r="R28" s="9"/>
      <c r="S28" s="26" t="s">
        <v>37</v>
      </c>
      <c r="T28" s="18">
        <v>42.74</v>
      </c>
      <c r="U28" s="18">
        <v>10.51</v>
      </c>
      <c r="V28" s="18">
        <v>46.75</v>
      </c>
      <c r="W28" s="27">
        <v>30</v>
      </c>
      <c r="X28" s="19">
        <v>14</v>
      </c>
      <c r="Y28" s="24">
        <v>10</v>
      </c>
      <c r="Z28" s="21">
        <f t="shared" ref="Z28:Z37" si="8">57294/W28/X28+33.51+20875.5/Y28/X28</f>
        <v>319.03499999999997</v>
      </c>
    </row>
    <row r="29" spans="1:26" ht="10.5" customHeight="1" x14ac:dyDescent="0.25">
      <c r="A29" s="17" t="s">
        <v>38</v>
      </c>
      <c r="B29" s="18">
        <v>45.62</v>
      </c>
      <c r="C29" s="18">
        <v>12.82</v>
      </c>
      <c r="D29" s="18">
        <v>41.56</v>
      </c>
      <c r="E29" s="27">
        <v>30</v>
      </c>
      <c r="F29" s="19">
        <v>16</v>
      </c>
      <c r="G29" s="20">
        <v>12</v>
      </c>
      <c r="H29" s="21">
        <f t="shared" si="6"/>
        <v>261.5990625</v>
      </c>
      <c r="I29" s="16"/>
      <c r="J29" s="25" t="s">
        <v>38</v>
      </c>
      <c r="K29" s="18">
        <v>45.99</v>
      </c>
      <c r="L29" s="18">
        <v>12.11</v>
      </c>
      <c r="M29" s="18">
        <v>41.9</v>
      </c>
      <c r="N29" s="27">
        <v>30</v>
      </c>
      <c r="O29" s="19">
        <v>15</v>
      </c>
      <c r="P29" s="24">
        <v>12</v>
      </c>
      <c r="Q29" s="21">
        <f t="shared" si="7"/>
        <v>276.80499999999995</v>
      </c>
      <c r="R29" s="9"/>
      <c r="S29" s="26" t="s">
        <v>38</v>
      </c>
      <c r="T29" s="18">
        <v>46.36</v>
      </c>
      <c r="U29" s="18">
        <v>11.4</v>
      </c>
      <c r="V29" s="18">
        <v>42.24</v>
      </c>
      <c r="W29" s="27">
        <v>30</v>
      </c>
      <c r="X29" s="19">
        <v>14</v>
      </c>
      <c r="Y29" s="24">
        <v>12</v>
      </c>
      <c r="Z29" s="21">
        <f t="shared" si="8"/>
        <v>294.18321428571426</v>
      </c>
    </row>
    <row r="30" spans="1:26" ht="10.5" customHeight="1" x14ac:dyDescent="0.25">
      <c r="A30" s="17" t="s">
        <v>39</v>
      </c>
      <c r="B30" s="18">
        <v>48.52</v>
      </c>
      <c r="C30" s="18">
        <v>13.62</v>
      </c>
      <c r="D30" s="18">
        <v>37.86</v>
      </c>
      <c r="E30" s="27">
        <v>30</v>
      </c>
      <c r="F30" s="19">
        <v>16</v>
      </c>
      <c r="G30" s="20">
        <v>14</v>
      </c>
      <c r="H30" s="21">
        <f t="shared" si="6"/>
        <v>246.06669642857145</v>
      </c>
      <c r="I30" s="16"/>
      <c r="J30" s="25" t="s">
        <v>39</v>
      </c>
      <c r="K30" s="18">
        <v>48.92</v>
      </c>
      <c r="L30" s="18">
        <v>12.88</v>
      </c>
      <c r="M30" s="18">
        <v>38.200000000000003</v>
      </c>
      <c r="N30" s="27">
        <v>30</v>
      </c>
      <c r="O30" s="19">
        <v>15</v>
      </c>
      <c r="P30" s="24">
        <v>14</v>
      </c>
      <c r="Q30" s="21">
        <f t="shared" si="7"/>
        <v>260.23714285714283</v>
      </c>
      <c r="R30" s="9"/>
      <c r="S30" s="26" t="s">
        <v>39</v>
      </c>
      <c r="T30" s="18">
        <v>49.34</v>
      </c>
      <c r="U30" s="18">
        <v>12.13</v>
      </c>
      <c r="V30" s="18">
        <v>38.53</v>
      </c>
      <c r="W30" s="27">
        <v>30</v>
      </c>
      <c r="X30" s="19">
        <v>14</v>
      </c>
      <c r="Y30" s="24">
        <v>14</v>
      </c>
      <c r="Z30" s="21">
        <f t="shared" si="8"/>
        <v>276.43193877551016</v>
      </c>
    </row>
    <row r="31" spans="1:26" ht="10.5" customHeight="1" x14ac:dyDescent="0.25">
      <c r="A31" s="17" t="s">
        <v>40</v>
      </c>
      <c r="B31" s="18">
        <v>50.91</v>
      </c>
      <c r="C31" s="18">
        <v>14.3</v>
      </c>
      <c r="D31" s="18">
        <v>34.79</v>
      </c>
      <c r="E31" s="27">
        <v>30</v>
      </c>
      <c r="F31" s="19">
        <v>16</v>
      </c>
      <c r="G31" s="20">
        <v>16</v>
      </c>
      <c r="H31" s="21">
        <f t="shared" si="6"/>
        <v>234.417421875</v>
      </c>
      <c r="I31" s="16"/>
      <c r="J31" s="25" t="s">
        <v>40</v>
      </c>
      <c r="K31" s="18">
        <v>51.37</v>
      </c>
      <c r="L31" s="18">
        <v>13.53</v>
      </c>
      <c r="M31" s="18">
        <v>35.1</v>
      </c>
      <c r="N31" s="27">
        <v>30</v>
      </c>
      <c r="O31" s="19">
        <v>15</v>
      </c>
      <c r="P31" s="24">
        <v>16</v>
      </c>
      <c r="Q31" s="21">
        <f t="shared" si="7"/>
        <v>247.81124999999997</v>
      </c>
      <c r="R31" s="9"/>
      <c r="S31" s="26" t="s">
        <v>40</v>
      </c>
      <c r="T31" s="18">
        <v>51.84</v>
      </c>
      <c r="U31" s="18">
        <v>12.74</v>
      </c>
      <c r="V31" s="18">
        <v>35.42</v>
      </c>
      <c r="W31" s="27">
        <v>30</v>
      </c>
      <c r="X31" s="19">
        <v>14</v>
      </c>
      <c r="Y31" s="24">
        <v>16</v>
      </c>
      <c r="Z31" s="21">
        <f t="shared" si="8"/>
        <v>263.11848214285715</v>
      </c>
    </row>
    <row r="32" spans="1:26" ht="10.5" customHeight="1" x14ac:dyDescent="0.25">
      <c r="A32" s="17" t="s">
        <v>41</v>
      </c>
      <c r="B32" s="18">
        <v>52.96</v>
      </c>
      <c r="C32" s="18">
        <v>14.87</v>
      </c>
      <c r="D32" s="18">
        <v>32.17</v>
      </c>
      <c r="E32" s="27">
        <v>30</v>
      </c>
      <c r="F32" s="19">
        <v>16</v>
      </c>
      <c r="G32" s="20">
        <v>18</v>
      </c>
      <c r="H32" s="21">
        <f t="shared" si="6"/>
        <v>225.356875</v>
      </c>
      <c r="I32" s="16"/>
      <c r="J32" s="25" t="s">
        <v>41</v>
      </c>
      <c r="K32" s="18">
        <v>53.45</v>
      </c>
      <c r="L32" s="18">
        <v>14.08</v>
      </c>
      <c r="M32" s="18">
        <v>32.47</v>
      </c>
      <c r="N32" s="27">
        <v>30</v>
      </c>
      <c r="O32" s="19">
        <v>15</v>
      </c>
      <c r="P32" s="24">
        <v>18</v>
      </c>
      <c r="Q32" s="21">
        <f t="shared" si="7"/>
        <v>238.14666666666665</v>
      </c>
      <c r="R32" s="9"/>
      <c r="S32" s="26" t="s">
        <v>41</v>
      </c>
      <c r="T32" s="18">
        <v>53.96</v>
      </c>
      <c r="U32" s="18">
        <v>13.26</v>
      </c>
      <c r="V32" s="18">
        <v>32.78</v>
      </c>
      <c r="W32" s="27">
        <v>30</v>
      </c>
      <c r="X32" s="19">
        <v>14</v>
      </c>
      <c r="Y32" s="24">
        <v>18</v>
      </c>
      <c r="Z32" s="21">
        <f t="shared" si="8"/>
        <v>252.76357142857142</v>
      </c>
    </row>
    <row r="33" spans="1:26" ht="10.5" customHeight="1" x14ac:dyDescent="0.25">
      <c r="A33" s="17" t="s">
        <v>42</v>
      </c>
      <c r="B33" s="18">
        <v>54.72</v>
      </c>
      <c r="C33" s="18">
        <v>15.37</v>
      </c>
      <c r="D33" s="18">
        <v>29.91</v>
      </c>
      <c r="E33" s="27">
        <v>30</v>
      </c>
      <c r="F33" s="19">
        <v>16</v>
      </c>
      <c r="G33" s="20">
        <v>20</v>
      </c>
      <c r="H33" s="21">
        <f t="shared" si="6"/>
        <v>218.10843750000001</v>
      </c>
      <c r="I33" s="16"/>
      <c r="J33" s="25" t="s">
        <v>42</v>
      </c>
      <c r="K33" s="18">
        <v>55.25</v>
      </c>
      <c r="L33" s="18">
        <v>14.55</v>
      </c>
      <c r="M33" s="18">
        <v>30.2</v>
      </c>
      <c r="N33" s="27">
        <v>30</v>
      </c>
      <c r="O33" s="19">
        <v>15</v>
      </c>
      <c r="P33" s="24">
        <v>20</v>
      </c>
      <c r="Q33" s="21">
        <f t="shared" si="7"/>
        <v>230.41499999999999</v>
      </c>
      <c r="R33" s="9"/>
      <c r="S33" s="26" t="s">
        <v>42</v>
      </c>
      <c r="T33" s="18">
        <v>55.79</v>
      </c>
      <c r="U33" s="18">
        <v>13.71</v>
      </c>
      <c r="V33" s="18">
        <v>30.5</v>
      </c>
      <c r="W33" s="27">
        <v>30</v>
      </c>
      <c r="X33" s="19">
        <v>14</v>
      </c>
      <c r="Y33" s="24">
        <v>20</v>
      </c>
      <c r="Z33" s="21">
        <f t="shared" si="8"/>
        <v>244.47964285714284</v>
      </c>
    </row>
    <row r="34" spans="1:26" ht="10.5" customHeight="1" x14ac:dyDescent="0.25">
      <c r="A34" s="17" t="s">
        <v>43</v>
      </c>
      <c r="B34" s="18">
        <v>57.59</v>
      </c>
      <c r="C34" s="18">
        <v>16.18</v>
      </c>
      <c r="D34" s="18">
        <v>26.23</v>
      </c>
      <c r="E34" s="27">
        <v>30</v>
      </c>
      <c r="F34" s="19">
        <v>16</v>
      </c>
      <c r="G34" s="20">
        <v>24</v>
      </c>
      <c r="H34" s="21">
        <f t="shared" si="6"/>
        <v>207.23578125</v>
      </c>
      <c r="I34" s="16"/>
      <c r="J34" s="25" t="s">
        <v>43</v>
      </c>
      <c r="K34" s="18">
        <v>58.18</v>
      </c>
      <c r="L34" s="18">
        <v>15.32</v>
      </c>
      <c r="M34" s="18">
        <v>26.5</v>
      </c>
      <c r="N34" s="27">
        <v>30</v>
      </c>
      <c r="O34" s="19">
        <v>15</v>
      </c>
      <c r="P34" s="24">
        <v>24</v>
      </c>
      <c r="Q34" s="21">
        <f t="shared" si="7"/>
        <v>218.8175</v>
      </c>
      <c r="R34" s="9"/>
      <c r="S34" s="26" t="s">
        <v>43</v>
      </c>
      <c r="T34" s="18">
        <v>58.77</v>
      </c>
      <c r="U34" s="18">
        <v>14.45</v>
      </c>
      <c r="V34" s="18">
        <v>26.78</v>
      </c>
      <c r="W34" s="27">
        <v>30</v>
      </c>
      <c r="X34" s="19">
        <v>14</v>
      </c>
      <c r="Y34" s="24">
        <v>24</v>
      </c>
      <c r="Z34" s="21">
        <f t="shared" si="8"/>
        <v>232.05374999999998</v>
      </c>
    </row>
    <row r="35" spans="1:26" ht="10.5" customHeight="1" x14ac:dyDescent="0.25">
      <c r="A35" s="17" t="s">
        <v>44</v>
      </c>
      <c r="B35" s="18">
        <v>58.77</v>
      </c>
      <c r="C35" s="18">
        <v>16.510000000000002</v>
      </c>
      <c r="D35" s="18">
        <v>24.72</v>
      </c>
      <c r="E35" s="27">
        <v>30</v>
      </c>
      <c r="F35" s="19">
        <v>16</v>
      </c>
      <c r="G35" s="20">
        <v>26</v>
      </c>
      <c r="H35" s="21">
        <f t="shared" si="6"/>
        <v>203.05399038461539</v>
      </c>
      <c r="I35" s="16"/>
      <c r="J35" s="25" t="s">
        <v>44</v>
      </c>
      <c r="K35" s="18">
        <v>59.39</v>
      </c>
      <c r="L35" s="18">
        <v>15.64</v>
      </c>
      <c r="M35" s="18">
        <v>24.97</v>
      </c>
      <c r="N35" s="27">
        <v>30</v>
      </c>
      <c r="O35" s="19">
        <v>15</v>
      </c>
      <c r="P35" s="24">
        <v>26</v>
      </c>
      <c r="Q35" s="21">
        <f t="shared" si="7"/>
        <v>214.35692307692307</v>
      </c>
      <c r="R35" s="9"/>
      <c r="S35" s="26" t="s">
        <v>44</v>
      </c>
      <c r="T35" s="18">
        <v>60.01</v>
      </c>
      <c r="U35" s="18">
        <v>14.75</v>
      </c>
      <c r="V35" s="18">
        <v>25.24</v>
      </c>
      <c r="W35" s="27">
        <v>30</v>
      </c>
      <c r="X35" s="19">
        <v>14</v>
      </c>
      <c r="Y35" s="24">
        <v>26</v>
      </c>
      <c r="Z35" s="21">
        <f t="shared" si="8"/>
        <v>227.27456043956045</v>
      </c>
    </row>
    <row r="36" spans="1:26" ht="10.5" customHeight="1" x14ac:dyDescent="0.25">
      <c r="A36" s="17" t="s">
        <v>45</v>
      </c>
      <c r="B36" s="18">
        <v>59.83</v>
      </c>
      <c r="C36" s="18">
        <v>16.809999999999999</v>
      </c>
      <c r="D36" s="18">
        <v>23.36</v>
      </c>
      <c r="E36" s="27">
        <v>30</v>
      </c>
      <c r="F36" s="19">
        <v>16</v>
      </c>
      <c r="G36" s="20">
        <v>28</v>
      </c>
      <c r="H36" s="21">
        <f t="shared" si="6"/>
        <v>199.46959821428572</v>
      </c>
      <c r="I36" s="16"/>
      <c r="J36" s="25" t="s">
        <v>45</v>
      </c>
      <c r="K36" s="18">
        <v>60.47</v>
      </c>
      <c r="L36" s="18">
        <v>15.92</v>
      </c>
      <c r="M36" s="18">
        <v>23.61</v>
      </c>
      <c r="N36" s="27">
        <v>30</v>
      </c>
      <c r="O36" s="19">
        <v>15</v>
      </c>
      <c r="P36" s="24">
        <v>28</v>
      </c>
      <c r="Q36" s="21">
        <f t="shared" si="7"/>
        <v>210.53357142857141</v>
      </c>
      <c r="R36" s="9"/>
      <c r="S36" s="26" t="s">
        <v>45</v>
      </c>
      <c r="T36" s="18">
        <v>61.11</v>
      </c>
      <c r="U36" s="18">
        <v>15.02</v>
      </c>
      <c r="V36" s="18">
        <v>23.87</v>
      </c>
      <c r="W36" s="27">
        <v>30</v>
      </c>
      <c r="X36" s="19">
        <v>14</v>
      </c>
      <c r="Y36" s="24">
        <v>28</v>
      </c>
      <c r="Z36" s="21">
        <f t="shared" si="8"/>
        <v>223.17811224489793</v>
      </c>
    </row>
    <row r="37" spans="1:26" ht="10.5" customHeight="1" x14ac:dyDescent="0.25">
      <c r="A37" s="17" t="s">
        <v>46</v>
      </c>
      <c r="B37" s="18">
        <v>60.78</v>
      </c>
      <c r="C37" s="18">
        <v>17.07</v>
      </c>
      <c r="D37" s="18">
        <v>22.15</v>
      </c>
      <c r="E37" s="27">
        <v>30</v>
      </c>
      <c r="F37" s="19">
        <v>16</v>
      </c>
      <c r="G37" s="20">
        <v>30</v>
      </c>
      <c r="H37" s="21">
        <f t="shared" si="6"/>
        <v>196.363125</v>
      </c>
      <c r="I37" s="16"/>
      <c r="J37" s="25" t="s">
        <v>46</v>
      </c>
      <c r="K37" s="18">
        <v>61.43</v>
      </c>
      <c r="L37" s="18">
        <v>16.18</v>
      </c>
      <c r="M37" s="18">
        <v>22.39</v>
      </c>
      <c r="N37" s="27">
        <v>30</v>
      </c>
      <c r="O37" s="19">
        <v>15</v>
      </c>
      <c r="P37" s="24">
        <v>30</v>
      </c>
      <c r="Q37" s="21">
        <f t="shared" si="7"/>
        <v>207.21999999999997</v>
      </c>
      <c r="R37" s="9"/>
      <c r="S37" s="26" t="s">
        <v>46</v>
      </c>
      <c r="T37" s="18">
        <v>62.11</v>
      </c>
      <c r="U37" s="18">
        <v>15.26</v>
      </c>
      <c r="V37" s="18">
        <v>22.63</v>
      </c>
      <c r="W37" s="27">
        <v>30</v>
      </c>
      <c r="X37" s="19">
        <v>14</v>
      </c>
      <c r="Y37" s="24">
        <v>30</v>
      </c>
      <c r="Z37" s="21">
        <f t="shared" si="8"/>
        <v>219.62785714285712</v>
      </c>
    </row>
    <row r="38" spans="1:26" ht="10.5" customHeight="1" x14ac:dyDescent="0.25">
      <c r="A38" s="22"/>
      <c r="B38" s="23"/>
      <c r="C38" s="23"/>
      <c r="D38" s="23"/>
      <c r="E38" s="24"/>
      <c r="F38" s="24"/>
      <c r="G38" s="24"/>
      <c r="H38" s="23"/>
      <c r="I38" s="16"/>
      <c r="J38" s="22"/>
      <c r="K38" s="23"/>
      <c r="L38" s="23"/>
      <c r="M38" s="23"/>
      <c r="N38" s="23"/>
      <c r="O38" s="23"/>
      <c r="P38" s="23"/>
      <c r="Q38" s="23"/>
      <c r="R38" s="9"/>
      <c r="S38" s="22"/>
      <c r="T38" s="23"/>
      <c r="U38" s="23"/>
      <c r="V38" s="23"/>
      <c r="W38" s="23"/>
      <c r="X38" s="23"/>
      <c r="Y38" s="23"/>
      <c r="Z38" s="23"/>
    </row>
    <row r="39" spans="1:26" ht="10.5" customHeight="1" x14ac:dyDescent="0.25">
      <c r="A39" s="17" t="s">
        <v>47</v>
      </c>
      <c r="B39" s="18">
        <v>43.81</v>
      </c>
      <c r="C39" s="18">
        <v>11.49</v>
      </c>
      <c r="D39" s="18">
        <v>44.7</v>
      </c>
      <c r="E39" s="27">
        <v>28</v>
      </c>
      <c r="F39" s="19">
        <v>16</v>
      </c>
      <c r="G39" s="20">
        <v>10</v>
      </c>
      <c r="H39" s="21">
        <f t="shared" ref="H39:H48" si="9">57294/E39/F39+33.51+20875.5/G39/F39</f>
        <v>291.87026785714284</v>
      </c>
      <c r="I39" s="16"/>
      <c r="J39" s="25" t="s">
        <v>47</v>
      </c>
      <c r="K39" s="18">
        <v>44.13</v>
      </c>
      <c r="L39" s="18">
        <v>10.85</v>
      </c>
      <c r="M39" s="18">
        <v>45.02</v>
      </c>
      <c r="N39" s="27">
        <v>28</v>
      </c>
      <c r="O39" s="19">
        <v>15</v>
      </c>
      <c r="P39" s="20">
        <v>10</v>
      </c>
      <c r="Q39" s="21">
        <f t="shared" ref="Q39:Q48" si="10">57294/N39/O39+33.51+20875.5/P39/O39</f>
        <v>309.09428571428572</v>
      </c>
      <c r="R39" s="9"/>
      <c r="S39" s="26" t="s">
        <v>47</v>
      </c>
      <c r="T39" s="18">
        <v>44.45</v>
      </c>
      <c r="U39" s="18">
        <v>10.199999999999999</v>
      </c>
      <c r="V39" s="18">
        <v>45.35</v>
      </c>
      <c r="W39" s="27">
        <v>28</v>
      </c>
      <c r="X39" s="19">
        <v>14</v>
      </c>
      <c r="Y39" s="20">
        <v>10</v>
      </c>
      <c r="Z39" s="21">
        <f t="shared" ref="Z39:Z48" si="11">57294/W39/X39+33.51+20875.5/Y39/X39</f>
        <v>328.7788775510204</v>
      </c>
    </row>
    <row r="40" spans="1:26" ht="10.5" customHeight="1" x14ac:dyDescent="0.25">
      <c r="A40" s="17" t="s">
        <v>48</v>
      </c>
      <c r="B40" s="18">
        <v>47.34</v>
      </c>
      <c r="C40" s="18">
        <v>12.41</v>
      </c>
      <c r="D40" s="18">
        <v>40.25</v>
      </c>
      <c r="E40" s="27">
        <v>28</v>
      </c>
      <c r="F40" s="19">
        <v>16</v>
      </c>
      <c r="G40" s="20">
        <v>12</v>
      </c>
      <c r="H40" s="21">
        <f t="shared" si="9"/>
        <v>270.12495535714288</v>
      </c>
      <c r="I40" s="16"/>
      <c r="J40" s="25" t="s">
        <v>48</v>
      </c>
      <c r="K40" s="18">
        <v>47.71</v>
      </c>
      <c r="L40" s="18">
        <v>11.72</v>
      </c>
      <c r="M40" s="18">
        <v>40.57</v>
      </c>
      <c r="N40" s="27">
        <v>28</v>
      </c>
      <c r="O40" s="19">
        <v>15</v>
      </c>
      <c r="P40" s="20">
        <v>12</v>
      </c>
      <c r="Q40" s="21">
        <f t="shared" si="10"/>
        <v>285.89928571428572</v>
      </c>
      <c r="R40" s="9"/>
      <c r="S40" s="26" t="s">
        <v>48</v>
      </c>
      <c r="T40" s="18">
        <v>48.08</v>
      </c>
      <c r="U40" s="18">
        <v>11.03</v>
      </c>
      <c r="V40" s="18">
        <v>40.89</v>
      </c>
      <c r="W40" s="27">
        <v>28</v>
      </c>
      <c r="X40" s="19">
        <v>14</v>
      </c>
      <c r="Y40" s="20">
        <v>12</v>
      </c>
      <c r="Z40" s="21">
        <f t="shared" si="11"/>
        <v>303.92709183673469</v>
      </c>
    </row>
    <row r="41" spans="1:26" ht="10.5" customHeight="1" x14ac:dyDescent="0.25">
      <c r="A41" s="17" t="s">
        <v>49</v>
      </c>
      <c r="B41" s="18">
        <v>50.22</v>
      </c>
      <c r="C41" s="18">
        <v>13.17</v>
      </c>
      <c r="D41" s="18">
        <v>36.61</v>
      </c>
      <c r="E41" s="27">
        <v>28</v>
      </c>
      <c r="F41" s="19">
        <v>16</v>
      </c>
      <c r="G41" s="20">
        <v>14</v>
      </c>
      <c r="H41" s="21">
        <f t="shared" si="9"/>
        <v>254.59258928571427</v>
      </c>
      <c r="I41" s="16"/>
      <c r="J41" s="25" t="s">
        <v>49</v>
      </c>
      <c r="K41" s="18">
        <v>50.64</v>
      </c>
      <c r="L41" s="18">
        <v>12.45</v>
      </c>
      <c r="M41" s="18">
        <v>36.909999999999997</v>
      </c>
      <c r="N41" s="27">
        <v>28</v>
      </c>
      <c r="O41" s="19">
        <v>15</v>
      </c>
      <c r="P41" s="20">
        <v>14</v>
      </c>
      <c r="Q41" s="21">
        <f t="shared" si="10"/>
        <v>269.33142857142855</v>
      </c>
      <c r="R41" s="9"/>
      <c r="S41" s="26" t="s">
        <v>49</v>
      </c>
      <c r="T41" s="18">
        <v>51.06</v>
      </c>
      <c r="U41" s="18">
        <v>11.72</v>
      </c>
      <c r="V41" s="18">
        <v>37.22</v>
      </c>
      <c r="W41" s="27">
        <v>28</v>
      </c>
      <c r="X41" s="19">
        <v>14</v>
      </c>
      <c r="Y41" s="20">
        <v>14</v>
      </c>
      <c r="Z41" s="21">
        <f t="shared" si="11"/>
        <v>286.17581632653059</v>
      </c>
    </row>
    <row r="42" spans="1:26" ht="10.5" customHeight="1" x14ac:dyDescent="0.25">
      <c r="A42" s="17" t="s">
        <v>50</v>
      </c>
      <c r="B42" s="18">
        <v>52.63</v>
      </c>
      <c r="C42" s="18">
        <v>13.8</v>
      </c>
      <c r="D42" s="18">
        <v>33.57</v>
      </c>
      <c r="E42" s="27">
        <v>28</v>
      </c>
      <c r="F42" s="19">
        <v>16</v>
      </c>
      <c r="G42" s="20">
        <v>16</v>
      </c>
      <c r="H42" s="21">
        <f t="shared" si="9"/>
        <v>242.94331473214285</v>
      </c>
      <c r="I42" s="16"/>
      <c r="J42" s="25" t="s">
        <v>50</v>
      </c>
      <c r="K42" s="18">
        <v>53.09</v>
      </c>
      <c r="L42" s="18">
        <v>13.05</v>
      </c>
      <c r="M42" s="18">
        <v>33.86</v>
      </c>
      <c r="N42" s="27">
        <v>28</v>
      </c>
      <c r="O42" s="19">
        <v>15</v>
      </c>
      <c r="P42" s="20">
        <v>16</v>
      </c>
      <c r="Q42" s="21">
        <f t="shared" si="10"/>
        <v>256.90553571428569</v>
      </c>
      <c r="R42" s="9"/>
      <c r="S42" s="26" t="s">
        <v>50</v>
      </c>
      <c r="T42" s="18">
        <v>53.56</v>
      </c>
      <c r="U42" s="18">
        <v>12.28</v>
      </c>
      <c r="V42" s="18">
        <v>34.159999999999997</v>
      </c>
      <c r="W42" s="27">
        <v>28</v>
      </c>
      <c r="X42" s="19">
        <v>14</v>
      </c>
      <c r="Y42" s="20">
        <v>16</v>
      </c>
      <c r="Z42" s="21">
        <f t="shared" si="11"/>
        <v>272.86235969387752</v>
      </c>
    </row>
    <row r="43" spans="1:26" ht="10.5" customHeight="1" x14ac:dyDescent="0.25">
      <c r="A43" s="17" t="s">
        <v>51</v>
      </c>
      <c r="B43" s="18">
        <v>54.67</v>
      </c>
      <c r="C43" s="18">
        <v>14.33</v>
      </c>
      <c r="D43" s="18">
        <v>30.99</v>
      </c>
      <c r="E43" s="27">
        <v>28</v>
      </c>
      <c r="F43" s="19">
        <v>16</v>
      </c>
      <c r="G43" s="20">
        <v>18</v>
      </c>
      <c r="H43" s="21">
        <f t="shared" si="9"/>
        <v>233.88276785714285</v>
      </c>
      <c r="I43" s="16"/>
      <c r="J43" s="25" t="s">
        <v>51</v>
      </c>
      <c r="K43" s="18">
        <v>55.17</v>
      </c>
      <c r="L43" s="18">
        <v>13.56</v>
      </c>
      <c r="M43" s="18">
        <v>31.27</v>
      </c>
      <c r="N43" s="27">
        <v>28</v>
      </c>
      <c r="O43" s="19">
        <v>15</v>
      </c>
      <c r="P43" s="20">
        <v>18</v>
      </c>
      <c r="Q43" s="21">
        <f t="shared" si="10"/>
        <v>247.24095238095236</v>
      </c>
      <c r="R43" s="9"/>
      <c r="S43" s="26" t="s">
        <v>51</v>
      </c>
      <c r="T43" s="18">
        <v>55.67</v>
      </c>
      <c r="U43" s="18">
        <v>12.77</v>
      </c>
      <c r="V43" s="18">
        <v>31.56</v>
      </c>
      <c r="W43" s="27">
        <v>28</v>
      </c>
      <c r="X43" s="19">
        <v>14</v>
      </c>
      <c r="Y43" s="20">
        <v>18</v>
      </c>
      <c r="Z43" s="21">
        <f t="shared" si="11"/>
        <v>262.5074489795918</v>
      </c>
    </row>
    <row r="44" spans="1:26" ht="10.5" customHeight="1" x14ac:dyDescent="0.25">
      <c r="A44" s="17" t="s">
        <v>52</v>
      </c>
      <c r="B44" s="18">
        <v>56.42</v>
      </c>
      <c r="C44" s="18">
        <v>14.79</v>
      </c>
      <c r="D44" s="18">
        <v>28.79</v>
      </c>
      <c r="E44" s="27">
        <v>28</v>
      </c>
      <c r="F44" s="19">
        <v>16</v>
      </c>
      <c r="G44" s="20">
        <v>20</v>
      </c>
      <c r="H44" s="21">
        <f t="shared" si="9"/>
        <v>226.63433035714286</v>
      </c>
      <c r="I44" s="16"/>
      <c r="J44" s="25" t="s">
        <v>52</v>
      </c>
      <c r="K44" s="18">
        <v>56.95</v>
      </c>
      <c r="L44" s="18">
        <v>14</v>
      </c>
      <c r="M44" s="18">
        <v>29.06</v>
      </c>
      <c r="N44" s="27">
        <v>28</v>
      </c>
      <c r="O44" s="19">
        <v>15</v>
      </c>
      <c r="P44" s="20">
        <v>20</v>
      </c>
      <c r="Q44" s="21">
        <f t="shared" si="10"/>
        <v>239.50928571428571</v>
      </c>
      <c r="R44" s="9"/>
      <c r="S44" s="26" t="s">
        <v>52</v>
      </c>
      <c r="T44" s="18">
        <v>57.48</v>
      </c>
      <c r="U44" s="18">
        <v>13.19</v>
      </c>
      <c r="V44" s="18">
        <v>29.33</v>
      </c>
      <c r="W44" s="27">
        <v>28</v>
      </c>
      <c r="X44" s="19">
        <v>14</v>
      </c>
      <c r="Y44" s="20">
        <v>20</v>
      </c>
      <c r="Z44" s="21">
        <f t="shared" si="11"/>
        <v>254.22352040816327</v>
      </c>
    </row>
    <row r="45" spans="1:26" ht="10.5" customHeight="1" x14ac:dyDescent="0.25">
      <c r="A45" s="17" t="s">
        <v>53</v>
      </c>
      <c r="B45" s="18">
        <v>59.26</v>
      </c>
      <c r="C45" s="18">
        <v>15.54</v>
      </c>
      <c r="D45" s="18">
        <v>25.2</v>
      </c>
      <c r="E45" s="27">
        <v>28</v>
      </c>
      <c r="F45" s="19">
        <v>16</v>
      </c>
      <c r="G45" s="20">
        <v>24</v>
      </c>
      <c r="H45" s="21">
        <f t="shared" si="9"/>
        <v>215.76167410714285</v>
      </c>
      <c r="I45" s="16"/>
      <c r="J45" s="25" t="s">
        <v>53</v>
      </c>
      <c r="K45" s="18">
        <v>59.84</v>
      </c>
      <c r="L45" s="18">
        <v>14.71</v>
      </c>
      <c r="M45" s="18">
        <v>25.45</v>
      </c>
      <c r="N45" s="27">
        <v>28</v>
      </c>
      <c r="O45" s="19">
        <v>15</v>
      </c>
      <c r="P45" s="20">
        <v>24</v>
      </c>
      <c r="Q45" s="21">
        <f t="shared" si="10"/>
        <v>227.91178571428571</v>
      </c>
      <c r="R45" s="9"/>
      <c r="S45" s="26" t="s">
        <v>53</v>
      </c>
      <c r="T45" s="18">
        <v>60.44</v>
      </c>
      <c r="U45" s="18">
        <v>13.86</v>
      </c>
      <c r="V45" s="18">
        <v>25.7</v>
      </c>
      <c r="W45" s="27">
        <v>28</v>
      </c>
      <c r="X45" s="19">
        <v>14</v>
      </c>
      <c r="Y45" s="20">
        <v>24</v>
      </c>
      <c r="Z45" s="21">
        <f t="shared" si="11"/>
        <v>241.79762755102038</v>
      </c>
    </row>
    <row r="46" spans="1:26" ht="10.5" customHeight="1" x14ac:dyDescent="0.25">
      <c r="A46" s="17" t="s">
        <v>54</v>
      </c>
      <c r="B46" s="18">
        <v>60.44</v>
      </c>
      <c r="C46" s="18">
        <v>15.85</v>
      </c>
      <c r="D46" s="18">
        <v>23.72</v>
      </c>
      <c r="E46" s="27">
        <v>28</v>
      </c>
      <c r="F46" s="19">
        <v>16</v>
      </c>
      <c r="G46" s="20">
        <v>26</v>
      </c>
      <c r="H46" s="21">
        <f t="shared" si="9"/>
        <v>211.57988324175824</v>
      </c>
      <c r="I46" s="16"/>
      <c r="J46" s="25" t="s">
        <v>54</v>
      </c>
      <c r="K46" s="18">
        <v>61.04</v>
      </c>
      <c r="L46" s="18">
        <v>15</v>
      </c>
      <c r="M46" s="18">
        <v>23.96</v>
      </c>
      <c r="N46" s="27">
        <v>28</v>
      </c>
      <c r="O46" s="19">
        <v>15</v>
      </c>
      <c r="P46" s="20">
        <v>26</v>
      </c>
      <c r="Q46" s="21">
        <f t="shared" si="10"/>
        <v>223.45120879120878</v>
      </c>
      <c r="R46" s="9"/>
      <c r="S46" s="26" t="s">
        <v>54</v>
      </c>
      <c r="T46" s="18">
        <v>61.66</v>
      </c>
      <c r="U46" s="18">
        <v>14.14</v>
      </c>
      <c r="V46" s="18">
        <v>24.2</v>
      </c>
      <c r="W46" s="27">
        <v>28</v>
      </c>
      <c r="X46" s="19">
        <v>14</v>
      </c>
      <c r="Y46" s="20">
        <v>26</v>
      </c>
      <c r="Z46" s="21">
        <f t="shared" si="11"/>
        <v>237.01843799058082</v>
      </c>
    </row>
    <row r="47" spans="1:26" ht="10.5" customHeight="1" x14ac:dyDescent="0.25">
      <c r="A47" s="17" t="s">
        <v>55</v>
      </c>
      <c r="B47" s="18">
        <v>61.48</v>
      </c>
      <c r="C47" s="18">
        <v>16.12</v>
      </c>
      <c r="D47" s="18">
        <v>22.4</v>
      </c>
      <c r="E47" s="27">
        <v>28</v>
      </c>
      <c r="F47" s="19">
        <v>16</v>
      </c>
      <c r="G47" s="20">
        <v>28</v>
      </c>
      <c r="H47" s="21">
        <f t="shared" si="9"/>
        <v>207.99549107142857</v>
      </c>
      <c r="I47" s="16"/>
      <c r="J47" s="25" t="s">
        <v>55</v>
      </c>
      <c r="K47" s="18">
        <v>62.1</v>
      </c>
      <c r="L47" s="18">
        <v>15.26</v>
      </c>
      <c r="M47" s="18">
        <v>22.63</v>
      </c>
      <c r="N47" s="27">
        <v>28</v>
      </c>
      <c r="O47" s="19">
        <v>15</v>
      </c>
      <c r="P47" s="20">
        <v>28</v>
      </c>
      <c r="Q47" s="21">
        <f t="shared" si="10"/>
        <v>219.62785714285712</v>
      </c>
      <c r="R47" s="9"/>
      <c r="S47" s="26" t="s">
        <v>55</v>
      </c>
      <c r="T47" s="18">
        <v>62.74</v>
      </c>
      <c r="U47" s="18">
        <v>14.39</v>
      </c>
      <c r="V47" s="18">
        <v>22.87</v>
      </c>
      <c r="W47" s="27">
        <v>28</v>
      </c>
      <c r="X47" s="19">
        <v>14</v>
      </c>
      <c r="Y47" s="20">
        <v>28</v>
      </c>
      <c r="Z47" s="21">
        <f t="shared" si="11"/>
        <v>232.92198979591836</v>
      </c>
    </row>
    <row r="48" spans="1:26" ht="10.5" customHeight="1" x14ac:dyDescent="0.25">
      <c r="A48" s="17" t="s">
        <v>56</v>
      </c>
      <c r="B48" s="18">
        <v>62.41</v>
      </c>
      <c r="C48" s="18">
        <v>16.36</v>
      </c>
      <c r="D48" s="18">
        <v>21.23</v>
      </c>
      <c r="E48" s="27">
        <v>28</v>
      </c>
      <c r="F48" s="19">
        <v>16</v>
      </c>
      <c r="G48" s="20">
        <v>30</v>
      </c>
      <c r="H48" s="21">
        <f t="shared" si="9"/>
        <v>204.88901785714285</v>
      </c>
      <c r="I48" s="16"/>
      <c r="J48" s="25" t="s">
        <v>56</v>
      </c>
      <c r="K48" s="18">
        <v>63.05</v>
      </c>
      <c r="L48" s="18">
        <v>15.5</v>
      </c>
      <c r="M48" s="18">
        <v>21.45</v>
      </c>
      <c r="N48" s="27">
        <v>28</v>
      </c>
      <c r="O48" s="19">
        <v>15</v>
      </c>
      <c r="P48" s="20">
        <v>30</v>
      </c>
      <c r="Q48" s="21">
        <f t="shared" si="10"/>
        <v>216.31428571428569</v>
      </c>
      <c r="R48" s="9"/>
      <c r="S48" s="26" t="s">
        <v>56</v>
      </c>
      <c r="T48" s="18">
        <v>63.71</v>
      </c>
      <c r="U48" s="18">
        <v>14.62</v>
      </c>
      <c r="V48" s="18">
        <v>21.67</v>
      </c>
      <c r="W48" s="27">
        <v>28</v>
      </c>
      <c r="X48" s="19">
        <v>14</v>
      </c>
      <c r="Y48" s="20">
        <v>30</v>
      </c>
      <c r="Z48" s="21">
        <f t="shared" si="11"/>
        <v>229.37173469387753</v>
      </c>
    </row>
    <row r="49" spans="1:26" ht="10.5" customHeight="1" x14ac:dyDescent="0.25">
      <c r="A49" s="28"/>
      <c r="B49" s="23"/>
      <c r="C49" s="23"/>
      <c r="D49" s="23"/>
      <c r="E49" s="24"/>
      <c r="F49" s="24"/>
      <c r="G49" s="20"/>
      <c r="H49" s="23"/>
      <c r="I49" s="16"/>
      <c r="J49" s="28"/>
      <c r="K49" s="23"/>
      <c r="L49" s="23"/>
      <c r="M49" s="23"/>
      <c r="N49" s="24"/>
      <c r="O49" s="23"/>
      <c r="P49" s="20"/>
      <c r="Q49" s="23"/>
      <c r="R49" s="9"/>
      <c r="S49" s="28"/>
      <c r="T49" s="23"/>
      <c r="U49" s="23"/>
      <c r="V49" s="23"/>
      <c r="W49" s="24"/>
      <c r="X49" s="23"/>
      <c r="Y49" s="20"/>
      <c r="Z49" s="23"/>
    </row>
    <row r="50" spans="1:26" ht="10.5" customHeight="1" x14ac:dyDescent="0.25">
      <c r="A50" s="17" t="s">
        <v>57</v>
      </c>
      <c r="B50" s="18">
        <v>45.64</v>
      </c>
      <c r="C50" s="18">
        <v>11.11</v>
      </c>
      <c r="D50" s="18">
        <v>43.25</v>
      </c>
      <c r="E50" s="27">
        <v>26</v>
      </c>
      <c r="F50" s="19">
        <v>16</v>
      </c>
      <c r="G50" s="20">
        <v>10</v>
      </c>
      <c r="H50" s="21">
        <f t="shared" ref="H50:H59" si="12">57294/E50/F50+33.51+20875.5/G50/F50</f>
        <v>301.70783653846155</v>
      </c>
      <c r="I50" s="16"/>
      <c r="J50" s="25" t="s">
        <v>57</v>
      </c>
      <c r="K50" s="18">
        <v>45.96</v>
      </c>
      <c r="L50" s="18">
        <v>10.49</v>
      </c>
      <c r="M50" s="18">
        <v>43.55</v>
      </c>
      <c r="N50" s="27">
        <v>26</v>
      </c>
      <c r="O50" s="19">
        <v>15</v>
      </c>
      <c r="P50" s="20">
        <v>10</v>
      </c>
      <c r="Q50" s="21">
        <f t="shared" ref="Q50:Q59" si="13">57294/N50/O50+33.51+20875.5/P50/O50</f>
        <v>319.58769230769235</v>
      </c>
      <c r="R50" s="9"/>
      <c r="S50" s="26" t="s">
        <v>57</v>
      </c>
      <c r="T50" s="18">
        <v>46.28</v>
      </c>
      <c r="U50" s="18">
        <v>9.86</v>
      </c>
      <c r="V50" s="18">
        <v>43.86</v>
      </c>
      <c r="W50" s="27">
        <v>26</v>
      </c>
      <c r="X50" s="19">
        <v>14</v>
      </c>
      <c r="Y50" s="20">
        <v>10</v>
      </c>
      <c r="Z50" s="21">
        <f t="shared" ref="Z50:Z59" si="14">57294/W50/X50+33.51+20875.5/Y50/X50</f>
        <v>340.02181318681323</v>
      </c>
    </row>
    <row r="51" spans="1:26" ht="10.5" customHeight="1" x14ac:dyDescent="0.25">
      <c r="A51" s="17" t="s">
        <v>58</v>
      </c>
      <c r="B51" s="18">
        <v>49.19</v>
      </c>
      <c r="C51" s="18">
        <v>11.97</v>
      </c>
      <c r="D51" s="18">
        <v>38.840000000000003</v>
      </c>
      <c r="E51" s="27">
        <v>26</v>
      </c>
      <c r="F51" s="19">
        <v>16</v>
      </c>
      <c r="G51" s="20">
        <v>12</v>
      </c>
      <c r="H51" s="21">
        <f t="shared" si="12"/>
        <v>279.96252403846154</v>
      </c>
      <c r="I51" s="16"/>
      <c r="J51" s="25" t="s">
        <v>58</v>
      </c>
      <c r="K51" s="18">
        <v>49.56</v>
      </c>
      <c r="L51" s="18">
        <v>11.31</v>
      </c>
      <c r="M51" s="18">
        <v>39.130000000000003</v>
      </c>
      <c r="N51" s="27">
        <v>26</v>
      </c>
      <c r="O51" s="19">
        <v>15</v>
      </c>
      <c r="P51" s="20">
        <v>12</v>
      </c>
      <c r="Q51" s="21">
        <f t="shared" si="13"/>
        <v>296.3926923076923</v>
      </c>
      <c r="R51" s="9"/>
      <c r="S51" s="26" t="s">
        <v>58</v>
      </c>
      <c r="T51" s="18">
        <v>49.93</v>
      </c>
      <c r="U51" s="18">
        <v>10.64</v>
      </c>
      <c r="V51" s="18">
        <v>39.43</v>
      </c>
      <c r="W51" s="27">
        <v>26</v>
      </c>
      <c r="X51" s="19">
        <v>14</v>
      </c>
      <c r="Y51" s="20">
        <v>12</v>
      </c>
      <c r="Z51" s="21">
        <f t="shared" si="14"/>
        <v>315.17002747252747</v>
      </c>
    </row>
    <row r="52" spans="1:26" ht="10.5" customHeight="1" x14ac:dyDescent="0.25">
      <c r="A52" s="17" t="s">
        <v>59</v>
      </c>
      <c r="B52" s="18">
        <v>52.08</v>
      </c>
      <c r="C52" s="18">
        <v>12.67</v>
      </c>
      <c r="D52" s="18">
        <v>35.25</v>
      </c>
      <c r="E52" s="27">
        <v>26</v>
      </c>
      <c r="F52" s="19">
        <v>16</v>
      </c>
      <c r="G52" s="20">
        <v>14</v>
      </c>
      <c r="H52" s="21">
        <f t="shared" si="12"/>
        <v>264.43015796703298</v>
      </c>
      <c r="I52" s="16"/>
      <c r="J52" s="25" t="s">
        <v>59</v>
      </c>
      <c r="K52" s="18">
        <v>52.49</v>
      </c>
      <c r="L52" s="18">
        <v>11.98</v>
      </c>
      <c r="M52" s="18">
        <v>35.53</v>
      </c>
      <c r="N52" s="27">
        <v>26</v>
      </c>
      <c r="O52" s="19">
        <v>15</v>
      </c>
      <c r="P52" s="20">
        <v>14</v>
      </c>
      <c r="Q52" s="21">
        <f t="shared" si="13"/>
        <v>279.82483516483518</v>
      </c>
      <c r="R52" s="9"/>
      <c r="S52" s="26" t="s">
        <v>59</v>
      </c>
      <c r="T52" s="18">
        <v>52.91</v>
      </c>
      <c r="U52" s="18">
        <v>11.28</v>
      </c>
      <c r="V52" s="18">
        <v>35.81</v>
      </c>
      <c r="W52" s="27">
        <v>26</v>
      </c>
      <c r="X52" s="19">
        <v>14</v>
      </c>
      <c r="Y52" s="20">
        <v>14</v>
      </c>
      <c r="Z52" s="21">
        <f t="shared" si="14"/>
        <v>297.41875196232343</v>
      </c>
    </row>
    <row r="53" spans="1:26" ht="10.5" customHeight="1" x14ac:dyDescent="0.25">
      <c r="A53" s="17" t="s">
        <v>60</v>
      </c>
      <c r="B53" s="18">
        <v>54.48</v>
      </c>
      <c r="C53" s="18">
        <v>13.26</v>
      </c>
      <c r="D53" s="18">
        <v>32.26</v>
      </c>
      <c r="E53" s="27">
        <v>26</v>
      </c>
      <c r="F53" s="19">
        <v>16</v>
      </c>
      <c r="G53" s="20">
        <v>16</v>
      </c>
      <c r="H53" s="21">
        <f t="shared" si="12"/>
        <v>252.78088341346154</v>
      </c>
      <c r="I53" s="16"/>
      <c r="J53" s="25" t="s">
        <v>60</v>
      </c>
      <c r="K53" s="18">
        <v>54.93</v>
      </c>
      <c r="L53" s="18">
        <v>12.54</v>
      </c>
      <c r="M53" s="18">
        <v>32.53</v>
      </c>
      <c r="N53" s="27">
        <v>26</v>
      </c>
      <c r="O53" s="19">
        <v>15</v>
      </c>
      <c r="P53" s="20">
        <v>16</v>
      </c>
      <c r="Q53" s="21">
        <f t="shared" si="13"/>
        <v>267.39894230769232</v>
      </c>
      <c r="R53" s="9"/>
      <c r="S53" s="26" t="s">
        <v>60</v>
      </c>
      <c r="T53" s="18">
        <v>55.39</v>
      </c>
      <c r="U53" s="18">
        <v>11.8</v>
      </c>
      <c r="V53" s="18">
        <v>32.81</v>
      </c>
      <c r="W53" s="27">
        <v>26</v>
      </c>
      <c r="X53" s="19">
        <v>14</v>
      </c>
      <c r="Y53" s="20">
        <v>16</v>
      </c>
      <c r="Z53" s="21">
        <f t="shared" si="14"/>
        <v>284.10529532967035</v>
      </c>
    </row>
    <row r="54" spans="1:26" ht="10.5" customHeight="1" x14ac:dyDescent="0.25">
      <c r="A54" s="17" t="s">
        <v>61</v>
      </c>
      <c r="B54" s="18">
        <v>56.5</v>
      </c>
      <c r="C54" s="18">
        <v>13.76</v>
      </c>
      <c r="D54" s="18">
        <v>29.74</v>
      </c>
      <c r="E54" s="27">
        <v>26</v>
      </c>
      <c r="F54" s="19">
        <v>16</v>
      </c>
      <c r="G54" s="20">
        <v>18</v>
      </c>
      <c r="H54" s="21">
        <f t="shared" si="12"/>
        <v>243.72033653846154</v>
      </c>
      <c r="I54" s="16"/>
      <c r="J54" s="25" t="s">
        <v>61</v>
      </c>
      <c r="K54" s="18">
        <v>56.99</v>
      </c>
      <c r="L54" s="18">
        <v>13.01</v>
      </c>
      <c r="M54" s="18">
        <v>30</v>
      </c>
      <c r="N54" s="27">
        <v>26</v>
      </c>
      <c r="O54" s="19">
        <v>15</v>
      </c>
      <c r="P54" s="20">
        <v>18</v>
      </c>
      <c r="Q54" s="21">
        <f t="shared" si="13"/>
        <v>257.734358974359</v>
      </c>
      <c r="R54" s="9"/>
      <c r="S54" s="26" t="s">
        <v>61</v>
      </c>
      <c r="T54" s="18">
        <v>57.49</v>
      </c>
      <c r="U54" s="18">
        <v>12.25</v>
      </c>
      <c r="V54" s="18">
        <v>30.26</v>
      </c>
      <c r="W54" s="27">
        <v>26</v>
      </c>
      <c r="X54" s="19">
        <v>14</v>
      </c>
      <c r="Y54" s="20">
        <v>18</v>
      </c>
      <c r="Z54" s="21">
        <f t="shared" si="14"/>
        <v>273.75038461538463</v>
      </c>
    </row>
    <row r="55" spans="1:26" ht="10.5" customHeight="1" x14ac:dyDescent="0.25">
      <c r="A55" s="17" t="s">
        <v>62</v>
      </c>
      <c r="B55" s="18">
        <v>58.23</v>
      </c>
      <c r="C55" s="18">
        <v>14.18</v>
      </c>
      <c r="D55" s="18">
        <v>27.59</v>
      </c>
      <c r="E55" s="27">
        <v>26</v>
      </c>
      <c r="F55" s="19">
        <v>16</v>
      </c>
      <c r="G55" s="20">
        <v>20</v>
      </c>
      <c r="H55" s="21">
        <f t="shared" si="12"/>
        <v>236.47189903846154</v>
      </c>
      <c r="I55" s="16"/>
      <c r="J55" s="25" t="s">
        <v>62</v>
      </c>
      <c r="K55" s="18">
        <v>58.75</v>
      </c>
      <c r="L55" s="18">
        <v>13.41</v>
      </c>
      <c r="M55" s="18">
        <v>27.84</v>
      </c>
      <c r="N55" s="27">
        <v>26</v>
      </c>
      <c r="O55" s="19">
        <v>15</v>
      </c>
      <c r="P55" s="20">
        <v>20</v>
      </c>
      <c r="Q55" s="21">
        <f t="shared" si="13"/>
        <v>250.00269230769231</v>
      </c>
      <c r="R55" s="9"/>
      <c r="S55" s="26" t="s">
        <v>62</v>
      </c>
      <c r="T55" s="18">
        <v>59.28</v>
      </c>
      <c r="U55" s="18">
        <v>12.63</v>
      </c>
      <c r="V55" s="18">
        <v>28.09</v>
      </c>
      <c r="W55" s="27">
        <v>26</v>
      </c>
      <c r="X55" s="19">
        <v>14</v>
      </c>
      <c r="Y55" s="20">
        <v>20</v>
      </c>
      <c r="Z55" s="21">
        <f t="shared" si="14"/>
        <v>265.46645604395604</v>
      </c>
    </row>
    <row r="56" spans="1:26" ht="10.5" customHeight="1" x14ac:dyDescent="0.25">
      <c r="A56" s="17" t="s">
        <v>63</v>
      </c>
      <c r="B56" s="18">
        <v>61.04</v>
      </c>
      <c r="C56" s="18">
        <v>14.86</v>
      </c>
      <c r="D56" s="18">
        <v>24.1</v>
      </c>
      <c r="E56" s="27">
        <v>26</v>
      </c>
      <c r="F56" s="19">
        <v>16</v>
      </c>
      <c r="G56" s="20">
        <v>24</v>
      </c>
      <c r="H56" s="21">
        <f t="shared" si="12"/>
        <v>225.59924278846154</v>
      </c>
      <c r="I56" s="16"/>
      <c r="J56" s="25" t="s">
        <v>63</v>
      </c>
      <c r="K56" s="18">
        <v>61.61</v>
      </c>
      <c r="L56" s="18">
        <v>14.06</v>
      </c>
      <c r="M56" s="18">
        <v>24.33</v>
      </c>
      <c r="N56" s="27">
        <v>26</v>
      </c>
      <c r="O56" s="19">
        <v>15</v>
      </c>
      <c r="P56" s="20">
        <v>24</v>
      </c>
      <c r="Q56" s="21">
        <f t="shared" si="13"/>
        <v>238.40519230769229</v>
      </c>
      <c r="R56" s="9"/>
      <c r="S56" s="26" t="s">
        <v>63</v>
      </c>
      <c r="T56" s="18">
        <v>62.2</v>
      </c>
      <c r="U56" s="18">
        <v>13.24</v>
      </c>
      <c r="V56" s="18">
        <v>24.56</v>
      </c>
      <c r="W56" s="27">
        <v>26</v>
      </c>
      <c r="X56" s="19">
        <v>14</v>
      </c>
      <c r="Y56" s="20">
        <v>24</v>
      </c>
      <c r="Z56" s="21">
        <f t="shared" si="14"/>
        <v>253.04056318681319</v>
      </c>
    </row>
    <row r="57" spans="1:26" ht="10.5" customHeight="1" x14ac:dyDescent="0.25">
      <c r="A57" s="17" t="s">
        <v>64</v>
      </c>
      <c r="B57" s="18">
        <v>62.19</v>
      </c>
      <c r="C57" s="18">
        <v>15.14</v>
      </c>
      <c r="D57" s="18">
        <v>22.67</v>
      </c>
      <c r="E57" s="27">
        <v>26</v>
      </c>
      <c r="F57" s="19">
        <v>16</v>
      </c>
      <c r="G57" s="20">
        <v>26</v>
      </c>
      <c r="H57" s="21">
        <f t="shared" si="12"/>
        <v>221.41745192307692</v>
      </c>
      <c r="I57" s="16"/>
      <c r="J57" s="25" t="s">
        <v>64</v>
      </c>
      <c r="K57" s="18">
        <v>62.79</v>
      </c>
      <c r="L57" s="18">
        <v>14.33</v>
      </c>
      <c r="M57" s="18">
        <v>22.88</v>
      </c>
      <c r="N57" s="27">
        <v>26</v>
      </c>
      <c r="O57" s="19">
        <v>15</v>
      </c>
      <c r="P57" s="20">
        <v>26</v>
      </c>
      <c r="Q57" s="21">
        <f t="shared" si="13"/>
        <v>233.94461538461539</v>
      </c>
      <c r="R57" s="9"/>
      <c r="S57" s="26" t="s">
        <v>64</v>
      </c>
      <c r="T57" s="18">
        <v>63.39</v>
      </c>
      <c r="U57" s="18">
        <v>13.5</v>
      </c>
      <c r="V57" s="18">
        <v>23.11</v>
      </c>
      <c r="W57" s="27">
        <v>26</v>
      </c>
      <c r="X57" s="19">
        <v>14</v>
      </c>
      <c r="Y57" s="20">
        <v>26</v>
      </c>
      <c r="Z57" s="21">
        <f t="shared" si="14"/>
        <v>248.26137362637365</v>
      </c>
    </row>
    <row r="58" spans="1:26" ht="10.5" customHeight="1" x14ac:dyDescent="0.25">
      <c r="A58" s="17" t="s">
        <v>65</v>
      </c>
      <c r="B58" s="18">
        <v>63.22</v>
      </c>
      <c r="C58" s="18">
        <v>15.39</v>
      </c>
      <c r="D58" s="18">
        <v>21.39</v>
      </c>
      <c r="E58" s="27">
        <v>26</v>
      </c>
      <c r="F58" s="19">
        <v>16</v>
      </c>
      <c r="G58" s="20">
        <v>28</v>
      </c>
      <c r="H58" s="21">
        <f t="shared" si="12"/>
        <v>217.83305975274726</v>
      </c>
      <c r="I58" s="16"/>
      <c r="J58" s="25" t="s">
        <v>65</v>
      </c>
      <c r="K58" s="18">
        <v>63.83</v>
      </c>
      <c r="L58" s="18">
        <v>14.57</v>
      </c>
      <c r="M58" s="18">
        <v>21.6</v>
      </c>
      <c r="N58" s="27">
        <v>26</v>
      </c>
      <c r="O58" s="19">
        <v>15</v>
      </c>
      <c r="P58" s="20">
        <v>28</v>
      </c>
      <c r="Q58" s="21">
        <f t="shared" si="13"/>
        <v>230.12126373626373</v>
      </c>
      <c r="R58" s="9"/>
      <c r="S58" s="26" t="s">
        <v>65</v>
      </c>
      <c r="T58" s="18">
        <v>64.459999999999994</v>
      </c>
      <c r="U58" s="18">
        <v>13.73</v>
      </c>
      <c r="V58" s="18">
        <v>21.81</v>
      </c>
      <c r="W58" s="27">
        <v>26</v>
      </c>
      <c r="X58" s="19">
        <v>14</v>
      </c>
      <c r="Y58" s="20">
        <v>28</v>
      </c>
      <c r="Z58" s="21">
        <f t="shared" si="14"/>
        <v>244.16492543171114</v>
      </c>
    </row>
    <row r="59" spans="1:26" ht="10.5" customHeight="1" x14ac:dyDescent="0.25">
      <c r="A59" s="17" t="s">
        <v>66</v>
      </c>
      <c r="B59" s="18">
        <v>64.13</v>
      </c>
      <c r="C59" s="18">
        <v>15.61</v>
      </c>
      <c r="D59" s="18">
        <v>20.260000000000002</v>
      </c>
      <c r="E59" s="27">
        <v>26</v>
      </c>
      <c r="F59" s="19">
        <v>16</v>
      </c>
      <c r="G59" s="20">
        <v>30</v>
      </c>
      <c r="H59" s="21">
        <f t="shared" si="12"/>
        <v>214.72658653846153</v>
      </c>
      <c r="I59" s="16"/>
      <c r="J59" s="25" t="s">
        <v>66</v>
      </c>
      <c r="K59" s="18">
        <v>64.760000000000005</v>
      </c>
      <c r="L59" s="18">
        <v>14.78</v>
      </c>
      <c r="M59" s="18">
        <v>20.46</v>
      </c>
      <c r="N59" s="27">
        <v>26</v>
      </c>
      <c r="O59" s="19">
        <v>15</v>
      </c>
      <c r="P59" s="20">
        <v>30</v>
      </c>
      <c r="Q59" s="21">
        <f t="shared" si="13"/>
        <v>226.80769230769232</v>
      </c>
      <c r="R59" s="9"/>
      <c r="S59" s="17" t="s">
        <v>66</v>
      </c>
      <c r="T59" s="18">
        <v>65.41</v>
      </c>
      <c r="U59" s="18">
        <v>13.93</v>
      </c>
      <c r="V59" s="18">
        <v>20.66</v>
      </c>
      <c r="W59" s="27">
        <v>26</v>
      </c>
      <c r="X59" s="19">
        <v>14</v>
      </c>
      <c r="Y59" s="20">
        <v>30</v>
      </c>
      <c r="Z59" s="21">
        <f t="shared" si="14"/>
        <v>240.61467032967033</v>
      </c>
    </row>
    <row r="60" spans="1:26" ht="10.5" customHeight="1" x14ac:dyDescent="0.25">
      <c r="A60" s="29"/>
      <c r="B60" s="23"/>
      <c r="C60" s="23"/>
      <c r="D60" s="23"/>
      <c r="E60" s="24"/>
      <c r="F60" s="24"/>
      <c r="G60" s="20"/>
      <c r="H60" s="23"/>
      <c r="I60" s="16"/>
      <c r="J60" s="29"/>
      <c r="K60" s="23"/>
      <c r="L60" s="23"/>
      <c r="M60" s="23"/>
      <c r="N60" s="24"/>
      <c r="O60" s="23"/>
      <c r="P60" s="20"/>
      <c r="Q60" s="23"/>
      <c r="R60" s="9"/>
      <c r="S60" s="29"/>
      <c r="T60" s="23"/>
      <c r="U60" s="23"/>
      <c r="V60" s="23"/>
      <c r="W60" s="24"/>
      <c r="X60" s="23"/>
      <c r="Y60" s="20"/>
      <c r="Z60" s="23"/>
    </row>
    <row r="61" spans="1:26" ht="10.5" customHeight="1" x14ac:dyDescent="0.25">
      <c r="A61" s="17" t="s">
        <v>67</v>
      </c>
      <c r="B61" s="18">
        <v>47.64</v>
      </c>
      <c r="C61" s="18">
        <v>10.7</v>
      </c>
      <c r="D61" s="18">
        <v>41.66</v>
      </c>
      <c r="E61" s="27">
        <v>24</v>
      </c>
      <c r="F61" s="19">
        <v>16</v>
      </c>
      <c r="G61" s="20">
        <v>10</v>
      </c>
      <c r="H61" s="21">
        <f t="shared" ref="H61:H70" si="15">57294/E61/F61+33.51+20875.5/G61/F61</f>
        <v>313.185</v>
      </c>
      <c r="I61" s="16"/>
      <c r="J61" s="25" t="s">
        <v>67</v>
      </c>
      <c r="K61" s="18">
        <v>47.95</v>
      </c>
      <c r="L61" s="18">
        <v>10.1</v>
      </c>
      <c r="M61" s="18">
        <v>41.95</v>
      </c>
      <c r="N61" s="27">
        <v>24</v>
      </c>
      <c r="O61" s="19">
        <v>15</v>
      </c>
      <c r="P61" s="20">
        <v>10</v>
      </c>
      <c r="Q61" s="21">
        <f t="shared" ref="Q61:Q70" si="16">57294/N61/O61+33.51+20875.5/P61/O61</f>
        <v>331.83000000000004</v>
      </c>
      <c r="R61" s="9"/>
      <c r="S61" s="26" t="s">
        <v>67</v>
      </c>
      <c r="T61" s="18">
        <v>48.28</v>
      </c>
      <c r="U61" s="18">
        <v>9.49</v>
      </c>
      <c r="V61" s="18">
        <v>42.23</v>
      </c>
      <c r="W61" s="27">
        <v>24</v>
      </c>
      <c r="X61" s="19">
        <v>14</v>
      </c>
      <c r="Y61" s="20">
        <v>10</v>
      </c>
      <c r="Z61" s="21">
        <f t="shared" ref="Z61:Z70" si="17">57294/W61/X61+33.51+20875.5/Y61/X61</f>
        <v>353.13857142857142</v>
      </c>
    </row>
    <row r="62" spans="1:26" ht="10.5" customHeight="1" x14ac:dyDescent="0.25">
      <c r="A62" s="17" t="s">
        <v>68</v>
      </c>
      <c r="B62" s="18">
        <v>51.19</v>
      </c>
      <c r="C62" s="18">
        <v>11.5</v>
      </c>
      <c r="D62" s="18">
        <v>37.31</v>
      </c>
      <c r="E62" s="27">
        <v>24</v>
      </c>
      <c r="F62" s="19">
        <v>16</v>
      </c>
      <c r="G62" s="20">
        <v>12</v>
      </c>
      <c r="H62" s="21">
        <f t="shared" si="15"/>
        <v>291.43968749999999</v>
      </c>
      <c r="I62" s="16"/>
      <c r="J62" s="25" t="s">
        <v>68</v>
      </c>
      <c r="K62" s="18">
        <v>51.56</v>
      </c>
      <c r="L62" s="18">
        <v>10.86</v>
      </c>
      <c r="M62" s="18">
        <v>37.58</v>
      </c>
      <c r="N62" s="27">
        <v>24</v>
      </c>
      <c r="O62" s="19">
        <v>15</v>
      </c>
      <c r="P62" s="20">
        <v>12</v>
      </c>
      <c r="Q62" s="21">
        <f t="shared" si="16"/>
        <v>308.63499999999999</v>
      </c>
      <c r="R62" s="9"/>
      <c r="S62" s="26" t="s">
        <v>68</v>
      </c>
      <c r="T62" s="18">
        <v>51.93</v>
      </c>
      <c r="U62" s="18">
        <v>10.220000000000001</v>
      </c>
      <c r="V62" s="18">
        <v>37.85</v>
      </c>
      <c r="W62" s="27">
        <v>24</v>
      </c>
      <c r="X62" s="19">
        <v>14</v>
      </c>
      <c r="Y62" s="20">
        <v>12</v>
      </c>
      <c r="Z62" s="21">
        <f t="shared" si="17"/>
        <v>328.28678571428571</v>
      </c>
    </row>
    <row r="63" spans="1:26" ht="10.5" customHeight="1" x14ac:dyDescent="0.25">
      <c r="A63" s="17" t="s">
        <v>69</v>
      </c>
      <c r="B63" s="18">
        <v>54.07</v>
      </c>
      <c r="C63" s="18">
        <v>12.15</v>
      </c>
      <c r="D63" s="18">
        <v>33.78</v>
      </c>
      <c r="E63" s="27">
        <v>24</v>
      </c>
      <c r="F63" s="19">
        <v>16</v>
      </c>
      <c r="G63" s="20">
        <v>14</v>
      </c>
      <c r="H63" s="21">
        <f t="shared" si="15"/>
        <v>275.90732142857144</v>
      </c>
      <c r="I63" s="16"/>
      <c r="J63" s="25" t="s">
        <v>69</v>
      </c>
      <c r="K63" s="18">
        <v>54.48</v>
      </c>
      <c r="L63" s="18">
        <v>11.48</v>
      </c>
      <c r="M63" s="18">
        <v>34.04</v>
      </c>
      <c r="N63" s="27">
        <v>24</v>
      </c>
      <c r="O63" s="19">
        <v>15</v>
      </c>
      <c r="P63" s="20">
        <v>14</v>
      </c>
      <c r="Q63" s="21">
        <f t="shared" si="16"/>
        <v>292.06714285714287</v>
      </c>
      <c r="R63" s="9"/>
      <c r="S63" s="26" t="s">
        <v>69</v>
      </c>
      <c r="T63" s="18">
        <v>54.9</v>
      </c>
      <c r="U63" s="18">
        <v>10.8</v>
      </c>
      <c r="V63" s="18">
        <v>34.299999999999997</v>
      </c>
      <c r="W63" s="27">
        <v>24</v>
      </c>
      <c r="X63" s="19">
        <v>14</v>
      </c>
      <c r="Y63" s="20">
        <v>14</v>
      </c>
      <c r="Z63" s="21">
        <f t="shared" si="17"/>
        <v>310.53551020408162</v>
      </c>
    </row>
    <row r="64" spans="1:26" ht="10.5" customHeight="1" x14ac:dyDescent="0.25">
      <c r="A64" s="17" t="s">
        <v>70</v>
      </c>
      <c r="B64" s="18">
        <v>56.45</v>
      </c>
      <c r="C64" s="18">
        <v>12.69</v>
      </c>
      <c r="D64" s="18">
        <v>30.86</v>
      </c>
      <c r="E64" s="27">
        <v>24</v>
      </c>
      <c r="F64" s="19">
        <v>16</v>
      </c>
      <c r="G64" s="20">
        <v>16</v>
      </c>
      <c r="H64" s="21">
        <f t="shared" si="15"/>
        <v>264.25804687499999</v>
      </c>
      <c r="I64" s="16"/>
      <c r="J64" s="25" t="s">
        <v>70</v>
      </c>
      <c r="K64" s="18">
        <v>56.9</v>
      </c>
      <c r="L64" s="18">
        <v>11.99</v>
      </c>
      <c r="M64" s="18">
        <v>31.11</v>
      </c>
      <c r="N64" s="27">
        <v>24</v>
      </c>
      <c r="O64" s="19">
        <v>15</v>
      </c>
      <c r="P64" s="20">
        <v>16</v>
      </c>
      <c r="Q64" s="21">
        <f t="shared" si="16"/>
        <v>279.64125000000001</v>
      </c>
      <c r="R64" s="9"/>
      <c r="S64" s="26" t="s">
        <v>70</v>
      </c>
      <c r="T64" s="18">
        <v>57.36</v>
      </c>
      <c r="U64" s="18">
        <v>11.28</v>
      </c>
      <c r="V64" s="18">
        <v>31.36</v>
      </c>
      <c r="W64" s="27">
        <v>24</v>
      </c>
      <c r="X64" s="19">
        <v>14</v>
      </c>
      <c r="Y64" s="20">
        <v>16</v>
      </c>
      <c r="Z64" s="21">
        <f t="shared" si="17"/>
        <v>297.22205357142855</v>
      </c>
    </row>
    <row r="65" spans="1:26" ht="10.5" customHeight="1" x14ac:dyDescent="0.25">
      <c r="A65" s="17" t="s">
        <v>71</v>
      </c>
      <c r="B65" s="18">
        <v>58.46</v>
      </c>
      <c r="C65" s="18">
        <v>13.14</v>
      </c>
      <c r="D65" s="18">
        <v>28.4</v>
      </c>
      <c r="E65" s="27">
        <v>24</v>
      </c>
      <c r="F65" s="19">
        <v>16</v>
      </c>
      <c r="G65" s="20">
        <v>18</v>
      </c>
      <c r="H65" s="21">
        <f t="shared" si="15"/>
        <v>255.19749999999999</v>
      </c>
      <c r="I65" s="16"/>
      <c r="J65" s="25" t="s">
        <v>71</v>
      </c>
      <c r="K65" s="18">
        <v>58.94</v>
      </c>
      <c r="L65" s="18">
        <v>12.42</v>
      </c>
      <c r="M65" s="18">
        <v>28.64</v>
      </c>
      <c r="N65" s="27">
        <v>24</v>
      </c>
      <c r="O65" s="19">
        <v>15</v>
      </c>
      <c r="P65" s="20">
        <v>18</v>
      </c>
      <c r="Q65" s="21">
        <f t="shared" si="16"/>
        <v>269.97666666666669</v>
      </c>
      <c r="R65" s="9"/>
      <c r="S65" s="26" t="s">
        <v>71</v>
      </c>
      <c r="T65" s="18">
        <v>59.43</v>
      </c>
      <c r="U65" s="18">
        <v>11.69</v>
      </c>
      <c r="V65" s="18">
        <v>28.88</v>
      </c>
      <c r="W65" s="27">
        <v>24</v>
      </c>
      <c r="X65" s="19">
        <v>14</v>
      </c>
      <c r="Y65" s="20">
        <v>18</v>
      </c>
      <c r="Z65" s="21">
        <f t="shared" si="17"/>
        <v>286.86714285714282</v>
      </c>
    </row>
    <row r="66" spans="1:26" ht="10.5" customHeight="1" x14ac:dyDescent="0.25">
      <c r="A66" s="17" t="s">
        <v>72</v>
      </c>
      <c r="B66" s="18">
        <v>60.17</v>
      </c>
      <c r="C66" s="18">
        <v>13.52</v>
      </c>
      <c r="D66" s="18">
        <v>26.31</v>
      </c>
      <c r="E66" s="27">
        <v>24</v>
      </c>
      <c r="F66" s="19">
        <v>16</v>
      </c>
      <c r="G66" s="20">
        <v>20</v>
      </c>
      <c r="H66" s="21">
        <f t="shared" si="15"/>
        <v>247.9490625</v>
      </c>
      <c r="I66" s="16"/>
      <c r="J66" s="25" t="s">
        <v>72</v>
      </c>
      <c r="K66" s="18">
        <v>60.68</v>
      </c>
      <c r="L66" s="18">
        <v>12.78</v>
      </c>
      <c r="M66" s="18">
        <v>26.54</v>
      </c>
      <c r="N66" s="27">
        <v>24</v>
      </c>
      <c r="O66" s="19">
        <v>15</v>
      </c>
      <c r="P66" s="20">
        <v>20</v>
      </c>
      <c r="Q66" s="21">
        <f t="shared" si="16"/>
        <v>262.245</v>
      </c>
      <c r="R66" s="9"/>
      <c r="S66" s="26" t="s">
        <v>72</v>
      </c>
      <c r="T66" s="18">
        <v>61.2</v>
      </c>
      <c r="U66" s="18">
        <v>12.03</v>
      </c>
      <c r="V66" s="18">
        <v>26.77</v>
      </c>
      <c r="W66" s="27">
        <v>24</v>
      </c>
      <c r="X66" s="19">
        <v>14</v>
      </c>
      <c r="Y66" s="20">
        <v>20</v>
      </c>
      <c r="Z66" s="21">
        <f t="shared" si="17"/>
        <v>278.58321428571429</v>
      </c>
    </row>
    <row r="67" spans="1:26" ht="10.5" customHeight="1" x14ac:dyDescent="0.25">
      <c r="A67" s="17" t="s">
        <v>73</v>
      </c>
      <c r="B67" s="18">
        <v>62.93</v>
      </c>
      <c r="C67" s="18">
        <v>14.14</v>
      </c>
      <c r="D67" s="18">
        <v>22.93</v>
      </c>
      <c r="E67" s="27">
        <v>24</v>
      </c>
      <c r="F67" s="19">
        <v>16</v>
      </c>
      <c r="G67" s="20">
        <v>24</v>
      </c>
      <c r="H67" s="21">
        <f t="shared" si="15"/>
        <v>237.07640624999999</v>
      </c>
      <c r="I67" s="16"/>
      <c r="J67" s="25" t="s">
        <v>73</v>
      </c>
      <c r="K67" s="18">
        <v>63.49</v>
      </c>
      <c r="L67" s="18">
        <v>13.38</v>
      </c>
      <c r="M67" s="18">
        <v>23.13</v>
      </c>
      <c r="N67" s="27">
        <v>24</v>
      </c>
      <c r="O67" s="19">
        <v>15</v>
      </c>
      <c r="P67" s="20">
        <v>24</v>
      </c>
      <c r="Q67" s="21">
        <f t="shared" si="16"/>
        <v>250.64749999999998</v>
      </c>
      <c r="R67" s="9"/>
      <c r="S67" s="26" t="s">
        <v>73</v>
      </c>
      <c r="T67" s="18">
        <v>64.05</v>
      </c>
      <c r="U67" s="18">
        <v>12.6</v>
      </c>
      <c r="V67" s="18">
        <v>23.35</v>
      </c>
      <c r="W67" s="27">
        <v>24</v>
      </c>
      <c r="X67" s="19">
        <v>14</v>
      </c>
      <c r="Y67" s="20">
        <v>24</v>
      </c>
      <c r="Z67" s="21">
        <f t="shared" si="17"/>
        <v>266.15732142857144</v>
      </c>
    </row>
    <row r="68" spans="1:26" ht="10.5" customHeight="1" x14ac:dyDescent="0.25">
      <c r="A68" s="17" t="s">
        <v>74</v>
      </c>
      <c r="B68" s="18">
        <v>64.05</v>
      </c>
      <c r="C68" s="18">
        <v>14.4</v>
      </c>
      <c r="D68" s="18">
        <v>21.55</v>
      </c>
      <c r="E68" s="27">
        <v>24</v>
      </c>
      <c r="F68" s="19">
        <v>16</v>
      </c>
      <c r="G68" s="20">
        <v>26</v>
      </c>
      <c r="H68" s="21">
        <f t="shared" si="15"/>
        <v>232.89461538461538</v>
      </c>
      <c r="I68" s="16"/>
      <c r="J68" s="25" t="s">
        <v>74</v>
      </c>
      <c r="K68" s="18">
        <v>64.64</v>
      </c>
      <c r="L68" s="18">
        <v>13.62</v>
      </c>
      <c r="M68" s="18">
        <v>21.74</v>
      </c>
      <c r="N68" s="27">
        <v>24</v>
      </c>
      <c r="O68" s="19">
        <v>15</v>
      </c>
      <c r="P68" s="20">
        <v>26</v>
      </c>
      <c r="Q68" s="21">
        <f t="shared" si="16"/>
        <v>246.18692307692308</v>
      </c>
      <c r="R68" s="9"/>
      <c r="S68" s="26" t="s">
        <v>74</v>
      </c>
      <c r="T68" s="18">
        <v>65.23</v>
      </c>
      <c r="U68" s="18">
        <v>12.83</v>
      </c>
      <c r="V68" s="18">
        <v>21.94</v>
      </c>
      <c r="W68" s="27">
        <v>24</v>
      </c>
      <c r="X68" s="19">
        <v>14</v>
      </c>
      <c r="Y68" s="20">
        <v>26</v>
      </c>
      <c r="Z68" s="21">
        <f t="shared" si="17"/>
        <v>261.37813186813185</v>
      </c>
    </row>
    <row r="69" spans="1:26" ht="10.5" customHeight="1" x14ac:dyDescent="0.25">
      <c r="A69" s="17" t="s">
        <v>75</v>
      </c>
      <c r="B69" s="18">
        <v>65.06</v>
      </c>
      <c r="C69" s="18">
        <v>14.62</v>
      </c>
      <c r="D69" s="18">
        <v>20.32</v>
      </c>
      <c r="E69" s="27">
        <v>24</v>
      </c>
      <c r="F69" s="19">
        <v>16</v>
      </c>
      <c r="G69" s="20">
        <v>28</v>
      </c>
      <c r="H69" s="21">
        <f t="shared" si="15"/>
        <v>229.31022321428571</v>
      </c>
      <c r="I69" s="16"/>
      <c r="J69" s="25" t="s">
        <v>75</v>
      </c>
      <c r="K69" s="18">
        <v>65.66</v>
      </c>
      <c r="L69" s="18">
        <v>13.83</v>
      </c>
      <c r="M69" s="18">
        <v>20.51</v>
      </c>
      <c r="N69" s="27">
        <v>24</v>
      </c>
      <c r="O69" s="19">
        <v>15</v>
      </c>
      <c r="P69" s="20">
        <v>28</v>
      </c>
      <c r="Q69" s="21">
        <f t="shared" si="16"/>
        <v>242.36357142857142</v>
      </c>
      <c r="R69" s="9"/>
      <c r="S69" s="26" t="s">
        <v>75</v>
      </c>
      <c r="T69" s="18">
        <v>66.27</v>
      </c>
      <c r="U69" s="18">
        <v>13.03</v>
      </c>
      <c r="V69" s="18">
        <v>20.7</v>
      </c>
      <c r="W69" s="27">
        <v>24</v>
      </c>
      <c r="X69" s="19">
        <v>14</v>
      </c>
      <c r="Y69" s="20">
        <v>28</v>
      </c>
      <c r="Z69" s="21">
        <f t="shared" si="17"/>
        <v>257.28168367346939</v>
      </c>
    </row>
    <row r="70" spans="1:26" ht="10.5" customHeight="1" x14ac:dyDescent="0.25">
      <c r="A70" s="17" t="s">
        <v>76</v>
      </c>
      <c r="B70" s="18">
        <v>65.95</v>
      </c>
      <c r="C70" s="18">
        <v>14.82</v>
      </c>
      <c r="D70" s="18">
        <v>19.23</v>
      </c>
      <c r="E70" s="27">
        <v>24</v>
      </c>
      <c r="F70" s="19">
        <v>16</v>
      </c>
      <c r="G70" s="20">
        <v>30</v>
      </c>
      <c r="H70" s="21">
        <f t="shared" si="15"/>
        <v>226.20374999999999</v>
      </c>
      <c r="I70" s="16"/>
      <c r="J70" s="25" t="s">
        <v>76</v>
      </c>
      <c r="K70" s="18">
        <v>66.569999999999993</v>
      </c>
      <c r="L70" s="18">
        <v>14.02</v>
      </c>
      <c r="M70" s="18">
        <v>19.41</v>
      </c>
      <c r="N70" s="27">
        <v>24</v>
      </c>
      <c r="O70" s="19">
        <v>15</v>
      </c>
      <c r="P70" s="20">
        <v>30</v>
      </c>
      <c r="Q70" s="21">
        <f t="shared" si="16"/>
        <v>239.05</v>
      </c>
      <c r="R70" s="9"/>
      <c r="S70" s="26" t="s">
        <v>76</v>
      </c>
      <c r="T70" s="18">
        <v>67.2</v>
      </c>
      <c r="U70" s="18">
        <v>13.21</v>
      </c>
      <c r="V70" s="18">
        <v>19.59</v>
      </c>
      <c r="W70" s="27">
        <v>24</v>
      </c>
      <c r="X70" s="19">
        <v>14</v>
      </c>
      <c r="Y70" s="20">
        <v>30</v>
      </c>
      <c r="Z70" s="21">
        <f t="shared" si="17"/>
        <v>253.73142857142855</v>
      </c>
    </row>
    <row r="71" spans="1:26" ht="10.5" customHeight="1" x14ac:dyDescent="0.25">
      <c r="B71" s="4"/>
      <c r="C71" s="4"/>
      <c r="D71" s="4"/>
      <c r="E71" s="4"/>
      <c r="F71" s="4"/>
      <c r="G71" s="4"/>
      <c r="H71" s="4"/>
      <c r="I71" s="4"/>
      <c r="K71" s="4"/>
      <c r="L71" s="4"/>
      <c r="M71" s="4"/>
      <c r="N71" s="4"/>
      <c r="O71" s="4"/>
      <c r="P71" s="4"/>
      <c r="Q71" s="4"/>
      <c r="R71" s="4"/>
      <c r="T71" s="4"/>
      <c r="U71" s="4"/>
      <c r="V71" s="4"/>
      <c r="W71" s="4"/>
      <c r="X71" s="4"/>
      <c r="Y71" s="4"/>
      <c r="Z71" s="4"/>
    </row>
    <row r="72" spans="1:26" ht="10.5" customHeight="1" x14ac:dyDescent="0.25">
      <c r="A72" s="17" t="s">
        <v>77</v>
      </c>
      <c r="B72" s="18">
        <v>52.19</v>
      </c>
      <c r="C72" s="18">
        <v>9.77</v>
      </c>
      <c r="D72" s="18">
        <v>38.04</v>
      </c>
      <c r="E72" s="27">
        <v>20</v>
      </c>
      <c r="F72" s="19">
        <v>16</v>
      </c>
      <c r="G72" s="20">
        <v>10</v>
      </c>
      <c r="H72" s="21">
        <f t="shared" ref="H72:H81" si="18">57294/E72/F72+33.51+20875.5/G72/F72</f>
        <v>343.02562499999999</v>
      </c>
      <c r="I72" s="16"/>
      <c r="J72" s="25" t="s">
        <v>77</v>
      </c>
      <c r="K72" s="18">
        <v>52.51</v>
      </c>
      <c r="L72" s="18">
        <v>9.2200000000000006</v>
      </c>
      <c r="M72" s="18">
        <v>38.270000000000003</v>
      </c>
      <c r="N72" s="27">
        <v>20</v>
      </c>
      <c r="O72" s="19">
        <v>15</v>
      </c>
      <c r="P72" s="20">
        <v>10</v>
      </c>
      <c r="Q72" s="21">
        <f t="shared" ref="Q72:Q81" si="19">57294/N72/O72+33.51+20875.5/P72/O72</f>
        <v>363.65999999999997</v>
      </c>
      <c r="R72" s="9"/>
      <c r="S72" s="26" t="s">
        <v>77</v>
      </c>
      <c r="T72" s="18">
        <v>52.83</v>
      </c>
      <c r="U72" s="18">
        <v>8.66</v>
      </c>
      <c r="V72" s="18">
        <v>38.51</v>
      </c>
      <c r="W72" s="27">
        <v>20</v>
      </c>
      <c r="X72" s="19">
        <v>14</v>
      </c>
      <c r="Y72" s="20">
        <v>10</v>
      </c>
      <c r="Z72" s="21">
        <f t="shared" ref="Z72:Z81" si="20">57294/W72/X72+33.51+20875.5/Y72/X72</f>
        <v>387.24214285714288</v>
      </c>
    </row>
    <row r="73" spans="1:26" ht="10.5" customHeight="1" x14ac:dyDescent="0.25">
      <c r="A73" s="17" t="s">
        <v>78</v>
      </c>
      <c r="B73" s="18">
        <v>55.73</v>
      </c>
      <c r="C73" s="18">
        <v>10.43</v>
      </c>
      <c r="D73" s="18">
        <v>33.840000000000003</v>
      </c>
      <c r="E73" s="27">
        <v>20</v>
      </c>
      <c r="F73" s="19">
        <v>16</v>
      </c>
      <c r="G73" s="20">
        <v>12</v>
      </c>
      <c r="H73" s="21">
        <f t="shared" si="18"/>
        <v>321.28031249999998</v>
      </c>
      <c r="I73" s="16"/>
      <c r="J73" s="25" t="s">
        <v>78</v>
      </c>
      <c r="K73" s="18">
        <v>56.08</v>
      </c>
      <c r="L73" s="18">
        <v>9.85</v>
      </c>
      <c r="M73" s="18">
        <v>34.07</v>
      </c>
      <c r="N73" s="27">
        <v>20</v>
      </c>
      <c r="O73" s="19">
        <v>15</v>
      </c>
      <c r="P73" s="20">
        <v>12</v>
      </c>
      <c r="Q73" s="21">
        <f t="shared" si="19"/>
        <v>340.46499999999997</v>
      </c>
      <c r="R73" s="9"/>
      <c r="S73" s="26" t="s">
        <v>78</v>
      </c>
      <c r="T73" s="18">
        <v>56.46</v>
      </c>
      <c r="U73" s="18">
        <v>9.25</v>
      </c>
      <c r="V73" s="18">
        <v>34.29</v>
      </c>
      <c r="W73" s="27">
        <v>20</v>
      </c>
      <c r="X73" s="19">
        <v>14</v>
      </c>
      <c r="Y73" s="20">
        <v>12</v>
      </c>
      <c r="Z73" s="21">
        <f t="shared" si="20"/>
        <v>362.39035714285711</v>
      </c>
    </row>
    <row r="74" spans="1:26" ht="10.5" customHeight="1" x14ac:dyDescent="0.25">
      <c r="A74" s="17" t="s">
        <v>79</v>
      </c>
      <c r="B74" s="18">
        <v>58.55</v>
      </c>
      <c r="C74" s="18">
        <v>10.97</v>
      </c>
      <c r="D74" s="18">
        <v>30.48</v>
      </c>
      <c r="E74" s="27">
        <v>20</v>
      </c>
      <c r="F74" s="19">
        <v>16</v>
      </c>
      <c r="G74" s="20">
        <v>14</v>
      </c>
      <c r="H74" s="21">
        <f t="shared" si="18"/>
        <v>305.74794642857142</v>
      </c>
      <c r="I74" s="16"/>
      <c r="J74" s="25" t="s">
        <v>79</v>
      </c>
      <c r="K74" s="18">
        <v>58.96</v>
      </c>
      <c r="L74" s="18">
        <v>10.35</v>
      </c>
      <c r="M74" s="18">
        <v>30.69</v>
      </c>
      <c r="N74" s="27">
        <v>20</v>
      </c>
      <c r="O74" s="19">
        <v>15</v>
      </c>
      <c r="P74" s="20">
        <v>14</v>
      </c>
      <c r="Q74" s="21">
        <f t="shared" si="19"/>
        <v>323.89714285714285</v>
      </c>
      <c r="R74" s="9"/>
      <c r="S74" s="26" t="s">
        <v>79</v>
      </c>
      <c r="T74" s="18">
        <v>59.36</v>
      </c>
      <c r="U74" s="18">
        <v>9.73</v>
      </c>
      <c r="V74" s="18">
        <v>30.91</v>
      </c>
      <c r="W74" s="27">
        <v>20</v>
      </c>
      <c r="X74" s="19">
        <v>14</v>
      </c>
      <c r="Y74" s="20">
        <v>14</v>
      </c>
      <c r="Z74" s="21">
        <f t="shared" si="20"/>
        <v>344.63908163265307</v>
      </c>
    </row>
    <row r="75" spans="1:26" ht="10.5" customHeight="1" x14ac:dyDescent="0.25">
      <c r="A75" s="17" t="s">
        <v>80</v>
      </c>
      <c r="B75" s="18">
        <v>60.87</v>
      </c>
      <c r="C75" s="18">
        <v>11.4</v>
      </c>
      <c r="D75" s="18">
        <v>27.73</v>
      </c>
      <c r="E75" s="27">
        <v>20</v>
      </c>
      <c r="F75" s="19">
        <v>16</v>
      </c>
      <c r="G75" s="20">
        <v>16</v>
      </c>
      <c r="H75" s="21">
        <f t="shared" si="18"/>
        <v>294.09867187499998</v>
      </c>
      <c r="I75" s="16"/>
      <c r="J75" s="25" t="s">
        <v>80</v>
      </c>
      <c r="K75" s="18">
        <v>61.31</v>
      </c>
      <c r="L75" s="18">
        <v>10.76</v>
      </c>
      <c r="M75" s="18">
        <v>27.93</v>
      </c>
      <c r="N75" s="27">
        <v>20</v>
      </c>
      <c r="O75" s="19">
        <v>15</v>
      </c>
      <c r="P75" s="20">
        <v>16</v>
      </c>
      <c r="Q75" s="21">
        <f t="shared" si="19"/>
        <v>311.47125</v>
      </c>
      <c r="R75" s="9"/>
      <c r="S75" s="26" t="s">
        <v>80</v>
      </c>
      <c r="T75" s="18">
        <v>61.75</v>
      </c>
      <c r="U75" s="18">
        <v>10.119999999999999</v>
      </c>
      <c r="V75" s="18">
        <v>28.13</v>
      </c>
      <c r="W75" s="27">
        <v>20</v>
      </c>
      <c r="X75" s="19">
        <v>14</v>
      </c>
      <c r="Y75" s="20">
        <v>16</v>
      </c>
      <c r="Z75" s="21">
        <f t="shared" si="20"/>
        <v>331.325625</v>
      </c>
    </row>
    <row r="76" spans="1:26" ht="10.5" customHeight="1" x14ac:dyDescent="0.25">
      <c r="A76" s="17" t="s">
        <v>81</v>
      </c>
      <c r="B76" s="18">
        <v>62.81</v>
      </c>
      <c r="C76" s="18">
        <v>11.76</v>
      </c>
      <c r="D76" s="18">
        <v>25.43</v>
      </c>
      <c r="E76" s="27">
        <v>20</v>
      </c>
      <c r="F76" s="19">
        <v>16</v>
      </c>
      <c r="G76" s="20">
        <v>18</v>
      </c>
      <c r="H76" s="21">
        <f t="shared" si="18"/>
        <v>285.03812499999998</v>
      </c>
      <c r="I76" s="16"/>
      <c r="J76" s="25" t="s">
        <v>81</v>
      </c>
      <c r="K76" s="18">
        <v>63.27</v>
      </c>
      <c r="L76" s="18">
        <v>11.11</v>
      </c>
      <c r="M76" s="18">
        <v>25.62</v>
      </c>
      <c r="N76" s="27">
        <v>20</v>
      </c>
      <c r="O76" s="19">
        <v>15</v>
      </c>
      <c r="P76" s="20">
        <v>18</v>
      </c>
      <c r="Q76" s="21">
        <f t="shared" si="19"/>
        <v>301.80666666666662</v>
      </c>
      <c r="R76" s="9"/>
      <c r="S76" s="26" t="s">
        <v>81</v>
      </c>
      <c r="T76" s="18">
        <v>63.74</v>
      </c>
      <c r="U76" s="18">
        <v>10.45</v>
      </c>
      <c r="V76" s="18">
        <v>25.81</v>
      </c>
      <c r="W76" s="27">
        <v>20</v>
      </c>
      <c r="X76" s="19">
        <v>14</v>
      </c>
      <c r="Y76" s="20">
        <v>18</v>
      </c>
      <c r="Z76" s="21">
        <f t="shared" si="20"/>
        <v>320.97071428571428</v>
      </c>
    </row>
    <row r="77" spans="1:26" ht="10.5" customHeight="1" x14ac:dyDescent="0.25">
      <c r="A77" s="17" t="s">
        <v>82</v>
      </c>
      <c r="B77" s="18">
        <v>64.44</v>
      </c>
      <c r="C77" s="18">
        <v>12.07</v>
      </c>
      <c r="D77" s="18">
        <v>23.49</v>
      </c>
      <c r="E77" s="27">
        <v>20</v>
      </c>
      <c r="F77" s="19">
        <v>16</v>
      </c>
      <c r="G77" s="20">
        <v>20</v>
      </c>
      <c r="H77" s="21">
        <f t="shared" si="18"/>
        <v>277.78968750000001</v>
      </c>
      <c r="I77" s="16"/>
      <c r="J77" s="25" t="s">
        <v>82</v>
      </c>
      <c r="K77" s="18">
        <v>64.94</v>
      </c>
      <c r="L77" s="18">
        <v>11.4</v>
      </c>
      <c r="M77" s="18">
        <v>23.66</v>
      </c>
      <c r="N77" s="27">
        <v>20</v>
      </c>
      <c r="O77" s="19">
        <v>15</v>
      </c>
      <c r="P77" s="20">
        <v>20</v>
      </c>
      <c r="Q77" s="21">
        <f t="shared" si="19"/>
        <v>294.07499999999999</v>
      </c>
      <c r="R77" s="9"/>
      <c r="S77" s="26" t="s">
        <v>82</v>
      </c>
      <c r="T77" s="18">
        <v>65.430000000000007</v>
      </c>
      <c r="U77" s="18">
        <v>10.72</v>
      </c>
      <c r="V77" s="18">
        <v>23.85</v>
      </c>
      <c r="W77" s="27">
        <v>20</v>
      </c>
      <c r="X77" s="19">
        <v>14</v>
      </c>
      <c r="Y77" s="20">
        <v>20</v>
      </c>
      <c r="Z77" s="21">
        <f t="shared" si="20"/>
        <v>312.68678571428569</v>
      </c>
    </row>
    <row r="78" spans="1:26" ht="10.5" customHeight="1" x14ac:dyDescent="0.25">
      <c r="A78" s="17" t="s">
        <v>83</v>
      </c>
      <c r="B78" s="18">
        <v>67.069999999999993</v>
      </c>
      <c r="C78" s="18">
        <v>12.56</v>
      </c>
      <c r="D78" s="18">
        <v>20.37</v>
      </c>
      <c r="E78" s="27">
        <v>20</v>
      </c>
      <c r="F78" s="19">
        <v>16</v>
      </c>
      <c r="G78" s="20">
        <v>24</v>
      </c>
      <c r="H78" s="21">
        <f t="shared" si="18"/>
        <v>266.91703124999998</v>
      </c>
      <c r="I78" s="16"/>
      <c r="J78" s="25" t="s">
        <v>83</v>
      </c>
      <c r="K78" s="18">
        <v>67.599999999999994</v>
      </c>
      <c r="L78" s="18">
        <v>11.87</v>
      </c>
      <c r="M78" s="18">
        <v>20.53</v>
      </c>
      <c r="N78" s="27">
        <v>20</v>
      </c>
      <c r="O78" s="19">
        <v>15</v>
      </c>
      <c r="P78" s="20">
        <v>24</v>
      </c>
      <c r="Q78" s="21">
        <f t="shared" si="19"/>
        <v>282.47749999999996</v>
      </c>
      <c r="R78" s="9"/>
      <c r="S78" s="26" t="s">
        <v>83</v>
      </c>
      <c r="T78" s="18">
        <v>68.14</v>
      </c>
      <c r="U78" s="18">
        <v>11.17</v>
      </c>
      <c r="V78" s="18">
        <v>20.69</v>
      </c>
      <c r="W78" s="27">
        <v>20</v>
      </c>
      <c r="X78" s="19">
        <v>14</v>
      </c>
      <c r="Y78" s="20">
        <v>24</v>
      </c>
      <c r="Z78" s="21">
        <f t="shared" si="20"/>
        <v>300.26089285714284</v>
      </c>
    </row>
    <row r="79" spans="1:26" ht="10.5" customHeight="1" x14ac:dyDescent="0.25">
      <c r="A79" s="17" t="s">
        <v>84</v>
      </c>
      <c r="B79" s="18">
        <v>68.14</v>
      </c>
      <c r="C79" s="18">
        <v>12.76</v>
      </c>
      <c r="D79" s="18">
        <v>19.100000000000001</v>
      </c>
      <c r="E79" s="27">
        <v>20</v>
      </c>
      <c r="F79" s="19">
        <v>16</v>
      </c>
      <c r="G79" s="20">
        <v>26</v>
      </c>
      <c r="H79" s="21">
        <f t="shared" si="18"/>
        <v>262.73524038461539</v>
      </c>
      <c r="I79" s="16"/>
      <c r="J79" s="25" t="s">
        <v>84</v>
      </c>
      <c r="K79" s="18">
        <v>68.69</v>
      </c>
      <c r="L79" s="18">
        <v>12.05</v>
      </c>
      <c r="M79" s="18">
        <v>19.260000000000002</v>
      </c>
      <c r="N79" s="27">
        <v>20</v>
      </c>
      <c r="O79" s="19">
        <v>15</v>
      </c>
      <c r="P79" s="20">
        <v>26</v>
      </c>
      <c r="Q79" s="21">
        <f t="shared" si="19"/>
        <v>278.01692307692304</v>
      </c>
      <c r="R79" s="9"/>
      <c r="S79" s="26" t="s">
        <v>84</v>
      </c>
      <c r="T79" s="18">
        <v>69.239999999999995</v>
      </c>
      <c r="U79" s="18">
        <v>11.35</v>
      </c>
      <c r="V79" s="18">
        <v>19.41</v>
      </c>
      <c r="W79" s="27">
        <v>20</v>
      </c>
      <c r="X79" s="19">
        <v>14</v>
      </c>
      <c r="Y79" s="20">
        <v>26</v>
      </c>
      <c r="Z79" s="21">
        <f t="shared" si="20"/>
        <v>295.4817032967033</v>
      </c>
    </row>
    <row r="80" spans="1:26" ht="10.5" customHeight="1" x14ac:dyDescent="0.25">
      <c r="A80" s="17" t="s">
        <v>85</v>
      </c>
      <c r="B80" s="18">
        <v>69.08</v>
      </c>
      <c r="C80" s="18">
        <v>12.94</v>
      </c>
      <c r="D80" s="18">
        <v>17.98</v>
      </c>
      <c r="E80" s="27">
        <v>20</v>
      </c>
      <c r="F80" s="19">
        <v>16</v>
      </c>
      <c r="G80" s="20">
        <v>28</v>
      </c>
      <c r="H80" s="21">
        <f t="shared" si="18"/>
        <v>259.1508482142857</v>
      </c>
      <c r="I80" s="16"/>
      <c r="J80" s="25" t="s">
        <v>85</v>
      </c>
      <c r="K80" s="18">
        <v>69.64</v>
      </c>
      <c r="L80" s="18">
        <v>12.23</v>
      </c>
      <c r="M80" s="18">
        <v>18.13</v>
      </c>
      <c r="N80" s="27">
        <v>20</v>
      </c>
      <c r="O80" s="19">
        <v>15</v>
      </c>
      <c r="P80" s="20">
        <v>28</v>
      </c>
      <c r="Q80" s="21">
        <f t="shared" si="19"/>
        <v>274.19357142857143</v>
      </c>
      <c r="R80" s="9"/>
      <c r="S80" s="26" t="s">
        <v>85</v>
      </c>
      <c r="T80" s="18">
        <v>70.22</v>
      </c>
      <c r="U80" s="18">
        <v>11.5</v>
      </c>
      <c r="V80" s="18">
        <v>18.28</v>
      </c>
      <c r="W80" s="27">
        <v>20</v>
      </c>
      <c r="X80" s="19">
        <v>14</v>
      </c>
      <c r="Y80" s="20">
        <v>28</v>
      </c>
      <c r="Z80" s="21">
        <f t="shared" si="20"/>
        <v>291.38525510204079</v>
      </c>
    </row>
    <row r="81" spans="1:26" ht="10.5" customHeight="1" x14ac:dyDescent="0.25">
      <c r="A81" s="17" t="s">
        <v>86</v>
      </c>
      <c r="B81" s="18">
        <v>69.92</v>
      </c>
      <c r="C81" s="18">
        <v>13.09</v>
      </c>
      <c r="D81" s="18">
        <v>16.989999999999998</v>
      </c>
      <c r="E81" s="27">
        <v>20</v>
      </c>
      <c r="F81" s="19">
        <v>16</v>
      </c>
      <c r="G81" s="20">
        <v>30</v>
      </c>
      <c r="H81" s="21">
        <f t="shared" si="18"/>
        <v>256.044375</v>
      </c>
      <c r="I81" s="16"/>
      <c r="J81" s="25" t="s">
        <v>86</v>
      </c>
      <c r="K81" s="18">
        <v>70.5</v>
      </c>
      <c r="L81" s="18">
        <v>12.37</v>
      </c>
      <c r="M81" s="18">
        <v>17.13</v>
      </c>
      <c r="N81" s="27">
        <v>20</v>
      </c>
      <c r="O81" s="19">
        <v>15</v>
      </c>
      <c r="P81" s="20">
        <v>30</v>
      </c>
      <c r="Q81" s="21">
        <f t="shared" si="19"/>
        <v>270.88</v>
      </c>
      <c r="R81" s="9"/>
      <c r="S81" s="26" t="s">
        <v>86</v>
      </c>
      <c r="T81" s="18">
        <v>71.08</v>
      </c>
      <c r="U81" s="18">
        <v>11.65</v>
      </c>
      <c r="V81" s="18">
        <v>17.27</v>
      </c>
      <c r="W81" s="27">
        <v>20</v>
      </c>
      <c r="X81" s="19">
        <v>14</v>
      </c>
      <c r="Y81" s="20">
        <v>30</v>
      </c>
      <c r="Z81" s="21">
        <f t="shared" si="20"/>
        <v>287.83499999999998</v>
      </c>
    </row>
    <row r="82" spans="1:26" x14ac:dyDescent="0.25">
      <c r="B82" s="4"/>
      <c r="C82" s="4"/>
      <c r="D82" s="4"/>
      <c r="E82" s="4"/>
      <c r="F82" s="4"/>
      <c r="G82" s="4"/>
      <c r="H82" s="4"/>
      <c r="I82" s="4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</row>
    <row r="83" spans="1:26" x14ac:dyDescent="0.25">
      <c r="B83" s="4"/>
      <c r="C83" s="4"/>
      <c r="D83" s="4"/>
      <c r="E83" s="4"/>
      <c r="F83" s="4"/>
      <c r="G83" s="4"/>
      <c r="H83" s="4"/>
      <c r="I83" s="4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</row>
    <row r="84" spans="1:26" x14ac:dyDescent="0.25">
      <c r="B84" s="4"/>
      <c r="C84" s="4"/>
      <c r="D84" s="4"/>
      <c r="E84" s="4"/>
      <c r="F84" s="4"/>
      <c r="G84" s="4"/>
      <c r="H84" s="4"/>
      <c r="I84" s="4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</row>
    <row r="85" spans="1:26" x14ac:dyDescent="0.25">
      <c r="B85" s="4"/>
      <c r="C85" s="4"/>
      <c r="D85" s="4"/>
      <c r="E85" s="4"/>
      <c r="F85" s="4"/>
      <c r="G85" s="4"/>
      <c r="H85" s="4"/>
      <c r="I85" s="4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</row>
    <row r="86" spans="1:26" x14ac:dyDescent="0.25">
      <c r="B86" s="4"/>
      <c r="C86" s="4"/>
      <c r="D86" s="4"/>
      <c r="E86" s="4"/>
      <c r="F86" s="4"/>
      <c r="G86" s="4"/>
      <c r="H86" s="4"/>
      <c r="I86" s="4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</row>
    <row r="87" spans="1:26" x14ac:dyDescent="0.25">
      <c r="B87" s="4"/>
      <c r="C87" s="4"/>
      <c r="D87" s="4"/>
      <c r="E87" s="4"/>
      <c r="F87" s="4"/>
      <c r="G87" s="4"/>
      <c r="H87" s="4"/>
      <c r="I87" s="4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</row>
    <row r="88" spans="1:26" x14ac:dyDescent="0.25">
      <c r="B88" s="4"/>
      <c r="C88" s="4"/>
      <c r="D88" s="4"/>
      <c r="E88" s="4"/>
      <c r="F88" s="4"/>
      <c r="G88" s="4"/>
      <c r="H88" s="4"/>
      <c r="I88" s="4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</row>
    <row r="89" spans="1:26" x14ac:dyDescent="0.25">
      <c r="B89" s="4"/>
      <c r="C89" s="4"/>
      <c r="D89" s="4"/>
      <c r="E89" s="4"/>
      <c r="F89" s="4"/>
      <c r="G89" s="4"/>
      <c r="H89" s="4"/>
      <c r="I89" s="4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</row>
    <row r="90" spans="1:26" x14ac:dyDescent="0.25">
      <c r="B90" s="4"/>
      <c r="C90" s="4"/>
      <c r="D90" s="4"/>
      <c r="E90" s="4"/>
      <c r="F90" s="4"/>
      <c r="G90" s="4"/>
      <c r="H90" s="4"/>
      <c r="I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</row>
    <row r="91" spans="1:26" x14ac:dyDescent="0.25">
      <c r="B91" s="4"/>
      <c r="C91" s="4"/>
      <c r="D91" s="4"/>
      <c r="E91" s="4"/>
      <c r="F91" s="4"/>
      <c r="G91" s="4"/>
      <c r="H91" s="4"/>
      <c r="I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</row>
    <row r="92" spans="1:26" x14ac:dyDescent="0.25">
      <c r="B92" s="4"/>
      <c r="C92" s="4"/>
      <c r="D92" s="4"/>
      <c r="E92" s="4"/>
      <c r="F92" s="4"/>
      <c r="G92" s="4"/>
      <c r="H92" s="4"/>
      <c r="I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</row>
    <row r="93" spans="1:26" x14ac:dyDescent="0.25">
      <c r="B93" s="4"/>
      <c r="C93" s="4"/>
      <c r="D93" s="4"/>
      <c r="E93" s="4"/>
      <c r="F93" s="4"/>
      <c r="G93" s="4"/>
      <c r="H93" s="4"/>
      <c r="I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</row>
    <row r="94" spans="1:26" x14ac:dyDescent="0.25">
      <c r="B94" s="4"/>
      <c r="C94" s="4"/>
      <c r="D94" s="4"/>
      <c r="E94" s="4"/>
      <c r="F94" s="4"/>
      <c r="G94" s="4"/>
      <c r="H94" s="4"/>
      <c r="I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</row>
    <row r="95" spans="1:26" x14ac:dyDescent="0.25"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</row>
    <row r="96" spans="1:26" x14ac:dyDescent="0.25"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</row>
    <row r="97" spans="2:26" x14ac:dyDescent="0.25"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</row>
    <row r="98" spans="2:26" x14ac:dyDescent="0.25"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</row>
    <row r="99" spans="2:26" x14ac:dyDescent="0.25"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</row>
    <row r="100" spans="2:26" x14ac:dyDescent="0.25"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</row>
    <row r="101" spans="2:26" x14ac:dyDescent="0.25">
      <c r="B101" s="4"/>
      <c r="C101" s="4"/>
      <c r="D101" s="4"/>
      <c r="E101" s="4"/>
      <c r="F101" s="4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T101" s="4"/>
      <c r="U101" s="4"/>
      <c r="V101" s="4"/>
      <c r="W101" s="4"/>
      <c r="X101" s="4"/>
      <c r="Y101" s="4"/>
      <c r="Z101" s="4"/>
    </row>
    <row r="102" spans="2:26" x14ac:dyDescent="0.25">
      <c r="B102" s="4"/>
      <c r="C102" s="4"/>
      <c r="D102" s="4"/>
      <c r="E102" s="4"/>
      <c r="F102" s="4"/>
      <c r="G102" s="4"/>
      <c r="H102" s="4"/>
      <c r="I102" s="4"/>
      <c r="K102" s="4"/>
      <c r="L102" s="4"/>
      <c r="M102" s="4"/>
      <c r="N102" s="4"/>
      <c r="O102" s="4"/>
      <c r="P102" s="4"/>
      <c r="Q102" s="4"/>
      <c r="R102" s="4"/>
      <c r="T102" s="4"/>
      <c r="U102" s="4"/>
      <c r="V102" s="4"/>
      <c r="W102" s="4"/>
      <c r="X102" s="4"/>
      <c r="Y102" s="4"/>
      <c r="Z102" s="4"/>
    </row>
    <row r="103" spans="2:26" x14ac:dyDescent="0.25">
      <c r="B103" s="4"/>
      <c r="C103" s="4"/>
      <c r="D103" s="4"/>
      <c r="E103" s="4"/>
      <c r="F103" s="4"/>
      <c r="G103" s="4"/>
      <c r="H103" s="4"/>
      <c r="I103" s="4"/>
      <c r="K103" s="4"/>
      <c r="L103" s="4"/>
      <c r="M103" s="4"/>
      <c r="N103" s="4"/>
      <c r="O103" s="4"/>
      <c r="P103" s="4"/>
      <c r="Q103" s="4"/>
      <c r="R103" s="4"/>
      <c r="T103" s="4"/>
      <c r="U103" s="4"/>
      <c r="V103" s="4"/>
      <c r="W103" s="4"/>
      <c r="X103" s="4"/>
      <c r="Y103" s="4"/>
      <c r="Z103" s="4"/>
    </row>
    <row r="104" spans="2:26" x14ac:dyDescent="0.25">
      <c r="B104" s="4"/>
      <c r="C104" s="4"/>
      <c r="D104" s="4"/>
      <c r="E104" s="4"/>
      <c r="F104" s="4"/>
      <c r="G104" s="4"/>
      <c r="H104" s="4"/>
      <c r="I104" s="4"/>
      <c r="K104" s="4"/>
      <c r="L104" s="4"/>
      <c r="M104" s="4"/>
      <c r="N104" s="4"/>
      <c r="O104" s="4"/>
      <c r="P104" s="4"/>
      <c r="Q104" s="4"/>
      <c r="R104" s="4"/>
      <c r="T104" s="4"/>
      <c r="U104" s="4"/>
      <c r="V104" s="4"/>
      <c r="W104" s="4"/>
      <c r="X104" s="4"/>
      <c r="Y104" s="4"/>
      <c r="Z104" s="4"/>
    </row>
    <row r="105" spans="2:26" x14ac:dyDescent="0.25">
      <c r="B105" s="4"/>
      <c r="C105" s="4"/>
      <c r="D105" s="4"/>
      <c r="E105" s="4"/>
      <c r="F105" s="4"/>
      <c r="G105" s="4"/>
      <c r="H105" s="4"/>
      <c r="I105" s="4"/>
      <c r="K105" s="4"/>
      <c r="L105" s="4"/>
      <c r="M105" s="4"/>
      <c r="N105" s="4"/>
      <c r="O105" s="4"/>
      <c r="P105" s="4"/>
      <c r="Q105" s="4"/>
      <c r="R105" s="4"/>
      <c r="T105" s="4"/>
      <c r="U105" s="4"/>
      <c r="V105" s="4"/>
      <c r="W105" s="4"/>
      <c r="X105" s="4"/>
      <c r="Y105" s="4"/>
      <c r="Z105" s="4"/>
    </row>
    <row r="106" spans="2:26" x14ac:dyDescent="0.25">
      <c r="B106" s="4"/>
      <c r="C106" s="4"/>
      <c r="D106" s="4"/>
      <c r="E106" s="4"/>
      <c r="F106" s="4"/>
      <c r="G106" s="4"/>
      <c r="H106" s="4"/>
      <c r="I106" s="4"/>
      <c r="K106" s="4"/>
      <c r="L106" s="4"/>
      <c r="M106" s="4"/>
      <c r="N106" s="4"/>
      <c r="O106" s="4"/>
      <c r="P106" s="4"/>
      <c r="Q106" s="4"/>
      <c r="R106" s="4"/>
      <c r="T106" s="4"/>
      <c r="U106" s="4"/>
      <c r="V106" s="4"/>
      <c r="W106" s="4"/>
      <c r="X106" s="4"/>
      <c r="Y106" s="4"/>
      <c r="Z106" s="4"/>
    </row>
    <row r="107" spans="2:26" x14ac:dyDescent="0.25">
      <c r="B107" s="4"/>
      <c r="C107" s="4"/>
      <c r="D107" s="4"/>
      <c r="E107" s="4"/>
      <c r="F107" s="4"/>
      <c r="G107" s="4"/>
      <c r="H107" s="4"/>
      <c r="I107" s="4"/>
      <c r="K107" s="4"/>
      <c r="L107" s="4"/>
      <c r="M107" s="4"/>
      <c r="N107" s="4"/>
      <c r="O107" s="4"/>
      <c r="P107" s="4"/>
      <c r="Q107" s="4"/>
      <c r="R107" s="4"/>
      <c r="T107" s="4"/>
      <c r="U107" s="4"/>
      <c r="V107" s="4"/>
      <c r="W107" s="4"/>
      <c r="X107" s="4"/>
      <c r="Y107" s="4"/>
      <c r="Z107" s="4"/>
    </row>
    <row r="108" spans="2:26" x14ac:dyDescent="0.25">
      <c r="B108" s="4"/>
      <c r="C108" s="4"/>
      <c r="D108" s="4"/>
      <c r="E108" s="4"/>
      <c r="F108" s="4"/>
      <c r="G108" s="4"/>
      <c r="H108" s="4"/>
      <c r="I108" s="4"/>
      <c r="K108" s="4"/>
      <c r="L108" s="4"/>
      <c r="M108" s="4"/>
      <c r="N108" s="4"/>
      <c r="O108" s="4"/>
      <c r="P108" s="4"/>
      <c r="Q108" s="4"/>
      <c r="R108" s="4"/>
      <c r="T108" s="4"/>
      <c r="U108" s="4"/>
      <c r="V108" s="4"/>
      <c r="W108" s="4"/>
      <c r="X108" s="4"/>
      <c r="Y108" s="4"/>
      <c r="Z108" s="4"/>
    </row>
    <row r="109" spans="2:26" x14ac:dyDescent="0.25">
      <c r="B109" s="4"/>
      <c r="C109" s="4"/>
      <c r="D109" s="4"/>
      <c r="E109" s="4"/>
      <c r="F109" s="4"/>
      <c r="G109" s="4"/>
      <c r="H109" s="4"/>
      <c r="I109" s="4"/>
      <c r="K109" s="4"/>
      <c r="L109" s="4"/>
      <c r="M109" s="4"/>
      <c r="N109" s="4"/>
      <c r="O109" s="4"/>
      <c r="P109" s="4"/>
      <c r="Q109" s="4"/>
      <c r="R109" s="4"/>
      <c r="T109" s="4"/>
      <c r="U109" s="4"/>
      <c r="V109" s="4"/>
      <c r="W109" s="4"/>
      <c r="X109" s="4"/>
      <c r="Y109" s="4"/>
      <c r="Z109" s="4"/>
    </row>
    <row r="110" spans="2:26" x14ac:dyDescent="0.25">
      <c r="B110" s="4"/>
      <c r="C110" s="4"/>
      <c r="D110" s="4"/>
      <c r="E110" s="4"/>
      <c r="F110" s="4"/>
      <c r="G110" s="4"/>
      <c r="H110" s="4"/>
      <c r="I110" s="4"/>
      <c r="K110" s="4"/>
      <c r="L110" s="4"/>
      <c r="M110" s="4"/>
      <c r="N110" s="4"/>
      <c r="O110" s="4"/>
      <c r="P110" s="4"/>
      <c r="Q110" s="4"/>
      <c r="R110" s="4"/>
      <c r="T110" s="4"/>
      <c r="U110" s="4"/>
      <c r="V110" s="4"/>
      <c r="W110" s="4"/>
      <c r="X110" s="4"/>
      <c r="Y110" s="4"/>
      <c r="Z110" s="4"/>
    </row>
    <row r="111" spans="2:26" x14ac:dyDescent="0.25">
      <c r="B111" s="4"/>
      <c r="C111" s="4"/>
      <c r="D111" s="4"/>
      <c r="E111" s="4"/>
      <c r="F111" s="4"/>
      <c r="G111" s="4"/>
      <c r="H111" s="4"/>
      <c r="I111" s="4"/>
      <c r="K111" s="4"/>
      <c r="L111" s="4"/>
      <c r="M111" s="4"/>
      <c r="N111" s="4"/>
      <c r="O111" s="4"/>
      <c r="P111" s="4"/>
      <c r="Q111" s="4"/>
      <c r="R111" s="4"/>
      <c r="T111" s="4"/>
      <c r="U111" s="4"/>
      <c r="V111" s="4"/>
      <c r="W111" s="4"/>
      <c r="X111" s="4"/>
      <c r="Y111" s="4"/>
      <c r="Z111" s="4"/>
    </row>
  </sheetData>
  <mergeCells count="4">
    <mergeCell ref="A1:Z1"/>
    <mergeCell ref="B2:D2"/>
    <mergeCell ref="K2:M2"/>
    <mergeCell ref="T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9"/>
  <sheetViews>
    <sheetView workbookViewId="0">
      <selection activeCell="G31" sqref="A1:XFD1048576"/>
    </sheetView>
  </sheetViews>
  <sheetFormatPr defaultRowHeight="15" x14ac:dyDescent="0.25"/>
  <cols>
    <col min="1" max="1" width="10.7109375" style="2" customWidth="1"/>
    <col min="2" max="4" width="7.42578125" style="2" customWidth="1"/>
    <col min="5" max="7" width="7.42578125" style="2" hidden="1" customWidth="1"/>
    <col min="8" max="8" width="7.42578125" style="2" customWidth="1"/>
    <col min="9" max="9" width="1" style="2" customWidth="1"/>
    <col min="10" max="10" width="10" style="2" customWidth="1"/>
    <col min="11" max="13" width="7.42578125" style="2" customWidth="1"/>
    <col min="14" max="16" width="7.42578125" style="2" hidden="1" customWidth="1"/>
    <col min="17" max="17" width="7.42578125" style="2" customWidth="1"/>
    <col min="18" max="18" width="1" style="2" customWidth="1"/>
    <col min="19" max="19" width="10.140625" style="2" customWidth="1"/>
    <col min="20" max="22" width="7.42578125" style="2" customWidth="1"/>
    <col min="23" max="25" width="7.42578125" style="2" hidden="1" customWidth="1"/>
    <col min="26" max="26" width="7.42578125" style="2" customWidth="1"/>
    <col min="27" max="1024" width="10" style="2" customWidth="1"/>
    <col min="1025" max="1025" width="10.28515625" customWidth="1"/>
  </cols>
  <sheetData>
    <row r="1" spans="1:26" ht="15.75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B2" s="3" t="s">
        <v>88</v>
      </c>
      <c r="C2" s="3"/>
      <c r="D2" s="3"/>
      <c r="E2" s="5"/>
      <c r="F2" s="5"/>
      <c r="G2" s="5"/>
      <c r="H2" s="5"/>
      <c r="I2" s="5"/>
      <c r="K2" s="3" t="s">
        <v>89</v>
      </c>
      <c r="L2" s="3"/>
      <c r="M2" s="3"/>
      <c r="N2" s="5"/>
      <c r="O2" s="5"/>
      <c r="P2" s="5"/>
      <c r="Q2" s="5"/>
      <c r="R2" s="5"/>
      <c r="T2" s="3" t="s">
        <v>90</v>
      </c>
      <c r="U2" s="3"/>
      <c r="V2" s="3"/>
      <c r="W2" s="5"/>
      <c r="X2" s="5"/>
      <c r="Y2" s="5"/>
      <c r="Z2" s="5"/>
    </row>
    <row r="3" spans="1:26" x14ac:dyDescent="0.25">
      <c r="B3" s="6" t="s">
        <v>4</v>
      </c>
      <c r="C3" s="7" t="s">
        <v>5</v>
      </c>
      <c r="D3" s="6" t="s">
        <v>6</v>
      </c>
      <c r="E3" s="9"/>
      <c r="F3" s="9"/>
      <c r="G3" s="9"/>
      <c r="H3" s="9"/>
      <c r="I3" s="9"/>
      <c r="K3" s="6" t="s">
        <v>4</v>
      </c>
      <c r="L3" s="7" t="s">
        <v>5</v>
      </c>
      <c r="M3" s="6" t="s">
        <v>6</v>
      </c>
      <c r="N3" s="9"/>
      <c r="O3" s="9"/>
      <c r="P3" s="9"/>
      <c r="Q3" s="9"/>
      <c r="R3" s="9"/>
      <c r="T3" s="6" t="s">
        <v>4</v>
      </c>
      <c r="U3" s="7" t="s">
        <v>5</v>
      </c>
      <c r="V3" s="6" t="s">
        <v>6</v>
      </c>
      <c r="W3" s="9"/>
      <c r="X3" s="9"/>
      <c r="Y3" s="9"/>
      <c r="Z3" s="9"/>
    </row>
    <row r="4" spans="1:26" x14ac:dyDescent="0.25">
      <c r="A4" s="10" t="s">
        <v>7</v>
      </c>
      <c r="B4" s="6" t="s">
        <v>8</v>
      </c>
      <c r="C4" s="6" t="s">
        <v>8</v>
      </c>
      <c r="D4" s="6" t="s">
        <v>8</v>
      </c>
      <c r="E4" s="9"/>
      <c r="F4" s="9"/>
      <c r="G4" s="9"/>
      <c r="H4" s="11" t="s">
        <v>9</v>
      </c>
      <c r="I4" s="9"/>
      <c r="J4" s="10" t="s">
        <v>7</v>
      </c>
      <c r="K4" s="6" t="s">
        <v>8</v>
      </c>
      <c r="L4" s="6" t="s">
        <v>8</v>
      </c>
      <c r="M4" s="6" t="s">
        <v>8</v>
      </c>
      <c r="N4" s="9"/>
      <c r="O4" s="9"/>
      <c r="P4" s="9"/>
      <c r="Q4" s="11" t="s">
        <v>9</v>
      </c>
      <c r="R4" s="9"/>
      <c r="S4" s="10" t="s">
        <v>7</v>
      </c>
      <c r="T4" s="6" t="s">
        <v>8</v>
      </c>
      <c r="U4" s="6" t="s">
        <v>8</v>
      </c>
      <c r="V4" s="6" t="s">
        <v>8</v>
      </c>
      <c r="W4" s="9"/>
      <c r="X4" s="9"/>
      <c r="Y4" s="9"/>
      <c r="Z4" s="11" t="s">
        <v>9</v>
      </c>
    </row>
    <row r="5" spans="1:26" ht="9.75" customHeight="1" x14ac:dyDescent="0.25">
      <c r="A5" s="12" t="s">
        <v>10</v>
      </c>
      <c r="B5" s="13" t="s">
        <v>11</v>
      </c>
      <c r="C5" s="13" t="s">
        <v>12</v>
      </c>
      <c r="D5" s="13" t="s">
        <v>13</v>
      </c>
      <c r="E5" s="16"/>
      <c r="F5" s="16"/>
      <c r="G5" s="16"/>
      <c r="H5" s="15" t="s">
        <v>14</v>
      </c>
      <c r="I5" s="16"/>
      <c r="J5" s="12" t="s">
        <v>10</v>
      </c>
      <c r="K5" s="13" t="s">
        <v>11</v>
      </c>
      <c r="L5" s="13" t="s">
        <v>15</v>
      </c>
      <c r="M5" s="13" t="s">
        <v>13</v>
      </c>
      <c r="N5" s="16"/>
      <c r="O5" s="16"/>
      <c r="P5" s="16"/>
      <c r="Q5" s="15" t="s">
        <v>14</v>
      </c>
      <c r="R5" s="16"/>
      <c r="S5" s="12" t="s">
        <v>10</v>
      </c>
      <c r="T5" s="13" t="s">
        <v>11</v>
      </c>
      <c r="U5" s="13" t="s">
        <v>16</v>
      </c>
      <c r="V5" s="13" t="s">
        <v>13</v>
      </c>
      <c r="W5" s="16"/>
      <c r="X5" s="19"/>
      <c r="Y5" s="24"/>
      <c r="Z5" s="15" t="s">
        <v>14</v>
      </c>
    </row>
    <row r="6" spans="1:26" ht="9.75" customHeight="1" x14ac:dyDescent="0.25">
      <c r="A6" s="17" t="s">
        <v>91</v>
      </c>
      <c r="B6" s="18">
        <v>34.020000000000003</v>
      </c>
      <c r="C6" s="18">
        <v>16.38</v>
      </c>
      <c r="D6" s="18">
        <v>49.6</v>
      </c>
      <c r="E6" s="16">
        <v>40</v>
      </c>
      <c r="F6" s="19">
        <v>16</v>
      </c>
      <c r="G6" s="24">
        <v>10</v>
      </c>
      <c r="H6" s="21">
        <f t="shared" ref="H6:H15" si="0">60890.59/E6/F6+45.8128+22189.08/G6/F6</f>
        <v>279.63609687500002</v>
      </c>
      <c r="I6" s="16"/>
      <c r="J6" s="17" t="s">
        <v>91</v>
      </c>
      <c r="K6" s="18">
        <v>34.369999999999997</v>
      </c>
      <c r="L6" s="18">
        <v>15.52</v>
      </c>
      <c r="M6" s="18">
        <v>50.11</v>
      </c>
      <c r="N6" s="16">
        <v>40</v>
      </c>
      <c r="O6" s="19">
        <v>15</v>
      </c>
      <c r="P6" s="24">
        <v>10</v>
      </c>
      <c r="Q6" s="21">
        <f t="shared" ref="Q6:Q15" si="1">60890.59/N6/O6+45.8128+22189.08/P6/O6</f>
        <v>295.22431666666671</v>
      </c>
      <c r="R6" s="16"/>
      <c r="S6" s="17" t="s">
        <v>91</v>
      </c>
      <c r="T6" s="18">
        <v>34.729999999999997</v>
      </c>
      <c r="U6" s="18">
        <v>14.64</v>
      </c>
      <c r="V6" s="18">
        <v>50.63</v>
      </c>
      <c r="W6" s="16">
        <v>40</v>
      </c>
      <c r="X6" s="19">
        <v>14</v>
      </c>
      <c r="Y6" s="24">
        <v>10</v>
      </c>
      <c r="Z6" s="21">
        <f t="shared" ref="Z6:Z15" si="2">60890.59/W6/X6+45.8128+22189.08/Y6/X6</f>
        <v>313.03942500000005</v>
      </c>
    </row>
    <row r="7" spans="1:26" ht="9.75" customHeight="1" x14ac:dyDescent="0.25">
      <c r="A7" s="17" t="s">
        <v>92</v>
      </c>
      <c r="B7" s="18">
        <v>37.090000000000003</v>
      </c>
      <c r="C7" s="18">
        <v>17.86</v>
      </c>
      <c r="D7" s="18">
        <v>45.05</v>
      </c>
      <c r="E7" s="16">
        <v>40</v>
      </c>
      <c r="F7" s="19">
        <v>16</v>
      </c>
      <c r="G7" s="24">
        <v>12</v>
      </c>
      <c r="H7" s="21">
        <f t="shared" si="0"/>
        <v>256.52247187500001</v>
      </c>
      <c r="I7" s="16"/>
      <c r="J7" s="17" t="s">
        <v>92</v>
      </c>
      <c r="K7" s="18">
        <v>37.51</v>
      </c>
      <c r="L7" s="18">
        <v>16.93</v>
      </c>
      <c r="M7" s="18">
        <v>45.56</v>
      </c>
      <c r="N7" s="16">
        <v>40</v>
      </c>
      <c r="O7" s="19">
        <v>15</v>
      </c>
      <c r="P7" s="24">
        <v>12</v>
      </c>
      <c r="Q7" s="21">
        <f t="shared" si="1"/>
        <v>270.56978333333336</v>
      </c>
      <c r="R7" s="16"/>
      <c r="S7" s="17" t="s">
        <v>92</v>
      </c>
      <c r="T7" s="18">
        <v>37.94</v>
      </c>
      <c r="U7" s="18">
        <v>15.98</v>
      </c>
      <c r="V7" s="18">
        <v>46.08</v>
      </c>
      <c r="W7" s="16">
        <v>40</v>
      </c>
      <c r="X7" s="19">
        <v>14</v>
      </c>
      <c r="Y7" s="24">
        <v>12</v>
      </c>
      <c r="Z7" s="21">
        <f t="shared" si="2"/>
        <v>286.62385357142853</v>
      </c>
    </row>
    <row r="8" spans="1:26" ht="9.75" customHeight="1" x14ac:dyDescent="0.25">
      <c r="A8" s="17" t="s">
        <v>93</v>
      </c>
      <c r="B8" s="18">
        <v>39.64</v>
      </c>
      <c r="C8" s="18">
        <v>19.09</v>
      </c>
      <c r="D8" s="18">
        <v>41.27</v>
      </c>
      <c r="E8" s="16">
        <v>40</v>
      </c>
      <c r="F8" s="19">
        <v>16</v>
      </c>
      <c r="G8" s="24">
        <v>14</v>
      </c>
      <c r="H8" s="21">
        <f t="shared" si="0"/>
        <v>240.01273973214285</v>
      </c>
      <c r="I8" s="16"/>
      <c r="J8" s="17" t="s">
        <v>93</v>
      </c>
      <c r="K8" s="18">
        <v>40.119999999999997</v>
      </c>
      <c r="L8" s="18">
        <v>18.11</v>
      </c>
      <c r="M8" s="18">
        <v>41.77</v>
      </c>
      <c r="N8" s="16">
        <v>40</v>
      </c>
      <c r="O8" s="19">
        <v>15</v>
      </c>
      <c r="P8" s="24">
        <v>14</v>
      </c>
      <c r="Q8" s="21">
        <f t="shared" si="1"/>
        <v>252.95940238095238</v>
      </c>
      <c r="R8" s="16"/>
      <c r="S8" s="17" t="s">
        <v>93</v>
      </c>
      <c r="T8" s="18">
        <v>40.61</v>
      </c>
      <c r="U8" s="18">
        <v>17.11</v>
      </c>
      <c r="V8" s="18">
        <v>42.28</v>
      </c>
      <c r="W8" s="16">
        <v>40</v>
      </c>
      <c r="X8" s="19">
        <v>14</v>
      </c>
      <c r="Y8" s="24">
        <v>14</v>
      </c>
      <c r="Z8" s="21">
        <f t="shared" si="2"/>
        <v>267.75558826530613</v>
      </c>
    </row>
    <row r="9" spans="1:26" ht="9.75" customHeight="1" x14ac:dyDescent="0.25">
      <c r="A9" s="17" t="s">
        <v>94</v>
      </c>
      <c r="B9" s="18">
        <v>41.79</v>
      </c>
      <c r="C9" s="18">
        <v>20.13</v>
      </c>
      <c r="D9" s="18">
        <v>38.08</v>
      </c>
      <c r="E9" s="16">
        <v>40</v>
      </c>
      <c r="F9" s="19">
        <v>16</v>
      </c>
      <c r="G9" s="24">
        <v>16</v>
      </c>
      <c r="H9" s="21">
        <f t="shared" si="0"/>
        <v>227.63044062500001</v>
      </c>
      <c r="I9" s="16"/>
      <c r="J9" s="17" t="s">
        <v>94</v>
      </c>
      <c r="K9" s="18">
        <v>42.33</v>
      </c>
      <c r="L9" s="18">
        <v>19.11</v>
      </c>
      <c r="M9" s="18">
        <v>38.56</v>
      </c>
      <c r="N9" s="16">
        <v>40</v>
      </c>
      <c r="O9" s="19">
        <v>15</v>
      </c>
      <c r="P9" s="24">
        <v>16</v>
      </c>
      <c r="Q9" s="21">
        <f t="shared" si="1"/>
        <v>239.75161666666668</v>
      </c>
      <c r="R9" s="16"/>
      <c r="S9" s="17" t="s">
        <v>94</v>
      </c>
      <c r="T9" s="18">
        <v>42.87</v>
      </c>
      <c r="U9" s="18">
        <v>18.07</v>
      </c>
      <c r="V9" s="18">
        <v>39.06</v>
      </c>
      <c r="W9" s="16">
        <v>40</v>
      </c>
      <c r="X9" s="19">
        <v>14</v>
      </c>
      <c r="Y9" s="24">
        <v>16</v>
      </c>
      <c r="Z9" s="21">
        <f t="shared" si="2"/>
        <v>253.60438928571426</v>
      </c>
    </row>
    <row r="10" spans="1:26" ht="9.75" customHeight="1" x14ac:dyDescent="0.25">
      <c r="A10" s="17" t="s">
        <v>95</v>
      </c>
      <c r="B10" s="18">
        <v>43.64</v>
      </c>
      <c r="C10" s="18">
        <v>21.02</v>
      </c>
      <c r="D10" s="18">
        <v>35.340000000000003</v>
      </c>
      <c r="E10" s="16">
        <v>40</v>
      </c>
      <c r="F10" s="19">
        <v>16</v>
      </c>
      <c r="G10" s="24">
        <v>18</v>
      </c>
      <c r="H10" s="21">
        <f t="shared" si="0"/>
        <v>217.99976354166665</v>
      </c>
      <c r="I10" s="16"/>
      <c r="J10" s="17" t="s">
        <v>95</v>
      </c>
      <c r="K10" s="18">
        <v>44.23</v>
      </c>
      <c r="L10" s="18">
        <v>19.96</v>
      </c>
      <c r="M10" s="18">
        <v>35.81</v>
      </c>
      <c r="N10" s="16">
        <v>40</v>
      </c>
      <c r="O10" s="19">
        <v>15</v>
      </c>
      <c r="P10" s="24">
        <v>18</v>
      </c>
      <c r="Q10" s="21">
        <f t="shared" si="1"/>
        <v>229.47889444444445</v>
      </c>
      <c r="R10" s="16"/>
      <c r="S10" s="17" t="s">
        <v>95</v>
      </c>
      <c r="T10" s="18">
        <v>44.82</v>
      </c>
      <c r="U10" s="18">
        <v>18.88</v>
      </c>
      <c r="V10" s="18">
        <v>36.299999999999997</v>
      </c>
      <c r="W10" s="16">
        <v>40</v>
      </c>
      <c r="X10" s="19">
        <v>14</v>
      </c>
      <c r="Y10" s="24">
        <v>18</v>
      </c>
      <c r="Z10" s="21">
        <f t="shared" si="2"/>
        <v>242.59790119047619</v>
      </c>
    </row>
    <row r="11" spans="1:26" ht="9.75" customHeight="1" x14ac:dyDescent="0.25">
      <c r="A11" s="17" t="s">
        <v>96</v>
      </c>
      <c r="B11" s="18">
        <v>45.24</v>
      </c>
      <c r="C11" s="18">
        <v>21.79</v>
      </c>
      <c r="D11" s="18">
        <v>32.97</v>
      </c>
      <c r="E11" s="16">
        <v>40</v>
      </c>
      <c r="F11" s="19">
        <v>16</v>
      </c>
      <c r="G11" s="24">
        <v>20</v>
      </c>
      <c r="H11" s="21">
        <f t="shared" si="0"/>
        <v>210.29522187500001</v>
      </c>
      <c r="I11" s="16"/>
      <c r="J11" s="17" t="s">
        <v>96</v>
      </c>
      <c r="K11" s="18">
        <v>45.86</v>
      </c>
      <c r="L11" s="18">
        <v>20.71</v>
      </c>
      <c r="M11" s="18">
        <v>33.43</v>
      </c>
      <c r="N11" s="16">
        <v>40</v>
      </c>
      <c r="O11" s="19">
        <v>15</v>
      </c>
      <c r="P11" s="24">
        <v>20</v>
      </c>
      <c r="Q11" s="21">
        <f t="shared" si="1"/>
        <v>221.26071666666667</v>
      </c>
      <c r="R11" s="16"/>
      <c r="S11" s="17" t="s">
        <v>96</v>
      </c>
      <c r="T11" s="18">
        <v>46.5</v>
      </c>
      <c r="U11" s="18">
        <v>19.600000000000001</v>
      </c>
      <c r="V11" s="18">
        <v>33.9</v>
      </c>
      <c r="W11" s="16">
        <v>40</v>
      </c>
      <c r="X11" s="19">
        <v>14</v>
      </c>
      <c r="Y11" s="24">
        <v>20</v>
      </c>
      <c r="Z11" s="21">
        <f t="shared" si="2"/>
        <v>233.7927107142857</v>
      </c>
    </row>
    <row r="12" spans="1:26" ht="9.75" customHeight="1" x14ac:dyDescent="0.25">
      <c r="A12" s="17" t="s">
        <v>97</v>
      </c>
      <c r="B12" s="18">
        <v>47.87</v>
      </c>
      <c r="C12" s="18">
        <v>23.05</v>
      </c>
      <c r="D12" s="18">
        <v>29.08</v>
      </c>
      <c r="E12" s="16">
        <v>40</v>
      </c>
      <c r="F12" s="19">
        <v>16</v>
      </c>
      <c r="G12" s="24">
        <v>24</v>
      </c>
      <c r="H12" s="21">
        <f t="shared" si="0"/>
        <v>198.738409375</v>
      </c>
      <c r="I12" s="16"/>
      <c r="J12" s="17" t="s">
        <v>97</v>
      </c>
      <c r="K12" s="18">
        <v>48.57</v>
      </c>
      <c r="L12" s="18">
        <v>21.93</v>
      </c>
      <c r="M12" s="18">
        <v>29.5</v>
      </c>
      <c r="N12" s="16">
        <v>40</v>
      </c>
      <c r="O12" s="19">
        <v>15</v>
      </c>
      <c r="P12" s="24">
        <v>24</v>
      </c>
      <c r="Q12" s="21">
        <f t="shared" si="1"/>
        <v>208.93344999999999</v>
      </c>
      <c r="R12" s="16"/>
      <c r="S12" s="17" t="s">
        <v>97</v>
      </c>
      <c r="T12" s="18">
        <v>49.29</v>
      </c>
      <c r="U12" s="18">
        <v>20.77</v>
      </c>
      <c r="V12" s="18">
        <v>29.94</v>
      </c>
      <c r="W12" s="16">
        <v>40</v>
      </c>
      <c r="X12" s="19">
        <v>14</v>
      </c>
      <c r="Y12" s="24">
        <v>24</v>
      </c>
      <c r="Z12" s="21">
        <f t="shared" si="2"/>
        <v>220.584925</v>
      </c>
    </row>
    <row r="13" spans="1:26" ht="9.75" customHeight="1" x14ac:dyDescent="0.25">
      <c r="A13" s="17" t="s">
        <v>98</v>
      </c>
      <c r="B13" s="18">
        <v>48.97</v>
      </c>
      <c r="C13" s="18">
        <v>23.58</v>
      </c>
      <c r="D13" s="18">
        <v>27.45</v>
      </c>
      <c r="E13" s="16">
        <v>40</v>
      </c>
      <c r="F13" s="19">
        <v>16</v>
      </c>
      <c r="G13" s="24">
        <v>26</v>
      </c>
      <c r="H13" s="21">
        <f t="shared" si="0"/>
        <v>194.29348149038464</v>
      </c>
      <c r="I13" s="16"/>
      <c r="J13" s="17" t="s">
        <v>98</v>
      </c>
      <c r="K13" s="18">
        <v>49.7</v>
      </c>
      <c r="L13" s="18">
        <v>22.44</v>
      </c>
      <c r="M13" s="18">
        <v>27.86</v>
      </c>
      <c r="N13" s="16">
        <v>40</v>
      </c>
      <c r="O13" s="19">
        <v>15</v>
      </c>
      <c r="P13" s="24">
        <v>26</v>
      </c>
      <c r="Q13" s="21">
        <f t="shared" si="1"/>
        <v>204.19219358974357</v>
      </c>
      <c r="R13" s="16"/>
      <c r="S13" s="17" t="s">
        <v>98</v>
      </c>
      <c r="T13" s="18">
        <v>50.45</v>
      </c>
      <c r="U13" s="18">
        <v>21.26</v>
      </c>
      <c r="V13" s="18">
        <v>28.29</v>
      </c>
      <c r="W13" s="16">
        <v>40</v>
      </c>
      <c r="X13" s="19">
        <v>14</v>
      </c>
      <c r="Y13" s="24">
        <v>26</v>
      </c>
      <c r="Z13" s="21">
        <f t="shared" si="2"/>
        <v>215.50500741758242</v>
      </c>
    </row>
    <row r="14" spans="1:26" ht="9.75" customHeight="1" x14ac:dyDescent="0.25">
      <c r="A14" s="17" t="s">
        <v>99</v>
      </c>
      <c r="B14" s="18">
        <v>49.95</v>
      </c>
      <c r="C14" s="18">
        <v>24.05</v>
      </c>
      <c r="D14" s="18">
        <v>26</v>
      </c>
      <c r="E14" s="16">
        <v>40</v>
      </c>
      <c r="F14" s="19">
        <v>16</v>
      </c>
      <c r="G14" s="24">
        <v>28</v>
      </c>
      <c r="H14" s="21">
        <f t="shared" si="0"/>
        <v>190.48354330357142</v>
      </c>
      <c r="I14" s="16"/>
      <c r="J14" s="17" t="s">
        <v>99</v>
      </c>
      <c r="K14" s="18">
        <v>50.71</v>
      </c>
      <c r="L14" s="18">
        <v>22.89</v>
      </c>
      <c r="M14" s="18">
        <v>26.4</v>
      </c>
      <c r="N14" s="16">
        <v>40</v>
      </c>
      <c r="O14" s="19">
        <v>15</v>
      </c>
      <c r="P14" s="24">
        <v>28</v>
      </c>
      <c r="Q14" s="21">
        <f t="shared" si="1"/>
        <v>200.1282595238095</v>
      </c>
      <c r="R14" s="16"/>
      <c r="S14" s="17" t="s">
        <v>99</v>
      </c>
      <c r="T14" s="18">
        <v>51.49</v>
      </c>
      <c r="U14" s="18">
        <v>21.7</v>
      </c>
      <c r="V14" s="18">
        <v>26.81</v>
      </c>
      <c r="W14" s="16">
        <v>40</v>
      </c>
      <c r="X14" s="19">
        <v>14</v>
      </c>
      <c r="Y14" s="24">
        <v>28</v>
      </c>
      <c r="Z14" s="21">
        <f t="shared" si="2"/>
        <v>211.15079234693877</v>
      </c>
    </row>
    <row r="15" spans="1:26" ht="9.75" customHeight="1" x14ac:dyDescent="0.25">
      <c r="A15" s="17" t="s">
        <v>100</v>
      </c>
      <c r="B15" s="18">
        <v>50.83</v>
      </c>
      <c r="C15" s="18">
        <v>24.47</v>
      </c>
      <c r="D15" s="18">
        <v>24.7</v>
      </c>
      <c r="E15" s="16">
        <v>40</v>
      </c>
      <c r="F15" s="19">
        <v>16</v>
      </c>
      <c r="G15" s="24">
        <v>30</v>
      </c>
      <c r="H15" s="21">
        <f t="shared" si="0"/>
        <v>187.181596875</v>
      </c>
      <c r="I15" s="16"/>
      <c r="J15" s="17" t="s">
        <v>100</v>
      </c>
      <c r="K15" s="18">
        <v>51.62</v>
      </c>
      <c r="L15" s="18">
        <v>23.3</v>
      </c>
      <c r="M15" s="18">
        <v>25.08</v>
      </c>
      <c r="N15" s="16">
        <v>40</v>
      </c>
      <c r="O15" s="19">
        <v>15</v>
      </c>
      <c r="P15" s="24">
        <v>30</v>
      </c>
      <c r="Q15" s="21">
        <f t="shared" si="1"/>
        <v>196.60618333333332</v>
      </c>
      <c r="R15" s="16"/>
      <c r="S15" s="17" t="s">
        <v>100</v>
      </c>
      <c r="T15" s="18">
        <v>52.43</v>
      </c>
      <c r="U15" s="18">
        <v>22.09</v>
      </c>
      <c r="V15" s="18">
        <v>25.48</v>
      </c>
      <c r="W15" s="16">
        <v>40</v>
      </c>
      <c r="X15" s="19">
        <v>14</v>
      </c>
      <c r="Y15" s="24">
        <v>30</v>
      </c>
      <c r="Z15" s="21">
        <f t="shared" si="2"/>
        <v>207.37713928571429</v>
      </c>
    </row>
    <row r="16" spans="1:26" ht="10.5" customHeight="1" x14ac:dyDescent="0.25">
      <c r="A16" s="22"/>
      <c r="B16" s="23"/>
      <c r="C16" s="23"/>
      <c r="D16" s="23"/>
      <c r="E16" s="23"/>
      <c r="F16" s="23"/>
      <c r="G16" s="23"/>
      <c r="H16" s="23"/>
      <c r="I16" s="9"/>
      <c r="J16" s="22"/>
      <c r="K16" s="23"/>
      <c r="L16" s="23"/>
      <c r="M16" s="23"/>
      <c r="N16" s="23"/>
      <c r="O16" s="23"/>
      <c r="P16" s="23"/>
      <c r="Q16" s="23"/>
      <c r="R16" s="9"/>
      <c r="S16" s="22"/>
      <c r="T16" s="23"/>
      <c r="U16" s="23"/>
      <c r="V16" s="23"/>
      <c r="W16" s="23"/>
      <c r="X16" s="23"/>
      <c r="Y16" s="23"/>
      <c r="Z16" s="23"/>
    </row>
    <row r="17" spans="1:26" ht="9.75" customHeight="1" x14ac:dyDescent="0.25">
      <c r="A17" s="17" t="s">
        <v>101</v>
      </c>
      <c r="B17" s="18">
        <v>36.42</v>
      </c>
      <c r="C17" s="18">
        <v>15.79</v>
      </c>
      <c r="D17" s="18">
        <v>47.79</v>
      </c>
      <c r="E17" s="16">
        <v>36</v>
      </c>
      <c r="F17" s="19">
        <v>16</v>
      </c>
      <c r="G17" s="24">
        <v>10</v>
      </c>
      <c r="H17" s="21">
        <f t="shared" ref="H17:H26" si="3">60890.59/E17/F17+45.8128+22189.08/G17/F17</f>
        <v>290.20737986111112</v>
      </c>
      <c r="I17" s="16"/>
      <c r="J17" s="17" t="s">
        <v>101</v>
      </c>
      <c r="K17" s="18">
        <v>36.78</v>
      </c>
      <c r="L17" s="18">
        <v>14.95</v>
      </c>
      <c r="M17" s="18">
        <v>48.27</v>
      </c>
      <c r="N17" s="16">
        <v>36</v>
      </c>
      <c r="O17" s="19">
        <v>15</v>
      </c>
      <c r="P17" s="24">
        <v>10</v>
      </c>
      <c r="Q17" s="21">
        <f t="shared" ref="Q17:Q26" si="4">60890.59/N17/O17+45.8128+22189.08/P17/O17</f>
        <v>306.50035185185186</v>
      </c>
      <c r="R17" s="16"/>
      <c r="S17" s="17" t="s">
        <v>101</v>
      </c>
      <c r="T17" s="18">
        <v>37.159999999999997</v>
      </c>
      <c r="U17" s="18">
        <v>14.09</v>
      </c>
      <c r="V17" s="18">
        <v>48.75</v>
      </c>
      <c r="W17" s="16">
        <v>36</v>
      </c>
      <c r="X17" s="19">
        <v>14</v>
      </c>
      <c r="Y17" s="24">
        <v>10</v>
      </c>
      <c r="Z17" s="21">
        <f t="shared" ref="Z17:Z26" si="5">60890.59/W17/X17+45.8128+22189.08/Y17/X17</f>
        <v>325.12089126984131</v>
      </c>
    </row>
    <row r="18" spans="1:26" ht="9.75" customHeight="1" x14ac:dyDescent="0.25">
      <c r="A18" s="17" t="s">
        <v>102</v>
      </c>
      <c r="B18" s="18">
        <v>39.58</v>
      </c>
      <c r="C18" s="18">
        <v>17.149999999999999</v>
      </c>
      <c r="D18" s="18">
        <v>43.27</v>
      </c>
      <c r="E18" s="16">
        <v>36</v>
      </c>
      <c r="F18" s="19">
        <v>16</v>
      </c>
      <c r="G18" s="24">
        <v>12</v>
      </c>
      <c r="H18" s="21">
        <f t="shared" si="3"/>
        <v>267.09375486111111</v>
      </c>
      <c r="I18" s="16"/>
      <c r="J18" s="17" t="s">
        <v>102</v>
      </c>
      <c r="K18" s="18">
        <v>40.01</v>
      </c>
      <c r="L18" s="18">
        <v>16.25</v>
      </c>
      <c r="M18" s="18">
        <v>43.74</v>
      </c>
      <c r="N18" s="16">
        <v>36</v>
      </c>
      <c r="O18" s="19">
        <v>15</v>
      </c>
      <c r="P18" s="24">
        <v>12</v>
      </c>
      <c r="Q18" s="21">
        <f t="shared" si="4"/>
        <v>281.84581851851851</v>
      </c>
      <c r="R18" s="16"/>
      <c r="S18" s="17" t="s">
        <v>102</v>
      </c>
      <c r="T18" s="18">
        <v>40.44</v>
      </c>
      <c r="U18" s="18">
        <v>15.34</v>
      </c>
      <c r="V18" s="18">
        <v>44.22</v>
      </c>
      <c r="W18" s="16">
        <v>36</v>
      </c>
      <c r="X18" s="19">
        <v>14</v>
      </c>
      <c r="Y18" s="24">
        <v>12</v>
      </c>
      <c r="Z18" s="21">
        <f t="shared" si="5"/>
        <v>298.70531984126984</v>
      </c>
    </row>
    <row r="19" spans="1:26" ht="9.75" customHeight="1" x14ac:dyDescent="0.25">
      <c r="A19" s="17" t="s">
        <v>103</v>
      </c>
      <c r="B19" s="18">
        <v>42.19</v>
      </c>
      <c r="C19" s="18">
        <v>18.28</v>
      </c>
      <c r="D19" s="18">
        <v>39.53</v>
      </c>
      <c r="E19" s="16">
        <v>36</v>
      </c>
      <c r="F19" s="19">
        <v>16</v>
      </c>
      <c r="G19" s="24">
        <v>14</v>
      </c>
      <c r="H19" s="21">
        <f t="shared" si="3"/>
        <v>250.58402271825395</v>
      </c>
      <c r="I19" s="16"/>
      <c r="J19" s="17" t="s">
        <v>103</v>
      </c>
      <c r="K19" s="18">
        <v>42.67</v>
      </c>
      <c r="L19" s="18">
        <v>17.34</v>
      </c>
      <c r="M19" s="18">
        <v>39.99</v>
      </c>
      <c r="N19" s="16">
        <v>36</v>
      </c>
      <c r="O19" s="19">
        <v>15</v>
      </c>
      <c r="P19" s="24">
        <v>14</v>
      </c>
      <c r="Q19" s="21">
        <f t="shared" si="4"/>
        <v>264.23543756613753</v>
      </c>
      <c r="R19" s="16"/>
      <c r="S19" s="17" t="s">
        <v>103</v>
      </c>
      <c r="T19" s="18">
        <v>43.17</v>
      </c>
      <c r="U19" s="18">
        <v>16.37</v>
      </c>
      <c r="V19" s="18">
        <v>40.46</v>
      </c>
      <c r="W19" s="16">
        <v>36</v>
      </c>
      <c r="X19" s="19">
        <v>14</v>
      </c>
      <c r="Y19" s="24">
        <v>14</v>
      </c>
      <c r="Z19" s="21">
        <f t="shared" si="5"/>
        <v>279.83705453514739</v>
      </c>
    </row>
    <row r="20" spans="1:26" ht="9.75" customHeight="1" x14ac:dyDescent="0.25">
      <c r="A20" s="17" t="s">
        <v>104</v>
      </c>
      <c r="B20" s="18">
        <v>44.38</v>
      </c>
      <c r="C20" s="18">
        <v>19.23</v>
      </c>
      <c r="D20" s="18">
        <v>36.39</v>
      </c>
      <c r="E20" s="16">
        <v>36</v>
      </c>
      <c r="F20" s="19">
        <v>16</v>
      </c>
      <c r="G20" s="24">
        <v>16</v>
      </c>
      <c r="H20" s="21">
        <f t="shared" si="3"/>
        <v>238.20172361111111</v>
      </c>
      <c r="I20" s="16"/>
      <c r="J20" s="17" t="s">
        <v>104</v>
      </c>
      <c r="K20" s="18">
        <v>44.92</v>
      </c>
      <c r="L20" s="18">
        <v>18.25</v>
      </c>
      <c r="M20" s="18">
        <v>36.83</v>
      </c>
      <c r="N20" s="16">
        <v>36</v>
      </c>
      <c r="O20" s="19">
        <v>15</v>
      </c>
      <c r="P20" s="24">
        <v>16</v>
      </c>
      <c r="Q20" s="21">
        <f t="shared" si="4"/>
        <v>251.02765185185183</v>
      </c>
      <c r="R20" s="16"/>
      <c r="S20" s="17" t="s">
        <v>104</v>
      </c>
      <c r="T20" s="18">
        <v>45.47</v>
      </c>
      <c r="U20" s="18">
        <v>17.239999999999998</v>
      </c>
      <c r="V20" s="18">
        <v>37.29</v>
      </c>
      <c r="W20" s="16">
        <v>36</v>
      </c>
      <c r="X20" s="19">
        <v>14</v>
      </c>
      <c r="Y20" s="24">
        <v>16</v>
      </c>
      <c r="Z20" s="21">
        <f t="shared" si="5"/>
        <v>265.68585555555558</v>
      </c>
    </row>
    <row r="21" spans="1:26" ht="9.75" customHeight="1" x14ac:dyDescent="0.25">
      <c r="A21" s="17" t="s">
        <v>105</v>
      </c>
      <c r="B21" s="18">
        <v>46.25</v>
      </c>
      <c r="C21" s="18">
        <v>20.04</v>
      </c>
      <c r="D21" s="18">
        <v>33.71</v>
      </c>
      <c r="E21" s="16">
        <v>36</v>
      </c>
      <c r="F21" s="19">
        <v>16</v>
      </c>
      <c r="G21" s="24">
        <v>18</v>
      </c>
      <c r="H21" s="21">
        <f t="shared" si="3"/>
        <v>228.57104652777775</v>
      </c>
      <c r="I21" s="16"/>
      <c r="J21" s="17" t="s">
        <v>105</v>
      </c>
      <c r="K21" s="18">
        <v>46.83</v>
      </c>
      <c r="L21" s="18">
        <v>19.03</v>
      </c>
      <c r="M21" s="18">
        <v>34.14</v>
      </c>
      <c r="N21" s="16">
        <v>36</v>
      </c>
      <c r="O21" s="19">
        <v>15</v>
      </c>
      <c r="P21" s="24">
        <v>18</v>
      </c>
      <c r="Q21" s="21">
        <f t="shared" si="4"/>
        <v>240.7549296296296</v>
      </c>
      <c r="R21" s="16"/>
      <c r="S21" s="17" t="s">
        <v>105</v>
      </c>
      <c r="T21" s="18">
        <v>47.44</v>
      </c>
      <c r="U21" s="18">
        <v>17.98</v>
      </c>
      <c r="V21" s="18">
        <v>34.58</v>
      </c>
      <c r="W21" s="16">
        <v>36</v>
      </c>
      <c r="X21" s="19">
        <v>14</v>
      </c>
      <c r="Y21" s="24">
        <v>18</v>
      </c>
      <c r="Z21" s="21">
        <f t="shared" si="5"/>
        <v>254.67936746031745</v>
      </c>
    </row>
    <row r="22" spans="1:26" ht="9.75" customHeight="1" x14ac:dyDescent="0.25">
      <c r="A22" s="17" t="s">
        <v>106</v>
      </c>
      <c r="B22" s="18">
        <v>47.86</v>
      </c>
      <c r="C22" s="18">
        <v>20.74</v>
      </c>
      <c r="D22" s="18">
        <v>31.4</v>
      </c>
      <c r="E22" s="16">
        <v>36</v>
      </c>
      <c r="F22" s="19">
        <v>16</v>
      </c>
      <c r="G22" s="24">
        <v>20</v>
      </c>
      <c r="H22" s="21">
        <f t="shared" si="3"/>
        <v>220.86650486111111</v>
      </c>
      <c r="I22" s="16"/>
      <c r="J22" s="17" t="s">
        <v>106</v>
      </c>
      <c r="K22" s="18">
        <v>48.49</v>
      </c>
      <c r="L22" s="18">
        <v>19.7</v>
      </c>
      <c r="M22" s="18">
        <v>31.81</v>
      </c>
      <c r="N22" s="16">
        <v>36</v>
      </c>
      <c r="O22" s="19">
        <v>15</v>
      </c>
      <c r="P22" s="24">
        <v>20</v>
      </c>
      <c r="Q22" s="21">
        <f t="shared" si="4"/>
        <v>232.53675185185185</v>
      </c>
      <c r="R22" s="16"/>
      <c r="S22" s="17" t="s">
        <v>106</v>
      </c>
      <c r="T22" s="18">
        <v>49.14</v>
      </c>
      <c r="U22" s="18">
        <v>18.63</v>
      </c>
      <c r="V22" s="18">
        <v>32.229999999999997</v>
      </c>
      <c r="W22" s="16">
        <v>36</v>
      </c>
      <c r="X22" s="19">
        <v>14</v>
      </c>
      <c r="Y22" s="24">
        <v>20</v>
      </c>
      <c r="Z22" s="21">
        <f t="shared" si="5"/>
        <v>245.87417698412702</v>
      </c>
    </row>
    <row r="23" spans="1:26" ht="9.75" customHeight="1" x14ac:dyDescent="0.25">
      <c r="A23" s="17" t="s">
        <v>107</v>
      </c>
      <c r="B23" s="18">
        <v>50.5</v>
      </c>
      <c r="C23" s="18">
        <v>21.89</v>
      </c>
      <c r="D23" s="18">
        <v>27.61</v>
      </c>
      <c r="E23" s="16">
        <v>36</v>
      </c>
      <c r="F23" s="19">
        <v>16</v>
      </c>
      <c r="G23" s="24">
        <v>24</v>
      </c>
      <c r="H23" s="21">
        <f t="shared" si="3"/>
        <v>209.3096923611111</v>
      </c>
      <c r="I23" s="16"/>
      <c r="J23" s="17" t="s">
        <v>107</v>
      </c>
      <c r="K23" s="18">
        <v>51.2</v>
      </c>
      <c r="L23" s="18">
        <v>20.81</v>
      </c>
      <c r="M23" s="18">
        <v>27.99</v>
      </c>
      <c r="N23" s="16">
        <v>36</v>
      </c>
      <c r="O23" s="19">
        <v>15</v>
      </c>
      <c r="P23" s="24">
        <v>24</v>
      </c>
      <c r="Q23" s="21">
        <f t="shared" si="4"/>
        <v>220.20948518518517</v>
      </c>
      <c r="R23" s="16"/>
      <c r="S23" s="17" t="s">
        <v>107</v>
      </c>
      <c r="T23" s="18">
        <v>51.92</v>
      </c>
      <c r="U23" s="18">
        <v>19.690000000000001</v>
      </c>
      <c r="V23" s="18">
        <v>28.39</v>
      </c>
      <c r="W23" s="16">
        <v>36</v>
      </c>
      <c r="X23" s="19">
        <v>14</v>
      </c>
      <c r="Y23" s="24">
        <v>24</v>
      </c>
      <c r="Z23" s="21">
        <f t="shared" si="5"/>
        <v>232.66639126984126</v>
      </c>
    </row>
    <row r="24" spans="1:26" ht="9.75" customHeight="1" x14ac:dyDescent="0.25">
      <c r="A24" s="17" t="s">
        <v>108</v>
      </c>
      <c r="B24" s="18">
        <v>51.6</v>
      </c>
      <c r="C24" s="18">
        <v>22.36</v>
      </c>
      <c r="D24" s="18">
        <v>26.04</v>
      </c>
      <c r="E24" s="16">
        <v>36</v>
      </c>
      <c r="F24" s="19">
        <v>16</v>
      </c>
      <c r="G24" s="24">
        <v>26</v>
      </c>
      <c r="H24" s="21">
        <f t="shared" si="3"/>
        <v>204.86476447649574</v>
      </c>
      <c r="I24" s="16"/>
      <c r="J24" s="17" t="s">
        <v>108</v>
      </c>
      <c r="K24" s="18">
        <v>52.33</v>
      </c>
      <c r="L24" s="18">
        <v>21.26</v>
      </c>
      <c r="M24" s="18">
        <v>26.41</v>
      </c>
      <c r="N24" s="16">
        <v>36</v>
      </c>
      <c r="O24" s="19">
        <v>15</v>
      </c>
      <c r="P24" s="24">
        <v>26</v>
      </c>
      <c r="Q24" s="21">
        <f t="shared" si="4"/>
        <v>215.46822877492878</v>
      </c>
      <c r="R24" s="16"/>
      <c r="S24" s="17" t="s">
        <v>108</v>
      </c>
      <c r="T24" s="18">
        <v>53.08</v>
      </c>
      <c r="U24" s="18">
        <v>20.13</v>
      </c>
      <c r="V24" s="18">
        <v>26.79</v>
      </c>
      <c r="W24" s="16">
        <v>36</v>
      </c>
      <c r="X24" s="19">
        <v>14</v>
      </c>
      <c r="Y24" s="24">
        <v>26</v>
      </c>
      <c r="Z24" s="21">
        <f t="shared" si="5"/>
        <v>227.58647368742371</v>
      </c>
    </row>
    <row r="25" spans="1:26" ht="9.75" customHeight="1" x14ac:dyDescent="0.25">
      <c r="A25" s="17" t="s">
        <v>109</v>
      </c>
      <c r="B25" s="18">
        <v>52.58</v>
      </c>
      <c r="C25" s="18">
        <v>22.78</v>
      </c>
      <c r="D25" s="18">
        <v>24.64</v>
      </c>
      <c r="E25" s="16">
        <v>36</v>
      </c>
      <c r="F25" s="19">
        <v>16</v>
      </c>
      <c r="G25" s="24">
        <v>28</v>
      </c>
      <c r="H25" s="21">
        <f t="shared" si="3"/>
        <v>201.05482628968252</v>
      </c>
      <c r="I25" s="16"/>
      <c r="J25" s="17" t="s">
        <v>109</v>
      </c>
      <c r="K25" s="18">
        <v>53.34</v>
      </c>
      <c r="L25" s="18">
        <v>21.67</v>
      </c>
      <c r="M25" s="18">
        <v>24.99</v>
      </c>
      <c r="N25" s="16">
        <v>36</v>
      </c>
      <c r="O25" s="19">
        <v>15</v>
      </c>
      <c r="P25" s="24">
        <v>28</v>
      </c>
      <c r="Q25" s="21">
        <f t="shared" si="4"/>
        <v>211.40429470899468</v>
      </c>
      <c r="R25" s="16"/>
      <c r="S25" s="17" t="s">
        <v>109</v>
      </c>
      <c r="T25" s="18">
        <v>54.12</v>
      </c>
      <c r="U25" s="18">
        <v>20.52</v>
      </c>
      <c r="V25" s="18">
        <v>25.36</v>
      </c>
      <c r="W25" s="16">
        <v>36</v>
      </c>
      <c r="X25" s="19">
        <v>14</v>
      </c>
      <c r="Y25" s="24">
        <v>28</v>
      </c>
      <c r="Z25" s="21">
        <f t="shared" si="5"/>
        <v>223.23225861678006</v>
      </c>
    </row>
    <row r="26" spans="1:26" ht="9.75" customHeight="1" x14ac:dyDescent="0.25">
      <c r="A26" s="17" t="s">
        <v>110</v>
      </c>
      <c r="B26" s="18">
        <v>53.45</v>
      </c>
      <c r="C26" s="18">
        <v>23.17</v>
      </c>
      <c r="D26" s="18">
        <v>23.38</v>
      </c>
      <c r="E26" s="16">
        <v>36</v>
      </c>
      <c r="F26" s="19">
        <v>16</v>
      </c>
      <c r="G26" s="24">
        <v>30</v>
      </c>
      <c r="H26" s="21">
        <f t="shared" si="3"/>
        <v>197.7528798611111</v>
      </c>
      <c r="I26" s="16"/>
      <c r="J26" s="17" t="s">
        <v>110</v>
      </c>
      <c r="K26" s="18">
        <v>54.24</v>
      </c>
      <c r="L26" s="18">
        <v>22.04</v>
      </c>
      <c r="M26" s="18">
        <v>23.72</v>
      </c>
      <c r="N26" s="16">
        <v>36</v>
      </c>
      <c r="O26" s="19">
        <v>15</v>
      </c>
      <c r="P26" s="24">
        <v>30</v>
      </c>
      <c r="Q26" s="21">
        <f t="shared" si="4"/>
        <v>207.8822185185185</v>
      </c>
      <c r="R26" s="16"/>
      <c r="S26" s="17" t="s">
        <v>110</v>
      </c>
      <c r="T26" s="18">
        <v>55.05</v>
      </c>
      <c r="U26" s="18">
        <v>20.88</v>
      </c>
      <c r="V26" s="18">
        <v>24.07</v>
      </c>
      <c r="W26" s="16">
        <v>36</v>
      </c>
      <c r="X26" s="19">
        <v>14</v>
      </c>
      <c r="Y26" s="24">
        <v>30</v>
      </c>
      <c r="Z26" s="21">
        <f t="shared" si="5"/>
        <v>219.45860555555555</v>
      </c>
    </row>
    <row r="27" spans="1:26" ht="10.5" customHeight="1" x14ac:dyDescent="0.25">
      <c r="A27" s="22"/>
      <c r="B27" s="23"/>
      <c r="C27" s="23"/>
      <c r="D27" s="23"/>
      <c r="E27" s="23"/>
      <c r="F27" s="23"/>
      <c r="G27" s="23"/>
      <c r="H27" s="23"/>
      <c r="I27" s="9"/>
      <c r="J27" s="22"/>
      <c r="K27" s="23"/>
      <c r="L27" s="23"/>
      <c r="M27" s="23"/>
      <c r="N27" s="23"/>
      <c r="O27" s="23"/>
      <c r="P27" s="23"/>
      <c r="Q27" s="23"/>
      <c r="R27" s="9"/>
      <c r="S27" s="22"/>
      <c r="T27" s="23"/>
      <c r="U27" s="23"/>
      <c r="V27" s="23"/>
      <c r="W27" s="23"/>
      <c r="X27" s="23"/>
      <c r="Y27" s="23"/>
      <c r="Z27" s="23"/>
    </row>
    <row r="28" spans="1:26" ht="10.5" customHeight="1" x14ac:dyDescent="0.25">
      <c r="A28" s="17" t="s">
        <v>111</v>
      </c>
      <c r="B28" s="18">
        <v>40.74</v>
      </c>
      <c r="C28" s="18">
        <v>14.72</v>
      </c>
      <c r="D28" s="18">
        <v>44.54</v>
      </c>
      <c r="E28" s="27">
        <v>30</v>
      </c>
      <c r="F28" s="19">
        <v>16</v>
      </c>
      <c r="G28" s="24">
        <v>10</v>
      </c>
      <c r="H28" s="21">
        <f t="shared" ref="H28:H37" si="6">60890.59/E28/F28+45.8128+22189.08/G28/F28</f>
        <v>311.34994583333332</v>
      </c>
      <c r="I28" s="9"/>
      <c r="J28" s="17" t="s">
        <v>111</v>
      </c>
      <c r="K28" s="18">
        <v>41.12</v>
      </c>
      <c r="L28" s="18">
        <v>13.92</v>
      </c>
      <c r="M28" s="18">
        <v>44.96</v>
      </c>
      <c r="N28" s="27">
        <v>30</v>
      </c>
      <c r="O28" s="19">
        <v>15</v>
      </c>
      <c r="P28" s="24">
        <v>10</v>
      </c>
      <c r="Q28" s="21">
        <f t="shared" ref="Q28:Q37" si="7">60890.59/N28/O28+45.8128+22189.08/P28/O28</f>
        <v>329.05242222222228</v>
      </c>
      <c r="R28" s="9"/>
      <c r="S28" s="17" t="s">
        <v>111</v>
      </c>
      <c r="T28" s="18">
        <v>41.5</v>
      </c>
      <c r="U28" s="18">
        <v>13.12</v>
      </c>
      <c r="V28" s="18">
        <v>45.38</v>
      </c>
      <c r="W28" s="27">
        <v>30</v>
      </c>
      <c r="X28" s="19">
        <v>14</v>
      </c>
      <c r="Y28" s="24">
        <v>10</v>
      </c>
      <c r="Z28" s="21">
        <f t="shared" ref="Z28:Z37" si="8">60890.59/W28/X28+45.8128+22189.08/Y28/X28</f>
        <v>349.28382380952382</v>
      </c>
    </row>
    <row r="29" spans="1:26" ht="10.5" customHeight="1" x14ac:dyDescent="0.25">
      <c r="A29" s="17" t="s">
        <v>112</v>
      </c>
      <c r="B29" s="18">
        <v>44.01</v>
      </c>
      <c r="C29" s="18">
        <v>15.89</v>
      </c>
      <c r="D29" s="18">
        <v>40.1</v>
      </c>
      <c r="E29" s="27">
        <v>30</v>
      </c>
      <c r="F29" s="19">
        <v>16</v>
      </c>
      <c r="G29" s="24">
        <v>12</v>
      </c>
      <c r="H29" s="21">
        <f t="shared" si="6"/>
        <v>288.23632083333337</v>
      </c>
      <c r="I29" s="9"/>
      <c r="J29" s="17" t="s">
        <v>112</v>
      </c>
      <c r="K29" s="18">
        <v>44.45</v>
      </c>
      <c r="L29" s="18">
        <v>15.05</v>
      </c>
      <c r="M29" s="18">
        <v>40.5</v>
      </c>
      <c r="N29" s="27">
        <v>30</v>
      </c>
      <c r="O29" s="19">
        <v>15</v>
      </c>
      <c r="P29" s="24">
        <v>12</v>
      </c>
      <c r="Q29" s="21">
        <f t="shared" si="7"/>
        <v>304.39788888888893</v>
      </c>
      <c r="R29" s="9"/>
      <c r="S29" s="17" t="s">
        <v>112</v>
      </c>
      <c r="T29" s="18">
        <v>44.9</v>
      </c>
      <c r="U29" s="18">
        <v>14.19</v>
      </c>
      <c r="V29" s="18">
        <v>40.909999999999997</v>
      </c>
      <c r="W29" s="27">
        <v>30</v>
      </c>
      <c r="X29" s="19">
        <v>14</v>
      </c>
      <c r="Y29" s="24">
        <v>12</v>
      </c>
      <c r="Z29" s="21">
        <f t="shared" si="8"/>
        <v>322.86825238095241</v>
      </c>
    </row>
    <row r="30" spans="1:26" ht="10.5" customHeight="1" x14ac:dyDescent="0.25">
      <c r="A30" s="17" t="s">
        <v>113</v>
      </c>
      <c r="B30" s="18">
        <v>46.68</v>
      </c>
      <c r="C30" s="18">
        <v>16.86</v>
      </c>
      <c r="D30" s="18">
        <v>36.46</v>
      </c>
      <c r="E30" s="27">
        <v>30</v>
      </c>
      <c r="F30" s="19">
        <v>16</v>
      </c>
      <c r="G30" s="24">
        <v>14</v>
      </c>
      <c r="H30" s="21">
        <f t="shared" si="6"/>
        <v>271.72658869047621</v>
      </c>
      <c r="I30" s="9"/>
      <c r="J30" s="17" t="s">
        <v>113</v>
      </c>
      <c r="K30" s="18">
        <v>47.18</v>
      </c>
      <c r="L30" s="18">
        <v>15.97</v>
      </c>
      <c r="M30" s="18">
        <v>36.85</v>
      </c>
      <c r="N30" s="27">
        <v>30</v>
      </c>
      <c r="O30" s="19">
        <v>15</v>
      </c>
      <c r="P30" s="24">
        <v>14</v>
      </c>
      <c r="Q30" s="21">
        <f t="shared" si="7"/>
        <v>286.78750793650795</v>
      </c>
      <c r="R30" s="9"/>
      <c r="S30" s="17" t="s">
        <v>113</v>
      </c>
      <c r="T30" s="18">
        <v>47.69</v>
      </c>
      <c r="U30" s="18">
        <v>15.07</v>
      </c>
      <c r="V30" s="18">
        <v>37.24</v>
      </c>
      <c r="W30" s="27">
        <v>30</v>
      </c>
      <c r="X30" s="19">
        <v>14</v>
      </c>
      <c r="Y30" s="24">
        <v>14</v>
      </c>
      <c r="Z30" s="21">
        <f t="shared" si="8"/>
        <v>303.99998707482996</v>
      </c>
    </row>
    <row r="31" spans="1:26" ht="10.5" customHeight="1" x14ac:dyDescent="0.25">
      <c r="A31" s="17" t="s">
        <v>114</v>
      </c>
      <c r="B31" s="18">
        <v>48.91</v>
      </c>
      <c r="C31" s="18">
        <v>17.670000000000002</v>
      </c>
      <c r="D31" s="18">
        <v>33.42</v>
      </c>
      <c r="E31" s="27">
        <v>30</v>
      </c>
      <c r="F31" s="19">
        <v>16</v>
      </c>
      <c r="G31" s="24">
        <v>16</v>
      </c>
      <c r="H31" s="21">
        <f t="shared" si="6"/>
        <v>259.34428958333331</v>
      </c>
      <c r="I31" s="9"/>
      <c r="J31" s="17" t="s">
        <v>114</v>
      </c>
      <c r="K31" s="18">
        <v>49.45</v>
      </c>
      <c r="L31" s="18">
        <v>16.75</v>
      </c>
      <c r="M31" s="18">
        <v>33.799999999999997</v>
      </c>
      <c r="N31" s="27">
        <v>30</v>
      </c>
      <c r="O31" s="19">
        <v>15</v>
      </c>
      <c r="P31" s="24">
        <v>16</v>
      </c>
      <c r="Q31" s="21">
        <f t="shared" si="7"/>
        <v>273.57972222222224</v>
      </c>
      <c r="R31" s="9"/>
      <c r="S31" s="17" t="s">
        <v>114</v>
      </c>
      <c r="T31" s="18">
        <v>50.02</v>
      </c>
      <c r="U31" s="18">
        <v>15.8</v>
      </c>
      <c r="V31" s="18">
        <v>34.18</v>
      </c>
      <c r="W31" s="27">
        <v>30</v>
      </c>
      <c r="X31" s="19">
        <v>14</v>
      </c>
      <c r="Y31" s="24">
        <v>16</v>
      </c>
      <c r="Z31" s="21">
        <f t="shared" si="8"/>
        <v>289.84878809523809</v>
      </c>
    </row>
    <row r="32" spans="1:26" ht="10.5" customHeight="1" x14ac:dyDescent="0.25">
      <c r="A32" s="17" t="s">
        <v>115</v>
      </c>
      <c r="B32" s="18">
        <v>50.8</v>
      </c>
      <c r="C32" s="18">
        <v>18.350000000000001</v>
      </c>
      <c r="D32" s="18">
        <v>30.85</v>
      </c>
      <c r="E32" s="27">
        <v>30</v>
      </c>
      <c r="F32" s="19">
        <v>16</v>
      </c>
      <c r="G32" s="24">
        <v>18</v>
      </c>
      <c r="H32" s="21">
        <f t="shared" si="6"/>
        <v>249.71361250000001</v>
      </c>
      <c r="I32" s="9"/>
      <c r="J32" s="17" t="s">
        <v>115</v>
      </c>
      <c r="K32" s="18">
        <v>51.39</v>
      </c>
      <c r="L32" s="18">
        <v>17.399999999999999</v>
      </c>
      <c r="M32" s="18">
        <v>31.21</v>
      </c>
      <c r="N32" s="27">
        <v>30</v>
      </c>
      <c r="O32" s="19">
        <v>15</v>
      </c>
      <c r="P32" s="24">
        <v>18</v>
      </c>
      <c r="Q32" s="21">
        <f t="shared" si="7"/>
        <v>263.30700000000002</v>
      </c>
      <c r="R32" s="9"/>
      <c r="S32" s="17" t="s">
        <v>115</v>
      </c>
      <c r="T32" s="18">
        <v>51.99</v>
      </c>
      <c r="U32" s="18">
        <v>16.43</v>
      </c>
      <c r="V32" s="18">
        <v>31.58</v>
      </c>
      <c r="W32" s="27">
        <v>30</v>
      </c>
      <c r="X32" s="19">
        <v>14</v>
      </c>
      <c r="Y32" s="24">
        <v>18</v>
      </c>
      <c r="Z32" s="21">
        <f t="shared" si="8"/>
        <v>278.84230000000002</v>
      </c>
    </row>
    <row r="33" spans="1:26" ht="10.5" customHeight="1" x14ac:dyDescent="0.25">
      <c r="A33" s="17" t="s">
        <v>116</v>
      </c>
      <c r="B33" s="18">
        <v>52.42</v>
      </c>
      <c r="C33" s="18">
        <v>18.93</v>
      </c>
      <c r="D33" s="18">
        <v>28.65</v>
      </c>
      <c r="E33" s="27">
        <v>30</v>
      </c>
      <c r="F33" s="19">
        <v>16</v>
      </c>
      <c r="G33" s="24">
        <v>20</v>
      </c>
      <c r="H33" s="21">
        <f t="shared" si="6"/>
        <v>242.00907083333334</v>
      </c>
      <c r="I33" s="9"/>
      <c r="J33" s="17" t="s">
        <v>116</v>
      </c>
      <c r="K33" s="18">
        <v>53.04</v>
      </c>
      <c r="L33" s="18">
        <v>17.96</v>
      </c>
      <c r="M33" s="18">
        <v>29</v>
      </c>
      <c r="N33" s="27">
        <v>30</v>
      </c>
      <c r="O33" s="19">
        <v>15</v>
      </c>
      <c r="P33" s="24">
        <v>20</v>
      </c>
      <c r="Q33" s="21">
        <f t="shared" si="7"/>
        <v>255.08882222222223</v>
      </c>
      <c r="R33" s="9"/>
      <c r="S33" s="17" t="s">
        <v>116</v>
      </c>
      <c r="T33" s="18">
        <v>53.69</v>
      </c>
      <c r="U33" s="18">
        <v>16.96</v>
      </c>
      <c r="V33" s="18">
        <v>29.35</v>
      </c>
      <c r="W33" s="27">
        <v>30</v>
      </c>
      <c r="X33" s="19">
        <v>14</v>
      </c>
      <c r="Y33" s="24">
        <v>20</v>
      </c>
      <c r="Z33" s="21">
        <f t="shared" si="8"/>
        <v>270.03710952380953</v>
      </c>
    </row>
    <row r="34" spans="1:26" ht="10.5" customHeight="1" x14ac:dyDescent="0.25">
      <c r="A34" s="17" t="s">
        <v>117</v>
      </c>
      <c r="B34" s="18">
        <v>55.04</v>
      </c>
      <c r="C34" s="18">
        <v>19.88</v>
      </c>
      <c r="D34" s="18">
        <v>25.08</v>
      </c>
      <c r="E34" s="27">
        <v>30</v>
      </c>
      <c r="F34" s="19">
        <v>16</v>
      </c>
      <c r="G34" s="24">
        <v>24</v>
      </c>
      <c r="H34" s="21">
        <f t="shared" si="6"/>
        <v>230.45225833333333</v>
      </c>
      <c r="I34" s="9"/>
      <c r="J34" s="17" t="s">
        <v>117</v>
      </c>
      <c r="K34" s="18">
        <v>55.74</v>
      </c>
      <c r="L34" s="18">
        <v>18.87</v>
      </c>
      <c r="M34" s="18">
        <v>25.39</v>
      </c>
      <c r="N34" s="27">
        <v>30</v>
      </c>
      <c r="O34" s="19">
        <v>15</v>
      </c>
      <c r="P34" s="24">
        <v>24</v>
      </c>
      <c r="Q34" s="21">
        <f t="shared" si="7"/>
        <v>242.76155555555556</v>
      </c>
      <c r="R34" s="9"/>
      <c r="S34" s="17" t="s">
        <v>117</v>
      </c>
      <c r="T34" s="18">
        <v>56.45</v>
      </c>
      <c r="U34" s="18">
        <v>17.84</v>
      </c>
      <c r="V34" s="18">
        <v>25.71</v>
      </c>
      <c r="W34" s="27">
        <v>30</v>
      </c>
      <c r="X34" s="19">
        <v>14</v>
      </c>
      <c r="Y34" s="24">
        <v>24</v>
      </c>
      <c r="Z34" s="21">
        <f t="shared" si="8"/>
        <v>256.82932380952383</v>
      </c>
    </row>
    <row r="35" spans="1:26" ht="10.5" customHeight="1" x14ac:dyDescent="0.25">
      <c r="A35" s="17" t="s">
        <v>118</v>
      </c>
      <c r="B35" s="18">
        <v>56.13</v>
      </c>
      <c r="C35" s="18">
        <v>20.27</v>
      </c>
      <c r="D35" s="18">
        <v>23.6</v>
      </c>
      <c r="E35" s="27">
        <v>30</v>
      </c>
      <c r="F35" s="19">
        <v>16</v>
      </c>
      <c r="G35" s="24">
        <v>26</v>
      </c>
      <c r="H35" s="21">
        <f t="shared" si="6"/>
        <v>226.00733044871794</v>
      </c>
      <c r="I35" s="9"/>
      <c r="J35" s="17" t="s">
        <v>118</v>
      </c>
      <c r="K35" s="18">
        <v>56.85</v>
      </c>
      <c r="L35" s="18">
        <v>19.25</v>
      </c>
      <c r="M35" s="18">
        <v>23.9</v>
      </c>
      <c r="N35" s="27">
        <v>30</v>
      </c>
      <c r="O35" s="19">
        <v>15</v>
      </c>
      <c r="P35" s="24">
        <v>26</v>
      </c>
      <c r="Q35" s="21">
        <f t="shared" si="7"/>
        <v>238.02029914529913</v>
      </c>
      <c r="R35" s="9"/>
      <c r="S35" s="17" t="s">
        <v>118</v>
      </c>
      <c r="T35" s="18">
        <v>57.58</v>
      </c>
      <c r="U35" s="18">
        <v>18.2</v>
      </c>
      <c r="V35" s="18">
        <v>24.22</v>
      </c>
      <c r="W35" s="27">
        <v>30</v>
      </c>
      <c r="X35" s="19">
        <v>14</v>
      </c>
      <c r="Y35" s="24">
        <v>26</v>
      </c>
      <c r="Z35" s="21">
        <f t="shared" si="8"/>
        <v>251.74940622710625</v>
      </c>
    </row>
    <row r="36" spans="1:26" ht="10.5" customHeight="1" x14ac:dyDescent="0.25">
      <c r="A36" s="17" t="s">
        <v>119</v>
      </c>
      <c r="B36" s="18">
        <v>57.09</v>
      </c>
      <c r="C36" s="18">
        <v>20.62</v>
      </c>
      <c r="D36" s="18">
        <v>22.29</v>
      </c>
      <c r="E36" s="27">
        <v>30</v>
      </c>
      <c r="F36" s="19">
        <v>16</v>
      </c>
      <c r="G36" s="24">
        <v>28</v>
      </c>
      <c r="H36" s="21">
        <f t="shared" si="6"/>
        <v>222.19739226190475</v>
      </c>
      <c r="I36" s="9"/>
      <c r="J36" s="17" t="s">
        <v>119</v>
      </c>
      <c r="K36" s="18">
        <v>57.84</v>
      </c>
      <c r="L36" s="18">
        <v>19.579999999999998</v>
      </c>
      <c r="M36" s="18">
        <v>22.58</v>
      </c>
      <c r="N36" s="27">
        <v>30</v>
      </c>
      <c r="O36" s="19">
        <v>15</v>
      </c>
      <c r="P36" s="24">
        <v>28</v>
      </c>
      <c r="Q36" s="21">
        <f t="shared" si="7"/>
        <v>233.95636507936507</v>
      </c>
      <c r="R36" s="9"/>
      <c r="S36" s="17" t="s">
        <v>119</v>
      </c>
      <c r="T36" s="18">
        <v>58.6</v>
      </c>
      <c r="U36" s="18">
        <v>18.52</v>
      </c>
      <c r="V36" s="18">
        <v>22.88</v>
      </c>
      <c r="W36" s="27">
        <v>30</v>
      </c>
      <c r="X36" s="19">
        <v>14</v>
      </c>
      <c r="Y36" s="24">
        <v>28</v>
      </c>
      <c r="Z36" s="21">
        <f t="shared" si="8"/>
        <v>247.3951911564626</v>
      </c>
    </row>
    <row r="37" spans="1:26" ht="10.5" customHeight="1" x14ac:dyDescent="0.25">
      <c r="A37" s="17" t="s">
        <v>120</v>
      </c>
      <c r="B37" s="18">
        <v>57.95</v>
      </c>
      <c r="C37" s="18">
        <v>20.93</v>
      </c>
      <c r="D37" s="18">
        <v>21.12</v>
      </c>
      <c r="E37" s="27">
        <v>30</v>
      </c>
      <c r="F37" s="19">
        <v>16</v>
      </c>
      <c r="G37" s="24">
        <v>30</v>
      </c>
      <c r="H37" s="21">
        <f t="shared" si="6"/>
        <v>218.89544583333333</v>
      </c>
      <c r="I37" s="9"/>
      <c r="J37" s="17" t="s">
        <v>120</v>
      </c>
      <c r="K37" s="18">
        <v>58.72</v>
      </c>
      <c r="L37" s="18">
        <v>19.88</v>
      </c>
      <c r="M37" s="18">
        <v>21.4</v>
      </c>
      <c r="N37" s="27">
        <v>30</v>
      </c>
      <c r="O37" s="19">
        <v>15</v>
      </c>
      <c r="P37" s="24">
        <v>30</v>
      </c>
      <c r="Q37" s="21">
        <f t="shared" si="7"/>
        <v>230.43428888888889</v>
      </c>
      <c r="R37" s="9"/>
      <c r="S37" s="17" t="s">
        <v>120</v>
      </c>
      <c r="T37" s="18">
        <v>59.51</v>
      </c>
      <c r="U37" s="18">
        <v>18.8</v>
      </c>
      <c r="V37" s="18">
        <v>21.69</v>
      </c>
      <c r="W37" s="27">
        <v>30</v>
      </c>
      <c r="X37" s="19">
        <v>14</v>
      </c>
      <c r="Y37" s="24">
        <v>30</v>
      </c>
      <c r="Z37" s="21">
        <f t="shared" si="8"/>
        <v>243.62153809523812</v>
      </c>
    </row>
    <row r="38" spans="1:26" ht="10.5" customHeight="1" x14ac:dyDescent="0.25">
      <c r="A38" s="22"/>
      <c r="B38" s="23"/>
      <c r="C38" s="23"/>
      <c r="D38" s="23"/>
      <c r="E38" s="23"/>
      <c r="F38" s="23"/>
      <c r="G38" s="23"/>
      <c r="H38" s="23"/>
      <c r="I38" s="9"/>
      <c r="J38" s="22"/>
      <c r="K38" s="23"/>
      <c r="L38" s="23"/>
      <c r="M38" s="23"/>
      <c r="N38" s="23"/>
      <c r="O38" s="23"/>
      <c r="P38" s="23"/>
      <c r="Q38" s="23"/>
      <c r="R38" s="9"/>
      <c r="S38" s="22"/>
      <c r="T38" s="23"/>
      <c r="U38" s="23"/>
      <c r="V38" s="23"/>
      <c r="W38" s="23"/>
      <c r="X38" s="23"/>
      <c r="Y38" s="23"/>
      <c r="Z38" s="23"/>
    </row>
    <row r="39" spans="1:26" ht="10.5" customHeight="1" x14ac:dyDescent="0.25">
      <c r="A39" s="17" t="s">
        <v>121</v>
      </c>
      <c r="B39" s="18">
        <v>42.42</v>
      </c>
      <c r="C39" s="18">
        <v>14.3</v>
      </c>
      <c r="D39" s="18">
        <v>43.28</v>
      </c>
      <c r="E39" s="27">
        <v>28</v>
      </c>
      <c r="F39" s="19">
        <v>16</v>
      </c>
      <c r="G39" s="20">
        <v>10</v>
      </c>
      <c r="H39" s="21">
        <f t="shared" ref="H39:H48" si="9">60890.59/E39/F39+45.8128+22189.08/G39/F39</f>
        <v>320.41104553571432</v>
      </c>
      <c r="I39" s="9"/>
      <c r="J39" s="17" t="s">
        <v>121</v>
      </c>
      <c r="K39" s="18">
        <v>42.8</v>
      </c>
      <c r="L39" s="18">
        <v>13.53</v>
      </c>
      <c r="M39" s="18">
        <v>43.67</v>
      </c>
      <c r="N39" s="27">
        <v>28</v>
      </c>
      <c r="O39" s="19">
        <v>15</v>
      </c>
      <c r="P39" s="20">
        <v>10</v>
      </c>
      <c r="Q39" s="21">
        <f t="shared" ref="Q39:Q48" si="10">60890.59/N39/O39+45.8128+22189.08/P39/O39</f>
        <v>338.71759523809527</v>
      </c>
      <c r="R39" s="9"/>
      <c r="S39" s="17" t="s">
        <v>121</v>
      </c>
      <c r="T39" s="18">
        <v>43.19</v>
      </c>
      <c r="U39" s="18">
        <v>12.74</v>
      </c>
      <c r="V39" s="18">
        <v>44.07</v>
      </c>
      <c r="W39" s="27">
        <v>28</v>
      </c>
      <c r="X39" s="19">
        <v>14</v>
      </c>
      <c r="Y39" s="20">
        <v>10</v>
      </c>
      <c r="Z39" s="21">
        <f t="shared" ref="Z39:Z48" si="11">60890.59/W39/X39+45.8128+22189.08/Y39/X39</f>
        <v>359.63936632653065</v>
      </c>
    </row>
    <row r="40" spans="1:26" ht="10.5" customHeight="1" x14ac:dyDescent="0.25">
      <c r="A40" s="17" t="s">
        <v>122</v>
      </c>
      <c r="B40" s="18">
        <v>45.72</v>
      </c>
      <c r="C40" s="18">
        <v>15.41</v>
      </c>
      <c r="D40" s="18">
        <v>38.869999999999997</v>
      </c>
      <c r="E40" s="27">
        <v>28</v>
      </c>
      <c r="F40" s="19">
        <v>16</v>
      </c>
      <c r="G40" s="20">
        <v>12</v>
      </c>
      <c r="H40" s="21">
        <f t="shared" si="9"/>
        <v>297.29742053571431</v>
      </c>
      <c r="I40" s="9"/>
      <c r="J40" s="17" t="s">
        <v>122</v>
      </c>
      <c r="K40" s="18">
        <v>46.16</v>
      </c>
      <c r="L40" s="18">
        <v>14.59</v>
      </c>
      <c r="M40" s="18">
        <v>39.25</v>
      </c>
      <c r="N40" s="27">
        <v>28</v>
      </c>
      <c r="O40" s="19">
        <v>15</v>
      </c>
      <c r="P40" s="20">
        <v>12</v>
      </c>
      <c r="Q40" s="21">
        <f t="shared" si="10"/>
        <v>314.06306190476192</v>
      </c>
      <c r="R40" s="9"/>
      <c r="S40" s="17" t="s">
        <v>122</v>
      </c>
      <c r="T40" s="18">
        <v>46.61</v>
      </c>
      <c r="U40" s="18">
        <v>13.75</v>
      </c>
      <c r="V40" s="18">
        <v>39.64</v>
      </c>
      <c r="W40" s="27">
        <v>28</v>
      </c>
      <c r="X40" s="19">
        <v>14</v>
      </c>
      <c r="Y40" s="20">
        <v>12</v>
      </c>
      <c r="Z40" s="21">
        <f t="shared" si="11"/>
        <v>333.22379489795924</v>
      </c>
    </row>
    <row r="41" spans="1:26" ht="10.5" customHeight="1" x14ac:dyDescent="0.25">
      <c r="A41" s="17" t="s">
        <v>123</v>
      </c>
      <c r="B41" s="18">
        <v>48.4</v>
      </c>
      <c r="C41" s="18">
        <v>16.32</v>
      </c>
      <c r="D41" s="18">
        <v>35.28</v>
      </c>
      <c r="E41" s="27">
        <v>28</v>
      </c>
      <c r="F41" s="19">
        <v>16</v>
      </c>
      <c r="G41" s="20">
        <v>14</v>
      </c>
      <c r="H41" s="21">
        <f t="shared" si="9"/>
        <v>280.78768839285715</v>
      </c>
      <c r="I41" s="9"/>
      <c r="J41" s="17" t="s">
        <v>123</v>
      </c>
      <c r="K41" s="18">
        <v>48.91</v>
      </c>
      <c r="L41" s="18">
        <v>15.45</v>
      </c>
      <c r="M41" s="18">
        <v>35.64</v>
      </c>
      <c r="N41" s="27">
        <v>28</v>
      </c>
      <c r="O41" s="19">
        <v>15</v>
      </c>
      <c r="P41" s="20">
        <v>14</v>
      </c>
      <c r="Q41" s="21">
        <f t="shared" si="10"/>
        <v>296.45268095238094</v>
      </c>
      <c r="R41" s="9"/>
      <c r="S41" s="17" t="s">
        <v>123</v>
      </c>
      <c r="T41" s="18">
        <v>49.41</v>
      </c>
      <c r="U41" s="18">
        <v>14.57</v>
      </c>
      <c r="V41" s="18">
        <v>36.020000000000003</v>
      </c>
      <c r="W41" s="27">
        <v>28</v>
      </c>
      <c r="X41" s="19">
        <v>14</v>
      </c>
      <c r="Y41" s="20">
        <v>14</v>
      </c>
      <c r="Z41" s="21">
        <f t="shared" si="11"/>
        <v>314.35552959183678</v>
      </c>
    </row>
    <row r="42" spans="1:26" ht="10.5" customHeight="1" x14ac:dyDescent="0.25">
      <c r="A42" s="17" t="s">
        <v>124</v>
      </c>
      <c r="B42" s="18">
        <v>50.64</v>
      </c>
      <c r="C42" s="18">
        <v>17.07</v>
      </c>
      <c r="D42" s="18">
        <v>32.29</v>
      </c>
      <c r="E42" s="27">
        <v>28</v>
      </c>
      <c r="F42" s="19">
        <v>16</v>
      </c>
      <c r="G42" s="20">
        <v>16</v>
      </c>
      <c r="H42" s="21">
        <f t="shared" si="9"/>
        <v>268.40538928571431</v>
      </c>
      <c r="I42" s="9"/>
      <c r="J42" s="17" t="s">
        <v>124</v>
      </c>
      <c r="K42" s="18">
        <v>51.19</v>
      </c>
      <c r="L42" s="18">
        <v>16.170000000000002</v>
      </c>
      <c r="M42" s="18">
        <v>32.64</v>
      </c>
      <c r="N42" s="27">
        <v>28</v>
      </c>
      <c r="O42" s="19">
        <v>15</v>
      </c>
      <c r="P42" s="20">
        <v>16</v>
      </c>
      <c r="Q42" s="21">
        <f t="shared" si="10"/>
        <v>283.24489523809524</v>
      </c>
      <c r="R42" s="9"/>
      <c r="S42" s="17" t="s">
        <v>124</v>
      </c>
      <c r="T42" s="18">
        <v>51.74</v>
      </c>
      <c r="U42" s="18">
        <v>15.26</v>
      </c>
      <c r="V42" s="18">
        <v>33</v>
      </c>
      <c r="W42" s="27">
        <v>28</v>
      </c>
      <c r="X42" s="19">
        <v>14</v>
      </c>
      <c r="Y42" s="20">
        <v>16</v>
      </c>
      <c r="Z42" s="21">
        <f t="shared" si="11"/>
        <v>300.20433061224492</v>
      </c>
    </row>
    <row r="43" spans="1:26" ht="10.5" customHeight="1" x14ac:dyDescent="0.25">
      <c r="A43" s="17" t="s">
        <v>125</v>
      </c>
      <c r="B43" s="18">
        <v>52.53</v>
      </c>
      <c r="C43" s="18">
        <v>17.7</v>
      </c>
      <c r="D43" s="18">
        <v>29.77</v>
      </c>
      <c r="E43" s="27">
        <v>28</v>
      </c>
      <c r="F43" s="19">
        <v>16</v>
      </c>
      <c r="G43" s="20">
        <v>18</v>
      </c>
      <c r="H43" s="21">
        <f t="shared" si="9"/>
        <v>258.77471220238095</v>
      </c>
      <c r="I43" s="9"/>
      <c r="J43" s="17" t="s">
        <v>125</v>
      </c>
      <c r="K43" s="18">
        <v>53.11</v>
      </c>
      <c r="L43" s="18">
        <v>16.78</v>
      </c>
      <c r="M43" s="18">
        <v>30.11</v>
      </c>
      <c r="N43" s="27">
        <v>28</v>
      </c>
      <c r="O43" s="19">
        <v>15</v>
      </c>
      <c r="P43" s="20">
        <v>18</v>
      </c>
      <c r="Q43" s="21">
        <f t="shared" si="10"/>
        <v>272.97217301587301</v>
      </c>
      <c r="R43" s="9"/>
      <c r="S43" s="17" t="s">
        <v>125</v>
      </c>
      <c r="T43" s="18">
        <v>53.71</v>
      </c>
      <c r="U43" s="18">
        <v>15.84</v>
      </c>
      <c r="V43" s="18">
        <v>30.45</v>
      </c>
      <c r="W43" s="27">
        <v>28</v>
      </c>
      <c r="X43" s="19">
        <v>14</v>
      </c>
      <c r="Y43" s="20">
        <v>18</v>
      </c>
      <c r="Z43" s="21">
        <f t="shared" si="11"/>
        <v>289.19784251700685</v>
      </c>
    </row>
    <row r="44" spans="1:26" ht="10.5" customHeight="1" x14ac:dyDescent="0.25">
      <c r="A44" s="17" t="s">
        <v>126</v>
      </c>
      <c r="B44" s="18">
        <v>54.13</v>
      </c>
      <c r="C44" s="18">
        <v>18.25</v>
      </c>
      <c r="D44" s="18">
        <v>27.62</v>
      </c>
      <c r="E44" s="27">
        <v>28</v>
      </c>
      <c r="F44" s="19">
        <v>16</v>
      </c>
      <c r="G44" s="20">
        <v>20</v>
      </c>
      <c r="H44" s="21">
        <f t="shared" si="9"/>
        <v>251.07017053571431</v>
      </c>
      <c r="I44" s="9"/>
      <c r="J44" s="17" t="s">
        <v>126</v>
      </c>
      <c r="K44" s="18">
        <v>54.76</v>
      </c>
      <c r="L44" s="18">
        <v>17.3</v>
      </c>
      <c r="M44" s="18">
        <v>27.94</v>
      </c>
      <c r="N44" s="27">
        <v>28</v>
      </c>
      <c r="O44" s="19">
        <v>15</v>
      </c>
      <c r="P44" s="20">
        <v>20</v>
      </c>
      <c r="Q44" s="21">
        <f t="shared" si="10"/>
        <v>264.75399523809529</v>
      </c>
      <c r="R44" s="9"/>
      <c r="S44" s="17" t="s">
        <v>126</v>
      </c>
      <c r="T44" s="18">
        <v>55.4</v>
      </c>
      <c r="U44" s="18">
        <v>16.34</v>
      </c>
      <c r="V44" s="18">
        <v>28.26</v>
      </c>
      <c r="W44" s="27">
        <v>28</v>
      </c>
      <c r="X44" s="19">
        <v>14</v>
      </c>
      <c r="Y44" s="20">
        <v>20</v>
      </c>
      <c r="Z44" s="21">
        <f t="shared" si="11"/>
        <v>280.39265204081636</v>
      </c>
    </row>
    <row r="45" spans="1:26" ht="10.5" customHeight="1" x14ac:dyDescent="0.25">
      <c r="A45" s="17" t="s">
        <v>127</v>
      </c>
      <c r="B45" s="18">
        <v>56.74</v>
      </c>
      <c r="C45" s="18">
        <v>19.13</v>
      </c>
      <c r="D45" s="18">
        <v>24.13</v>
      </c>
      <c r="E45" s="27">
        <v>28</v>
      </c>
      <c r="F45" s="19">
        <v>16</v>
      </c>
      <c r="G45" s="20">
        <v>24</v>
      </c>
      <c r="H45" s="21">
        <f t="shared" si="9"/>
        <v>239.5133580357143</v>
      </c>
      <c r="I45" s="9"/>
      <c r="J45" s="17" t="s">
        <v>127</v>
      </c>
      <c r="K45" s="18">
        <v>57.43</v>
      </c>
      <c r="L45" s="18">
        <v>18.149999999999999</v>
      </c>
      <c r="M45" s="18">
        <v>24.42</v>
      </c>
      <c r="N45" s="27">
        <v>28</v>
      </c>
      <c r="O45" s="19">
        <v>15</v>
      </c>
      <c r="P45" s="20">
        <v>24</v>
      </c>
      <c r="Q45" s="21">
        <f t="shared" si="10"/>
        <v>252.42672857142858</v>
      </c>
      <c r="R45" s="9"/>
      <c r="S45" s="17" t="s">
        <v>127</v>
      </c>
      <c r="T45" s="18">
        <v>58.13</v>
      </c>
      <c r="U45" s="18">
        <v>17.149999999999999</v>
      </c>
      <c r="V45" s="18">
        <v>24.72</v>
      </c>
      <c r="W45" s="27">
        <v>28</v>
      </c>
      <c r="X45" s="19">
        <v>14</v>
      </c>
      <c r="Y45" s="20">
        <v>24</v>
      </c>
      <c r="Z45" s="21">
        <f t="shared" si="11"/>
        <v>267.18486632653065</v>
      </c>
    </row>
    <row r="46" spans="1:26" ht="10.5" customHeight="1" x14ac:dyDescent="0.25">
      <c r="A46" s="17" t="s">
        <v>128</v>
      </c>
      <c r="B46" s="18">
        <v>57.82</v>
      </c>
      <c r="C46" s="18">
        <v>19.489999999999998</v>
      </c>
      <c r="D46" s="18">
        <v>22.69</v>
      </c>
      <c r="E46" s="27">
        <v>28</v>
      </c>
      <c r="F46" s="19">
        <v>16</v>
      </c>
      <c r="G46" s="20">
        <v>26</v>
      </c>
      <c r="H46" s="21">
        <f t="shared" si="9"/>
        <v>235.06843015109894</v>
      </c>
      <c r="I46" s="9"/>
      <c r="J46" s="17" t="s">
        <v>128</v>
      </c>
      <c r="K46" s="18">
        <v>58.53</v>
      </c>
      <c r="L46" s="18">
        <v>18.5</v>
      </c>
      <c r="M46" s="18">
        <v>22.97</v>
      </c>
      <c r="N46" s="27">
        <v>28</v>
      </c>
      <c r="O46" s="19">
        <v>15</v>
      </c>
      <c r="P46" s="20">
        <v>26</v>
      </c>
      <c r="Q46" s="21">
        <f t="shared" si="10"/>
        <v>247.68547216117219</v>
      </c>
      <c r="R46" s="9"/>
      <c r="S46" s="17" t="s">
        <v>128</v>
      </c>
      <c r="T46" s="18">
        <v>59.26</v>
      </c>
      <c r="U46" s="18">
        <v>17.48</v>
      </c>
      <c r="V46" s="18">
        <v>23.26</v>
      </c>
      <c r="W46" s="27">
        <v>28</v>
      </c>
      <c r="X46" s="19">
        <v>14</v>
      </c>
      <c r="Y46" s="20">
        <v>26</v>
      </c>
      <c r="Z46" s="21">
        <f t="shared" si="11"/>
        <v>262.10494874411307</v>
      </c>
    </row>
    <row r="47" spans="1:26" ht="10.5" customHeight="1" x14ac:dyDescent="0.25">
      <c r="A47" s="17" t="s">
        <v>129</v>
      </c>
      <c r="B47" s="18">
        <v>58.77</v>
      </c>
      <c r="C47" s="18">
        <v>19.809999999999999</v>
      </c>
      <c r="D47" s="18">
        <v>21.42</v>
      </c>
      <c r="E47" s="27">
        <v>28</v>
      </c>
      <c r="F47" s="19">
        <v>16</v>
      </c>
      <c r="G47" s="20">
        <v>28</v>
      </c>
      <c r="H47" s="21">
        <f t="shared" si="9"/>
        <v>231.25849196428572</v>
      </c>
      <c r="I47" s="9"/>
      <c r="J47" s="17" t="s">
        <v>129</v>
      </c>
      <c r="K47" s="18">
        <v>59.51</v>
      </c>
      <c r="L47" s="18">
        <v>18.8</v>
      </c>
      <c r="M47" s="18">
        <v>21.69</v>
      </c>
      <c r="N47" s="27">
        <v>28</v>
      </c>
      <c r="O47" s="19">
        <v>15</v>
      </c>
      <c r="P47" s="20">
        <v>28</v>
      </c>
      <c r="Q47" s="21">
        <f t="shared" si="10"/>
        <v>243.62153809523809</v>
      </c>
      <c r="R47" s="9"/>
      <c r="S47" s="17" t="s">
        <v>129</v>
      </c>
      <c r="T47" s="18">
        <v>60.26</v>
      </c>
      <c r="U47" s="18">
        <v>17.78</v>
      </c>
      <c r="V47" s="18">
        <v>21.96</v>
      </c>
      <c r="W47" s="27">
        <v>28</v>
      </c>
      <c r="X47" s="19">
        <v>14</v>
      </c>
      <c r="Y47" s="20">
        <v>28</v>
      </c>
      <c r="Z47" s="21">
        <f t="shared" si="11"/>
        <v>257.75073367346943</v>
      </c>
    </row>
    <row r="48" spans="1:26" ht="10.5" customHeight="1" x14ac:dyDescent="0.25">
      <c r="A48" s="17" t="s">
        <v>130</v>
      </c>
      <c r="B48" s="18">
        <v>59.62</v>
      </c>
      <c r="C48" s="18">
        <v>20.100000000000001</v>
      </c>
      <c r="D48" s="18">
        <v>20.28</v>
      </c>
      <c r="E48" s="27">
        <v>28</v>
      </c>
      <c r="F48" s="19">
        <v>16</v>
      </c>
      <c r="G48" s="20">
        <v>30</v>
      </c>
      <c r="H48" s="21">
        <f t="shared" si="9"/>
        <v>227.9565455357143</v>
      </c>
      <c r="I48" s="9"/>
      <c r="J48" s="17" t="s">
        <v>130</v>
      </c>
      <c r="K48" s="18">
        <v>60.38</v>
      </c>
      <c r="L48" s="18">
        <v>19.079999999999998</v>
      </c>
      <c r="M48" s="18">
        <v>20.54</v>
      </c>
      <c r="N48" s="27">
        <v>28</v>
      </c>
      <c r="O48" s="19">
        <v>15</v>
      </c>
      <c r="P48" s="20">
        <v>30</v>
      </c>
      <c r="Q48" s="21">
        <f t="shared" si="10"/>
        <v>240.09946190476191</v>
      </c>
      <c r="R48" s="9"/>
      <c r="S48" s="17" t="s">
        <v>130</v>
      </c>
      <c r="T48" s="18">
        <v>61.16</v>
      </c>
      <c r="U48" s="18">
        <v>18.04</v>
      </c>
      <c r="V48" s="18">
        <v>20.8</v>
      </c>
      <c r="W48" s="27">
        <v>28</v>
      </c>
      <c r="X48" s="19">
        <v>14</v>
      </c>
      <c r="Y48" s="20">
        <v>30</v>
      </c>
      <c r="Z48" s="21">
        <f t="shared" si="11"/>
        <v>253.97708061224495</v>
      </c>
    </row>
    <row r="49" spans="1:26" ht="10.5" customHeight="1" x14ac:dyDescent="0.25">
      <c r="A49" s="28"/>
      <c r="B49" s="23"/>
      <c r="C49" s="23"/>
      <c r="D49" s="23"/>
      <c r="E49" s="24"/>
      <c r="F49" s="23"/>
      <c r="G49" s="20"/>
      <c r="H49" s="23"/>
      <c r="I49" s="9"/>
      <c r="J49" s="28"/>
      <c r="K49" s="23"/>
      <c r="L49" s="23"/>
      <c r="M49" s="23"/>
      <c r="N49" s="24"/>
      <c r="O49" s="23"/>
      <c r="P49" s="20"/>
      <c r="Q49" s="23"/>
      <c r="R49" s="9"/>
      <c r="S49" s="28"/>
      <c r="T49" s="23"/>
      <c r="U49" s="23"/>
      <c r="V49" s="23"/>
      <c r="W49" s="24"/>
      <c r="X49" s="23"/>
      <c r="Y49" s="20"/>
      <c r="Z49" s="23"/>
    </row>
    <row r="50" spans="1:26" ht="10.5" customHeight="1" x14ac:dyDescent="0.25">
      <c r="A50" s="17" t="s">
        <v>131</v>
      </c>
      <c r="B50" s="18">
        <v>44.24</v>
      </c>
      <c r="C50" s="18">
        <v>13.85</v>
      </c>
      <c r="D50" s="18">
        <v>41.91</v>
      </c>
      <c r="E50" s="27">
        <v>26</v>
      </c>
      <c r="F50" s="19">
        <v>16</v>
      </c>
      <c r="G50" s="20">
        <v>10</v>
      </c>
      <c r="H50" s="21">
        <f t="shared" ref="H50:H59" si="12">60890.59/E50/F50+45.8128+22189.08/G50/F50</f>
        <v>330.86616057692311</v>
      </c>
      <c r="I50" s="9"/>
      <c r="J50" s="17" t="s">
        <v>131</v>
      </c>
      <c r="K50" s="18">
        <v>44.62</v>
      </c>
      <c r="L50" s="18">
        <v>13.1</v>
      </c>
      <c r="M50" s="18">
        <v>42.28</v>
      </c>
      <c r="N50" s="27">
        <v>26</v>
      </c>
      <c r="O50" s="19">
        <v>15</v>
      </c>
      <c r="P50" s="20">
        <v>10</v>
      </c>
      <c r="Q50" s="21">
        <f t="shared" ref="Q50:Q59" si="13">60890.59/N50/O50+45.8128+22189.08/P50/O50</f>
        <v>349.86971794871795</v>
      </c>
      <c r="R50" s="9"/>
      <c r="S50" s="17" t="s">
        <v>131</v>
      </c>
      <c r="T50" s="18">
        <v>45.02</v>
      </c>
      <c r="U50" s="18">
        <v>12.33</v>
      </c>
      <c r="V50" s="18">
        <v>42.65</v>
      </c>
      <c r="W50" s="27">
        <v>26</v>
      </c>
      <c r="X50" s="19">
        <v>14</v>
      </c>
      <c r="Y50" s="20">
        <v>10</v>
      </c>
      <c r="Z50" s="21">
        <f t="shared" ref="Z50:Z59" si="14">60890.59/W50/X50+45.8128+22189.08/Y50/X50</f>
        <v>371.58806923076929</v>
      </c>
    </row>
    <row r="51" spans="1:26" ht="10.5" customHeight="1" x14ac:dyDescent="0.25">
      <c r="A51" s="17" t="s">
        <v>132</v>
      </c>
      <c r="B51" s="18">
        <v>47.56</v>
      </c>
      <c r="C51" s="18">
        <v>14.89</v>
      </c>
      <c r="D51" s="18">
        <v>37.549999999999997</v>
      </c>
      <c r="E51" s="27">
        <v>26</v>
      </c>
      <c r="F51" s="19">
        <v>16</v>
      </c>
      <c r="G51" s="20">
        <v>12</v>
      </c>
      <c r="H51" s="21">
        <f t="shared" si="12"/>
        <v>307.75253557692309</v>
      </c>
      <c r="I51" s="9"/>
      <c r="J51" s="17" t="s">
        <v>132</v>
      </c>
      <c r="K51" s="18">
        <v>48.01</v>
      </c>
      <c r="L51" s="18">
        <v>14.08</v>
      </c>
      <c r="M51" s="18">
        <v>37.909999999999997</v>
      </c>
      <c r="N51" s="27">
        <v>26</v>
      </c>
      <c r="O51" s="19">
        <v>15</v>
      </c>
      <c r="P51" s="20">
        <v>12</v>
      </c>
      <c r="Q51" s="21">
        <f t="shared" si="13"/>
        <v>325.2151846153846</v>
      </c>
      <c r="R51" s="9"/>
      <c r="S51" s="17" t="s">
        <v>132</v>
      </c>
      <c r="T51" s="18">
        <v>48.46</v>
      </c>
      <c r="U51" s="18">
        <v>13.27</v>
      </c>
      <c r="V51" s="18">
        <v>38.270000000000003</v>
      </c>
      <c r="W51" s="27">
        <v>26</v>
      </c>
      <c r="X51" s="19">
        <v>14</v>
      </c>
      <c r="Y51" s="20">
        <v>12</v>
      </c>
      <c r="Z51" s="21">
        <f t="shared" si="14"/>
        <v>345.17249780219777</v>
      </c>
    </row>
    <row r="52" spans="1:26" ht="10.5" customHeight="1" x14ac:dyDescent="0.25">
      <c r="A52" s="17" t="s">
        <v>133</v>
      </c>
      <c r="B52" s="18">
        <v>50.26</v>
      </c>
      <c r="C52" s="18">
        <v>15.73</v>
      </c>
      <c r="D52" s="18">
        <v>34.01</v>
      </c>
      <c r="E52" s="27">
        <v>26</v>
      </c>
      <c r="F52" s="19">
        <v>16</v>
      </c>
      <c r="G52" s="20">
        <v>14</v>
      </c>
      <c r="H52" s="21">
        <f t="shared" si="12"/>
        <v>291.24280343406593</v>
      </c>
      <c r="I52" s="9"/>
      <c r="J52" s="17" t="s">
        <v>133</v>
      </c>
      <c r="K52" s="18">
        <v>50.76</v>
      </c>
      <c r="L52" s="18">
        <v>14.89</v>
      </c>
      <c r="M52" s="18">
        <v>34.35</v>
      </c>
      <c r="N52" s="27">
        <v>26</v>
      </c>
      <c r="O52" s="19">
        <v>15</v>
      </c>
      <c r="P52" s="20">
        <v>14</v>
      </c>
      <c r="Q52" s="21">
        <f t="shared" si="13"/>
        <v>307.60480366300368</v>
      </c>
      <c r="R52" s="9"/>
      <c r="S52" s="17" t="s">
        <v>133</v>
      </c>
      <c r="T52" s="18">
        <v>51.26</v>
      </c>
      <c r="U52" s="18">
        <v>14.04</v>
      </c>
      <c r="V52" s="18">
        <v>34.700000000000003</v>
      </c>
      <c r="W52" s="27">
        <v>26</v>
      </c>
      <c r="X52" s="19">
        <v>14</v>
      </c>
      <c r="Y52" s="20">
        <v>14</v>
      </c>
      <c r="Z52" s="21">
        <f t="shared" si="14"/>
        <v>326.30423249607537</v>
      </c>
    </row>
    <row r="53" spans="1:26" ht="10.5" customHeight="1" x14ac:dyDescent="0.25">
      <c r="A53" s="17" t="s">
        <v>134</v>
      </c>
      <c r="B53" s="18">
        <v>52.49</v>
      </c>
      <c r="C53" s="18">
        <v>16.43</v>
      </c>
      <c r="D53" s="18">
        <v>31.08</v>
      </c>
      <c r="E53" s="27">
        <v>26</v>
      </c>
      <c r="F53" s="19">
        <v>16</v>
      </c>
      <c r="G53" s="20">
        <v>16</v>
      </c>
      <c r="H53" s="21">
        <f t="shared" si="12"/>
        <v>278.86050432692309</v>
      </c>
      <c r="I53" s="9"/>
      <c r="J53" s="17" t="s">
        <v>134</v>
      </c>
      <c r="K53" s="18">
        <v>53.03</v>
      </c>
      <c r="L53" s="18">
        <v>15.56</v>
      </c>
      <c r="M53" s="18">
        <v>31.41</v>
      </c>
      <c r="N53" s="27">
        <v>26</v>
      </c>
      <c r="O53" s="19">
        <v>15</v>
      </c>
      <c r="P53" s="20">
        <v>16</v>
      </c>
      <c r="Q53" s="21">
        <f t="shared" si="13"/>
        <v>294.39701794871797</v>
      </c>
      <c r="R53" s="9"/>
      <c r="S53" s="17" t="s">
        <v>134</v>
      </c>
      <c r="T53" s="18">
        <v>53.58</v>
      </c>
      <c r="U53" s="18">
        <v>14.68</v>
      </c>
      <c r="V53" s="18">
        <v>31.74</v>
      </c>
      <c r="W53" s="27">
        <v>26</v>
      </c>
      <c r="X53" s="19">
        <v>14</v>
      </c>
      <c r="Y53" s="20">
        <v>16</v>
      </c>
      <c r="Z53" s="21">
        <f t="shared" si="14"/>
        <v>312.1530335164835</v>
      </c>
    </row>
    <row r="54" spans="1:26" ht="10.5" customHeight="1" x14ac:dyDescent="0.25">
      <c r="A54" s="17" t="s">
        <v>135</v>
      </c>
      <c r="B54" s="18">
        <v>54.36</v>
      </c>
      <c r="C54" s="18">
        <v>17.02</v>
      </c>
      <c r="D54" s="18">
        <v>28.62</v>
      </c>
      <c r="E54" s="27">
        <v>26</v>
      </c>
      <c r="F54" s="19">
        <v>16</v>
      </c>
      <c r="G54" s="20">
        <v>18</v>
      </c>
      <c r="H54" s="21">
        <f t="shared" si="12"/>
        <v>269.22982724358974</v>
      </c>
      <c r="I54" s="9"/>
      <c r="J54" s="17" t="s">
        <v>135</v>
      </c>
      <c r="K54" s="18">
        <v>54.95</v>
      </c>
      <c r="L54" s="18">
        <v>16.12</v>
      </c>
      <c r="M54" s="18">
        <v>28.93</v>
      </c>
      <c r="N54" s="27">
        <v>26</v>
      </c>
      <c r="O54" s="19">
        <v>15</v>
      </c>
      <c r="P54" s="20">
        <v>18</v>
      </c>
      <c r="Q54" s="21">
        <f t="shared" si="13"/>
        <v>284.12429572649575</v>
      </c>
      <c r="R54" s="9"/>
      <c r="S54" s="17" t="s">
        <v>135</v>
      </c>
      <c r="T54" s="18">
        <v>55.55</v>
      </c>
      <c r="U54" s="18">
        <v>15.21</v>
      </c>
      <c r="V54" s="18">
        <v>29.24</v>
      </c>
      <c r="W54" s="27">
        <v>26</v>
      </c>
      <c r="X54" s="19">
        <v>14</v>
      </c>
      <c r="Y54" s="20">
        <v>18</v>
      </c>
      <c r="Z54" s="21">
        <f t="shared" si="14"/>
        <v>301.14654542124543</v>
      </c>
    </row>
    <row r="55" spans="1:26" ht="10.5" customHeight="1" x14ac:dyDescent="0.25">
      <c r="A55" s="17" t="s">
        <v>136</v>
      </c>
      <c r="B55" s="18">
        <v>55.97</v>
      </c>
      <c r="C55" s="18">
        <v>17.510000000000002</v>
      </c>
      <c r="D55" s="18">
        <v>26.52</v>
      </c>
      <c r="E55" s="27">
        <v>26</v>
      </c>
      <c r="F55" s="19">
        <v>16</v>
      </c>
      <c r="G55" s="20">
        <v>20</v>
      </c>
      <c r="H55" s="21">
        <f t="shared" si="12"/>
        <v>261.52528557692312</v>
      </c>
      <c r="I55" s="9"/>
      <c r="J55" s="17" t="s">
        <v>136</v>
      </c>
      <c r="K55" s="18">
        <v>56.59</v>
      </c>
      <c r="L55" s="18">
        <v>16.600000000000001</v>
      </c>
      <c r="M55" s="18">
        <v>26.81</v>
      </c>
      <c r="N55" s="27">
        <v>26</v>
      </c>
      <c r="O55" s="19">
        <v>15</v>
      </c>
      <c r="P55" s="20">
        <v>20</v>
      </c>
      <c r="Q55" s="21">
        <f t="shared" si="13"/>
        <v>275.90611794871796</v>
      </c>
      <c r="R55" s="9"/>
      <c r="S55" s="17" t="s">
        <v>136</v>
      </c>
      <c r="T55" s="18">
        <v>57.22</v>
      </c>
      <c r="U55" s="18">
        <v>15.67</v>
      </c>
      <c r="V55" s="18">
        <v>27.11</v>
      </c>
      <c r="W55" s="27">
        <v>26</v>
      </c>
      <c r="X55" s="19">
        <v>14</v>
      </c>
      <c r="Y55" s="20">
        <v>20</v>
      </c>
      <c r="Z55" s="21">
        <f t="shared" si="14"/>
        <v>292.34135494505495</v>
      </c>
    </row>
    <row r="56" spans="1:26" ht="10.5" customHeight="1" x14ac:dyDescent="0.25">
      <c r="A56" s="17" t="s">
        <v>137</v>
      </c>
      <c r="B56" s="18">
        <v>58.55</v>
      </c>
      <c r="C56" s="18">
        <v>18.329999999999998</v>
      </c>
      <c r="D56" s="18">
        <v>23.12</v>
      </c>
      <c r="E56" s="27">
        <v>26</v>
      </c>
      <c r="F56" s="19">
        <v>16</v>
      </c>
      <c r="G56" s="20">
        <v>24</v>
      </c>
      <c r="H56" s="21">
        <f t="shared" si="12"/>
        <v>249.96847307692309</v>
      </c>
      <c r="I56" s="9"/>
      <c r="J56" s="17" t="s">
        <v>137</v>
      </c>
      <c r="K56" s="18">
        <v>59.23</v>
      </c>
      <c r="L56" s="18">
        <v>17.38</v>
      </c>
      <c r="M56" s="18">
        <v>23.39</v>
      </c>
      <c r="N56" s="27">
        <v>26</v>
      </c>
      <c r="O56" s="19">
        <v>15</v>
      </c>
      <c r="P56" s="20">
        <v>24</v>
      </c>
      <c r="Q56" s="21">
        <f t="shared" si="13"/>
        <v>263.57885128205129</v>
      </c>
      <c r="R56" s="9"/>
      <c r="S56" s="17" t="s">
        <v>137</v>
      </c>
      <c r="T56" s="18">
        <v>59.93</v>
      </c>
      <c r="U56" s="18">
        <v>16.41</v>
      </c>
      <c r="V56" s="18">
        <v>23.66</v>
      </c>
      <c r="W56" s="27">
        <v>26</v>
      </c>
      <c r="X56" s="19">
        <v>14</v>
      </c>
      <c r="Y56" s="20">
        <v>24</v>
      </c>
      <c r="Z56" s="21">
        <f t="shared" si="14"/>
        <v>279.13356923076924</v>
      </c>
    </row>
    <row r="57" spans="1:26" ht="10.5" customHeight="1" x14ac:dyDescent="0.25">
      <c r="A57" s="17" t="s">
        <v>138</v>
      </c>
      <c r="B57" s="18">
        <v>59.61</v>
      </c>
      <c r="C57" s="18">
        <v>18.66</v>
      </c>
      <c r="D57" s="18">
        <v>21.73</v>
      </c>
      <c r="E57" s="27">
        <v>26</v>
      </c>
      <c r="F57" s="19">
        <v>16</v>
      </c>
      <c r="G57" s="20">
        <v>26</v>
      </c>
      <c r="H57" s="21">
        <f t="shared" si="12"/>
        <v>245.52354519230772</v>
      </c>
      <c r="I57" s="9"/>
      <c r="J57" s="17" t="s">
        <v>138</v>
      </c>
      <c r="K57" s="18">
        <v>60.32</v>
      </c>
      <c r="L57" s="18">
        <v>17.7</v>
      </c>
      <c r="M57" s="18">
        <v>21.98</v>
      </c>
      <c r="N57" s="27">
        <v>26</v>
      </c>
      <c r="O57" s="19">
        <v>15</v>
      </c>
      <c r="P57" s="20">
        <v>26</v>
      </c>
      <c r="Q57" s="21">
        <f t="shared" si="13"/>
        <v>258.83759487179486</v>
      </c>
      <c r="R57" s="9"/>
      <c r="S57" s="17" t="s">
        <v>138</v>
      </c>
      <c r="T57" s="18">
        <v>61.04</v>
      </c>
      <c r="U57" s="18">
        <v>16.72</v>
      </c>
      <c r="V57" s="18">
        <v>22.24</v>
      </c>
      <c r="W57" s="27">
        <v>26</v>
      </c>
      <c r="X57" s="19">
        <v>14</v>
      </c>
      <c r="Y57" s="20">
        <v>26</v>
      </c>
      <c r="Z57" s="21">
        <f t="shared" si="14"/>
        <v>274.05365164835166</v>
      </c>
    </row>
    <row r="58" spans="1:26" ht="10.5" customHeight="1" x14ac:dyDescent="0.25">
      <c r="A58" s="17" t="s">
        <v>139</v>
      </c>
      <c r="B58" s="18">
        <v>60.56</v>
      </c>
      <c r="C58" s="18">
        <v>18.95</v>
      </c>
      <c r="D58" s="18">
        <v>20.49</v>
      </c>
      <c r="E58" s="27">
        <v>26</v>
      </c>
      <c r="F58" s="19">
        <v>16</v>
      </c>
      <c r="G58" s="20">
        <v>28</v>
      </c>
      <c r="H58" s="21">
        <f t="shared" si="12"/>
        <v>241.71360700549451</v>
      </c>
      <c r="I58" s="9"/>
      <c r="J58" s="17" t="s">
        <v>139</v>
      </c>
      <c r="K58" s="18">
        <v>61.28</v>
      </c>
      <c r="L58" s="18">
        <v>17.98</v>
      </c>
      <c r="M58" s="18">
        <v>20.74</v>
      </c>
      <c r="N58" s="27">
        <v>26</v>
      </c>
      <c r="O58" s="19">
        <v>15</v>
      </c>
      <c r="P58" s="20">
        <v>28</v>
      </c>
      <c r="Q58" s="21">
        <f t="shared" si="13"/>
        <v>254.7736608058608</v>
      </c>
      <c r="R58" s="9"/>
      <c r="S58" s="17" t="s">
        <v>139</v>
      </c>
      <c r="T58" s="18">
        <v>62.02</v>
      </c>
      <c r="U58" s="18">
        <v>16.989999999999998</v>
      </c>
      <c r="V58" s="18">
        <v>20.99</v>
      </c>
      <c r="W58" s="27">
        <v>26</v>
      </c>
      <c r="X58" s="19">
        <v>14</v>
      </c>
      <c r="Y58" s="20">
        <v>28</v>
      </c>
      <c r="Z58" s="21">
        <f t="shared" si="14"/>
        <v>269.69943657770801</v>
      </c>
    </row>
    <row r="59" spans="1:26" ht="10.5" customHeight="1" x14ac:dyDescent="0.25">
      <c r="A59" s="17" t="s">
        <v>140</v>
      </c>
      <c r="B59" s="18">
        <v>61.39</v>
      </c>
      <c r="C59" s="18">
        <v>19.22</v>
      </c>
      <c r="D59" s="18">
        <v>19.39</v>
      </c>
      <c r="E59" s="27">
        <v>26</v>
      </c>
      <c r="F59" s="19">
        <v>16</v>
      </c>
      <c r="G59" s="20">
        <v>30</v>
      </c>
      <c r="H59" s="21">
        <f t="shared" si="12"/>
        <v>238.41166057692308</v>
      </c>
      <c r="I59" s="9"/>
      <c r="J59" s="17" t="s">
        <v>140</v>
      </c>
      <c r="K59" s="18">
        <v>62.14</v>
      </c>
      <c r="L59" s="18">
        <v>18.23</v>
      </c>
      <c r="M59" s="18">
        <v>19.63</v>
      </c>
      <c r="N59" s="27">
        <v>26</v>
      </c>
      <c r="O59" s="19">
        <v>15</v>
      </c>
      <c r="P59" s="20">
        <v>30</v>
      </c>
      <c r="Q59" s="21">
        <f t="shared" si="13"/>
        <v>251.25158461538462</v>
      </c>
      <c r="R59" s="9"/>
      <c r="S59" s="17" t="s">
        <v>140</v>
      </c>
      <c r="T59" s="18">
        <v>62.9</v>
      </c>
      <c r="U59" s="18">
        <v>17.23</v>
      </c>
      <c r="V59" s="18">
        <v>19.87</v>
      </c>
      <c r="W59" s="27">
        <v>26</v>
      </c>
      <c r="X59" s="19">
        <v>14</v>
      </c>
      <c r="Y59" s="20">
        <v>30</v>
      </c>
      <c r="Z59" s="21">
        <f t="shared" si="14"/>
        <v>265.92578351648353</v>
      </c>
    </row>
    <row r="60" spans="1:26" ht="10.5" customHeight="1" x14ac:dyDescent="0.25">
      <c r="A60" s="29"/>
      <c r="B60" s="23"/>
      <c r="C60" s="23"/>
      <c r="D60" s="23"/>
      <c r="E60" s="24"/>
      <c r="F60" s="23"/>
      <c r="G60" s="20"/>
      <c r="H60" s="23"/>
      <c r="I60" s="9"/>
      <c r="J60" s="29"/>
      <c r="K60" s="23"/>
      <c r="L60" s="23"/>
      <c r="M60" s="23"/>
      <c r="N60" s="24"/>
      <c r="O60" s="23"/>
      <c r="P60" s="20"/>
      <c r="Q60" s="23"/>
      <c r="R60" s="9"/>
      <c r="S60" s="29"/>
      <c r="T60" s="23"/>
      <c r="U60" s="23"/>
      <c r="V60" s="23"/>
      <c r="W60" s="24"/>
      <c r="X60" s="23"/>
      <c r="Y60" s="20"/>
      <c r="Z60" s="23"/>
    </row>
    <row r="61" spans="1:26" ht="10.5" customHeight="1" x14ac:dyDescent="0.25">
      <c r="A61" s="17" t="s">
        <v>141</v>
      </c>
      <c r="B61" s="18">
        <v>46.22</v>
      </c>
      <c r="C61" s="18">
        <v>13.35</v>
      </c>
      <c r="D61" s="18">
        <v>40.43</v>
      </c>
      <c r="E61" s="27">
        <v>24</v>
      </c>
      <c r="F61" s="19">
        <v>16</v>
      </c>
      <c r="G61" s="20">
        <v>10</v>
      </c>
      <c r="H61" s="21">
        <f t="shared" ref="H61:H70" si="15">60890.59/E61/F61+45.8128+22189.08/G61/F61</f>
        <v>343.06379479166668</v>
      </c>
      <c r="I61" s="9"/>
      <c r="J61" s="17" t="s">
        <v>141</v>
      </c>
      <c r="K61" s="18">
        <v>46.61</v>
      </c>
      <c r="L61" s="18">
        <v>12.62</v>
      </c>
      <c r="M61" s="18">
        <v>40.770000000000003</v>
      </c>
      <c r="N61" s="27">
        <v>24</v>
      </c>
      <c r="O61" s="19">
        <v>15</v>
      </c>
      <c r="P61" s="20">
        <v>10</v>
      </c>
      <c r="Q61" s="21">
        <f t="shared" ref="Q61:Q70" si="16">60890.59/N61/O61+45.8128+22189.08/P61/O61</f>
        <v>362.88052777777779</v>
      </c>
      <c r="R61" s="9"/>
      <c r="S61" s="17" t="s">
        <v>141</v>
      </c>
      <c r="T61" s="18">
        <v>47.01</v>
      </c>
      <c r="U61" s="18">
        <v>11.88</v>
      </c>
      <c r="V61" s="18">
        <v>41.11</v>
      </c>
      <c r="W61" s="27">
        <v>24</v>
      </c>
      <c r="X61" s="19">
        <v>14</v>
      </c>
      <c r="Y61" s="20">
        <v>10</v>
      </c>
      <c r="Z61" s="21">
        <f t="shared" ref="Z61:Z70" si="17">60890.59/W61/X61+45.8128+22189.08/Y61/X61</f>
        <v>385.52822261904765</v>
      </c>
    </row>
    <row r="62" spans="1:26" ht="10.5" customHeight="1" x14ac:dyDescent="0.25">
      <c r="A62" s="17" t="s">
        <v>142</v>
      </c>
      <c r="B62" s="18">
        <v>49.56</v>
      </c>
      <c r="C62" s="18">
        <v>14.32</v>
      </c>
      <c r="D62" s="18">
        <v>36.119999999999997</v>
      </c>
      <c r="E62" s="27">
        <v>24</v>
      </c>
      <c r="F62" s="19">
        <v>16</v>
      </c>
      <c r="G62" s="20">
        <v>12</v>
      </c>
      <c r="H62" s="21">
        <f t="shared" si="15"/>
        <v>319.95016979166667</v>
      </c>
      <c r="I62" s="9"/>
      <c r="J62" s="17" t="s">
        <v>142</v>
      </c>
      <c r="K62" s="18">
        <v>50</v>
      </c>
      <c r="L62" s="18">
        <v>13.55</v>
      </c>
      <c r="M62" s="18">
        <v>36.450000000000003</v>
      </c>
      <c r="N62" s="27">
        <v>24</v>
      </c>
      <c r="O62" s="19">
        <v>15</v>
      </c>
      <c r="P62" s="20">
        <v>12</v>
      </c>
      <c r="Q62" s="21">
        <f t="shared" si="16"/>
        <v>338.22599444444444</v>
      </c>
      <c r="R62" s="9"/>
      <c r="S62" s="17" t="s">
        <v>142</v>
      </c>
      <c r="T62" s="18">
        <v>50.46</v>
      </c>
      <c r="U62" s="18">
        <v>12.76</v>
      </c>
      <c r="V62" s="18">
        <v>36.78</v>
      </c>
      <c r="W62" s="27">
        <v>24</v>
      </c>
      <c r="X62" s="19">
        <v>14</v>
      </c>
      <c r="Y62" s="20">
        <v>12</v>
      </c>
      <c r="Z62" s="21">
        <f t="shared" si="17"/>
        <v>359.11265119047619</v>
      </c>
    </row>
    <row r="63" spans="1:26" ht="10.5" customHeight="1" x14ac:dyDescent="0.25">
      <c r="A63" s="17" t="s">
        <v>143</v>
      </c>
      <c r="B63" s="18">
        <v>52.25</v>
      </c>
      <c r="C63" s="18">
        <v>15.1</v>
      </c>
      <c r="D63" s="18">
        <v>32.65</v>
      </c>
      <c r="E63" s="27">
        <v>24</v>
      </c>
      <c r="F63" s="19">
        <v>16</v>
      </c>
      <c r="G63" s="20">
        <v>14</v>
      </c>
      <c r="H63" s="21">
        <f t="shared" si="15"/>
        <v>303.44043764880951</v>
      </c>
      <c r="I63" s="9"/>
      <c r="J63" s="17" t="s">
        <v>143</v>
      </c>
      <c r="K63" s="18">
        <v>52.75</v>
      </c>
      <c r="L63" s="18">
        <v>14.29</v>
      </c>
      <c r="M63" s="18">
        <v>32.96</v>
      </c>
      <c r="N63" s="27">
        <v>24</v>
      </c>
      <c r="O63" s="19">
        <v>15</v>
      </c>
      <c r="P63" s="20">
        <v>14</v>
      </c>
      <c r="Q63" s="21">
        <f t="shared" si="16"/>
        <v>320.61561349206346</v>
      </c>
      <c r="R63" s="9"/>
      <c r="S63" s="17" t="s">
        <v>143</v>
      </c>
      <c r="T63" s="18">
        <v>53.26</v>
      </c>
      <c r="U63" s="18">
        <v>13.47</v>
      </c>
      <c r="V63" s="18">
        <v>33.270000000000003</v>
      </c>
      <c r="W63" s="27">
        <v>24</v>
      </c>
      <c r="X63" s="19">
        <v>14</v>
      </c>
      <c r="Y63" s="20">
        <v>14</v>
      </c>
      <c r="Z63" s="21">
        <f t="shared" si="17"/>
        <v>340.24438588435373</v>
      </c>
    </row>
    <row r="64" spans="1:26" ht="10.5" customHeight="1" x14ac:dyDescent="0.25">
      <c r="A64" s="17" t="s">
        <v>144</v>
      </c>
      <c r="B64" s="18">
        <v>54.48</v>
      </c>
      <c r="C64" s="18">
        <v>15.74</v>
      </c>
      <c r="D64" s="18">
        <v>29.78</v>
      </c>
      <c r="E64" s="27">
        <v>24</v>
      </c>
      <c r="F64" s="19">
        <v>16</v>
      </c>
      <c r="G64" s="20">
        <v>16</v>
      </c>
      <c r="H64" s="21">
        <f t="shared" si="15"/>
        <v>291.05813854166666</v>
      </c>
      <c r="I64" s="9"/>
      <c r="J64" s="17" t="s">
        <v>144</v>
      </c>
      <c r="K64" s="18">
        <v>55.02</v>
      </c>
      <c r="L64" s="18">
        <v>14.9</v>
      </c>
      <c r="M64" s="18">
        <v>30.08</v>
      </c>
      <c r="N64" s="27">
        <v>24</v>
      </c>
      <c r="O64" s="19">
        <v>15</v>
      </c>
      <c r="P64" s="20">
        <v>16</v>
      </c>
      <c r="Q64" s="21">
        <f t="shared" si="16"/>
        <v>307.40782777777775</v>
      </c>
      <c r="R64" s="9"/>
      <c r="S64" s="17" t="s">
        <v>144</v>
      </c>
      <c r="T64" s="18">
        <v>55.57</v>
      </c>
      <c r="U64" s="18">
        <v>14.05</v>
      </c>
      <c r="V64" s="18">
        <v>30.38</v>
      </c>
      <c r="W64" s="27">
        <v>24</v>
      </c>
      <c r="X64" s="19">
        <v>14</v>
      </c>
      <c r="Y64" s="20">
        <v>16</v>
      </c>
      <c r="Z64" s="21">
        <f t="shared" si="17"/>
        <v>326.09318690476192</v>
      </c>
    </row>
    <row r="65" spans="1:26" ht="10.5" customHeight="1" x14ac:dyDescent="0.25">
      <c r="A65" s="17" t="s">
        <v>145</v>
      </c>
      <c r="B65" s="18">
        <v>56.34</v>
      </c>
      <c r="C65" s="18">
        <v>16.28</v>
      </c>
      <c r="D65" s="18">
        <v>27.38</v>
      </c>
      <c r="E65" s="27">
        <v>24</v>
      </c>
      <c r="F65" s="19">
        <v>16</v>
      </c>
      <c r="G65" s="20">
        <v>18</v>
      </c>
      <c r="H65" s="21">
        <f t="shared" si="15"/>
        <v>281.42746145833331</v>
      </c>
      <c r="I65" s="9"/>
      <c r="J65" s="17" t="s">
        <v>145</v>
      </c>
      <c r="K65" s="18">
        <v>56.92</v>
      </c>
      <c r="L65" s="18">
        <v>15.42</v>
      </c>
      <c r="M65" s="18">
        <v>27.66</v>
      </c>
      <c r="N65" s="27">
        <v>24</v>
      </c>
      <c r="O65" s="19">
        <v>15</v>
      </c>
      <c r="P65" s="20">
        <v>18</v>
      </c>
      <c r="Q65" s="21">
        <f t="shared" si="16"/>
        <v>297.13510555555553</v>
      </c>
      <c r="R65" s="9"/>
      <c r="S65" s="17" t="s">
        <v>145</v>
      </c>
      <c r="T65" s="18">
        <v>57.51</v>
      </c>
      <c r="U65" s="18">
        <v>14.54</v>
      </c>
      <c r="V65" s="18">
        <v>27.95</v>
      </c>
      <c r="W65" s="27">
        <v>24</v>
      </c>
      <c r="X65" s="19">
        <v>14</v>
      </c>
      <c r="Y65" s="20">
        <v>18</v>
      </c>
      <c r="Z65" s="21">
        <f t="shared" si="17"/>
        <v>315.0866988095238</v>
      </c>
    </row>
    <row r="66" spans="1:26" ht="10.5" customHeight="1" x14ac:dyDescent="0.25">
      <c r="A66" s="17" t="s">
        <v>146</v>
      </c>
      <c r="B66" s="18">
        <v>57.93</v>
      </c>
      <c r="C66" s="18">
        <v>16.739999999999998</v>
      </c>
      <c r="D66" s="18">
        <v>25.33</v>
      </c>
      <c r="E66" s="27">
        <v>24</v>
      </c>
      <c r="F66" s="19">
        <v>16</v>
      </c>
      <c r="G66" s="20">
        <v>20</v>
      </c>
      <c r="H66" s="21">
        <f t="shared" si="15"/>
        <v>273.72291979166664</v>
      </c>
      <c r="I66" s="9"/>
      <c r="J66" s="17" t="s">
        <v>146</v>
      </c>
      <c r="K66" s="18">
        <v>58.54</v>
      </c>
      <c r="L66" s="18">
        <v>15.86</v>
      </c>
      <c r="M66" s="18">
        <v>25.6</v>
      </c>
      <c r="N66" s="27">
        <v>24</v>
      </c>
      <c r="O66" s="19">
        <v>15</v>
      </c>
      <c r="P66" s="20">
        <v>20</v>
      </c>
      <c r="Q66" s="21">
        <f t="shared" si="16"/>
        <v>288.9169277777778</v>
      </c>
      <c r="R66" s="9"/>
      <c r="S66" s="17" t="s">
        <v>146</v>
      </c>
      <c r="T66" s="18">
        <v>59.17</v>
      </c>
      <c r="U66" s="18">
        <v>14.95</v>
      </c>
      <c r="V66" s="18">
        <v>25.88</v>
      </c>
      <c r="W66" s="27">
        <v>24</v>
      </c>
      <c r="X66" s="19">
        <v>14</v>
      </c>
      <c r="Y66" s="20">
        <v>20</v>
      </c>
      <c r="Z66" s="21">
        <f t="shared" si="17"/>
        <v>306.28150833333336</v>
      </c>
    </row>
    <row r="67" spans="1:26" ht="10.5" customHeight="1" x14ac:dyDescent="0.25">
      <c r="A67" s="17" t="s">
        <v>147</v>
      </c>
      <c r="B67" s="18">
        <v>60.48</v>
      </c>
      <c r="C67" s="18">
        <v>17.48</v>
      </c>
      <c r="D67" s="18">
        <v>22.04</v>
      </c>
      <c r="E67" s="27">
        <v>24</v>
      </c>
      <c r="F67" s="19">
        <v>16</v>
      </c>
      <c r="G67" s="20">
        <v>24</v>
      </c>
      <c r="H67" s="21">
        <f t="shared" si="15"/>
        <v>262.16610729166666</v>
      </c>
      <c r="I67" s="9"/>
      <c r="J67" s="17" t="s">
        <v>147</v>
      </c>
      <c r="K67" s="18">
        <v>61.15</v>
      </c>
      <c r="L67" s="18">
        <v>16.559999999999999</v>
      </c>
      <c r="M67" s="18">
        <v>22.29</v>
      </c>
      <c r="N67" s="27">
        <v>24</v>
      </c>
      <c r="O67" s="19">
        <v>15</v>
      </c>
      <c r="P67" s="20">
        <v>24</v>
      </c>
      <c r="Q67" s="21">
        <f t="shared" si="16"/>
        <v>276.58966111111113</v>
      </c>
      <c r="R67" s="9"/>
      <c r="S67" s="17" t="s">
        <v>147</v>
      </c>
      <c r="T67" s="18">
        <v>61.84</v>
      </c>
      <c r="U67" s="18">
        <v>15.63</v>
      </c>
      <c r="V67" s="18">
        <v>22.53</v>
      </c>
      <c r="W67" s="27">
        <v>24</v>
      </c>
      <c r="X67" s="19">
        <v>14</v>
      </c>
      <c r="Y67" s="20">
        <v>24</v>
      </c>
      <c r="Z67" s="21">
        <f t="shared" si="17"/>
        <v>293.0737226190476</v>
      </c>
    </row>
    <row r="68" spans="1:26" ht="10.5" customHeight="1" x14ac:dyDescent="0.25">
      <c r="A68" s="17" t="s">
        <v>148</v>
      </c>
      <c r="B68" s="18">
        <v>61.52</v>
      </c>
      <c r="C68" s="18">
        <v>17.78</v>
      </c>
      <c r="D68" s="18">
        <v>20.7</v>
      </c>
      <c r="E68" s="27">
        <v>24</v>
      </c>
      <c r="F68" s="19">
        <v>16</v>
      </c>
      <c r="G68" s="20">
        <v>26</v>
      </c>
      <c r="H68" s="21">
        <f t="shared" si="15"/>
        <v>257.7211794070513</v>
      </c>
      <c r="I68" s="9"/>
      <c r="J68" s="17" t="s">
        <v>148</v>
      </c>
      <c r="K68" s="18">
        <v>62.22</v>
      </c>
      <c r="L68" s="18">
        <v>16.850000000000001</v>
      </c>
      <c r="M68" s="18">
        <v>20.93</v>
      </c>
      <c r="N68" s="27">
        <v>24</v>
      </c>
      <c r="O68" s="19">
        <v>15</v>
      </c>
      <c r="P68" s="20">
        <v>26</v>
      </c>
      <c r="Q68" s="21">
        <f t="shared" si="16"/>
        <v>271.8484047008547</v>
      </c>
      <c r="R68" s="9"/>
      <c r="S68" s="17" t="s">
        <v>148</v>
      </c>
      <c r="T68" s="18">
        <v>62.92</v>
      </c>
      <c r="U68" s="18">
        <v>15.91</v>
      </c>
      <c r="V68" s="18">
        <v>21.17</v>
      </c>
      <c r="W68" s="27">
        <v>24</v>
      </c>
      <c r="X68" s="19">
        <v>14</v>
      </c>
      <c r="Y68" s="20">
        <v>26</v>
      </c>
      <c r="Z68" s="21">
        <f t="shared" si="17"/>
        <v>287.99380503663002</v>
      </c>
    </row>
    <row r="69" spans="1:26" ht="10.5" customHeight="1" x14ac:dyDescent="0.25">
      <c r="A69" s="17" t="s">
        <v>149</v>
      </c>
      <c r="B69" s="18">
        <v>62.45</v>
      </c>
      <c r="C69" s="18">
        <v>18.04</v>
      </c>
      <c r="D69" s="18">
        <v>19.510000000000002</v>
      </c>
      <c r="E69" s="27">
        <v>24</v>
      </c>
      <c r="F69" s="19">
        <v>16</v>
      </c>
      <c r="G69" s="20">
        <v>28</v>
      </c>
      <c r="H69" s="21">
        <f t="shared" si="15"/>
        <v>253.91124122023808</v>
      </c>
      <c r="I69" s="9"/>
      <c r="J69" s="17" t="s">
        <v>149</v>
      </c>
      <c r="K69" s="18">
        <v>63.16</v>
      </c>
      <c r="L69" s="18">
        <v>17.11</v>
      </c>
      <c r="M69" s="18">
        <v>19.73</v>
      </c>
      <c r="N69" s="27">
        <v>24</v>
      </c>
      <c r="O69" s="19">
        <v>15</v>
      </c>
      <c r="P69" s="20">
        <v>28</v>
      </c>
      <c r="Q69" s="21">
        <f t="shared" si="16"/>
        <v>267.78447063492064</v>
      </c>
      <c r="R69" s="9"/>
      <c r="S69" s="17" t="s">
        <v>149</v>
      </c>
      <c r="T69" s="18">
        <v>63.89</v>
      </c>
      <c r="U69" s="18">
        <v>16.149999999999999</v>
      </c>
      <c r="V69" s="18">
        <v>19.96</v>
      </c>
      <c r="W69" s="27">
        <v>24</v>
      </c>
      <c r="X69" s="19">
        <v>14</v>
      </c>
      <c r="Y69" s="20">
        <v>28</v>
      </c>
      <c r="Z69" s="21">
        <f t="shared" si="17"/>
        <v>283.63958996598637</v>
      </c>
    </row>
    <row r="70" spans="1:26" ht="10.5" customHeight="1" x14ac:dyDescent="0.25">
      <c r="A70" s="17" t="s">
        <v>150</v>
      </c>
      <c r="B70" s="18">
        <v>63.27</v>
      </c>
      <c r="C70" s="18">
        <v>18.28</v>
      </c>
      <c r="D70" s="18">
        <v>18.45</v>
      </c>
      <c r="E70" s="27">
        <v>24</v>
      </c>
      <c r="F70" s="19">
        <v>16</v>
      </c>
      <c r="G70" s="20">
        <v>30</v>
      </c>
      <c r="H70" s="21">
        <f t="shared" si="15"/>
        <v>250.60929479166666</v>
      </c>
      <c r="I70" s="9"/>
      <c r="J70" s="17" t="s">
        <v>150</v>
      </c>
      <c r="K70" s="18">
        <v>64</v>
      </c>
      <c r="L70" s="18">
        <v>17.34</v>
      </c>
      <c r="M70" s="18">
        <v>18.66</v>
      </c>
      <c r="N70" s="27">
        <v>24</v>
      </c>
      <c r="O70" s="19">
        <v>15</v>
      </c>
      <c r="P70" s="20">
        <v>30</v>
      </c>
      <c r="Q70" s="21">
        <f t="shared" si="16"/>
        <v>264.26239444444445</v>
      </c>
      <c r="R70" s="9"/>
      <c r="S70" s="17" t="s">
        <v>150</v>
      </c>
      <c r="T70" s="18">
        <v>64.75</v>
      </c>
      <c r="U70" s="18">
        <v>16.37</v>
      </c>
      <c r="V70" s="18">
        <v>18.88</v>
      </c>
      <c r="W70" s="27">
        <v>24</v>
      </c>
      <c r="X70" s="19">
        <v>14</v>
      </c>
      <c r="Y70" s="20">
        <v>30</v>
      </c>
      <c r="Z70" s="21">
        <f t="shared" si="17"/>
        <v>279.8659369047619</v>
      </c>
    </row>
    <row r="71" spans="1:26" ht="10.5" customHeight="1" x14ac:dyDescent="0.25">
      <c r="A71" s="29"/>
      <c r="B71" s="23"/>
      <c r="C71" s="23"/>
      <c r="D71" s="23"/>
      <c r="E71" s="24"/>
      <c r="F71" s="23"/>
      <c r="G71" s="20"/>
      <c r="H71" s="23"/>
      <c r="I71" s="9"/>
      <c r="J71" s="29"/>
      <c r="K71" s="23"/>
      <c r="L71" s="23"/>
      <c r="M71" s="23"/>
      <c r="N71" s="24"/>
      <c r="O71" s="23"/>
      <c r="P71" s="20"/>
      <c r="Q71" s="23"/>
      <c r="R71" s="9"/>
      <c r="S71" s="29"/>
      <c r="T71" s="23"/>
      <c r="U71" s="23"/>
      <c r="V71" s="23"/>
      <c r="W71" s="24"/>
      <c r="X71" s="23"/>
      <c r="Y71" s="20"/>
      <c r="Z71" s="23"/>
    </row>
    <row r="72" spans="1:26" ht="10.5" customHeight="1" x14ac:dyDescent="0.25">
      <c r="A72" s="17" t="s">
        <v>151</v>
      </c>
      <c r="B72" s="18">
        <v>50.77</v>
      </c>
      <c r="C72" s="18">
        <v>12.22</v>
      </c>
      <c r="D72" s="18">
        <v>37.01</v>
      </c>
      <c r="E72" s="27">
        <v>20</v>
      </c>
      <c r="F72" s="19">
        <v>16</v>
      </c>
      <c r="G72" s="20">
        <v>10</v>
      </c>
      <c r="H72" s="21">
        <f t="shared" ref="H72:H81" si="18">60890.59/E72/F72+45.8128+22189.08/G72/F72</f>
        <v>374.77764375000004</v>
      </c>
      <c r="I72" s="9"/>
      <c r="J72" s="17" t="s">
        <v>151</v>
      </c>
      <c r="K72" s="18">
        <v>51.16</v>
      </c>
      <c r="L72" s="18">
        <v>11.55</v>
      </c>
      <c r="M72" s="18">
        <v>37.29</v>
      </c>
      <c r="N72" s="27">
        <v>20</v>
      </c>
      <c r="O72" s="19">
        <v>15</v>
      </c>
      <c r="P72" s="20">
        <v>10</v>
      </c>
      <c r="Q72" s="21">
        <f t="shared" ref="Q72:Q81" si="19">60890.59/N72/O72+45.8128+22189.08/P72/O72</f>
        <v>396.70863333333335</v>
      </c>
      <c r="R72" s="9"/>
      <c r="S72" s="17" t="s">
        <v>151</v>
      </c>
      <c r="T72" s="18">
        <v>51.56</v>
      </c>
      <c r="U72" s="18">
        <v>10.86</v>
      </c>
      <c r="V72" s="18">
        <v>37.58</v>
      </c>
      <c r="W72" s="27">
        <v>20</v>
      </c>
      <c r="X72" s="19">
        <v>14</v>
      </c>
      <c r="Y72" s="20">
        <v>10</v>
      </c>
      <c r="Z72" s="21">
        <f t="shared" ref="Z72:Z81" si="20">60890.59/W72/X72+45.8128+22189.08/Y72/X72</f>
        <v>421.77262142857148</v>
      </c>
    </row>
    <row r="73" spans="1:26" ht="10.5" customHeight="1" x14ac:dyDescent="0.25">
      <c r="A73" s="17" t="s">
        <v>152</v>
      </c>
      <c r="B73" s="18">
        <v>54.11</v>
      </c>
      <c r="C73" s="18">
        <v>13.03</v>
      </c>
      <c r="D73" s="18">
        <v>32.86</v>
      </c>
      <c r="E73" s="27">
        <v>20</v>
      </c>
      <c r="F73" s="19">
        <v>16</v>
      </c>
      <c r="G73" s="20">
        <v>12</v>
      </c>
      <c r="H73" s="21">
        <f t="shared" si="18"/>
        <v>351.66401874999997</v>
      </c>
      <c r="I73" s="9"/>
      <c r="J73" s="17" t="s">
        <v>152</v>
      </c>
      <c r="K73" s="18">
        <v>54.55</v>
      </c>
      <c r="L73" s="18">
        <v>12.31</v>
      </c>
      <c r="M73" s="18">
        <v>33.14</v>
      </c>
      <c r="N73" s="27">
        <v>20</v>
      </c>
      <c r="O73" s="19">
        <v>15</v>
      </c>
      <c r="P73" s="20">
        <v>12</v>
      </c>
      <c r="Q73" s="21">
        <f t="shared" si="19"/>
        <v>372.05410000000001</v>
      </c>
      <c r="R73" s="9"/>
      <c r="S73" s="17" t="s">
        <v>152</v>
      </c>
      <c r="T73" s="18">
        <v>55</v>
      </c>
      <c r="U73" s="18">
        <v>11.59</v>
      </c>
      <c r="V73" s="18">
        <v>33.409999999999997</v>
      </c>
      <c r="W73" s="27">
        <v>20</v>
      </c>
      <c r="X73" s="19">
        <v>14</v>
      </c>
      <c r="Y73" s="20">
        <v>12</v>
      </c>
      <c r="Z73" s="21">
        <f t="shared" si="20"/>
        <v>395.35704999999996</v>
      </c>
    </row>
    <row r="74" spans="1:26" ht="10.5" customHeight="1" x14ac:dyDescent="0.25">
      <c r="A74" s="17" t="s">
        <v>153</v>
      </c>
      <c r="B74" s="18">
        <v>56.77</v>
      </c>
      <c r="C74" s="18">
        <v>13.67</v>
      </c>
      <c r="D74" s="18">
        <v>29.56</v>
      </c>
      <c r="E74" s="27">
        <v>20</v>
      </c>
      <c r="F74" s="19">
        <v>16</v>
      </c>
      <c r="G74" s="20">
        <v>14</v>
      </c>
      <c r="H74" s="21">
        <f t="shared" si="18"/>
        <v>335.15428660714286</v>
      </c>
      <c r="I74" s="9"/>
      <c r="J74" s="17" t="s">
        <v>153</v>
      </c>
      <c r="K74" s="18">
        <v>57.26</v>
      </c>
      <c r="L74" s="18">
        <v>12.93</v>
      </c>
      <c r="M74" s="18">
        <v>29.81</v>
      </c>
      <c r="N74" s="27">
        <v>20</v>
      </c>
      <c r="O74" s="19">
        <v>15</v>
      </c>
      <c r="P74" s="20">
        <v>14</v>
      </c>
      <c r="Q74" s="21">
        <f t="shared" si="19"/>
        <v>354.44371904761903</v>
      </c>
      <c r="R74" s="9"/>
      <c r="S74" s="17" t="s">
        <v>153</v>
      </c>
      <c r="T74" s="18">
        <v>57.76</v>
      </c>
      <c r="U74" s="18">
        <v>12.17</v>
      </c>
      <c r="V74" s="18">
        <v>30.07</v>
      </c>
      <c r="W74" s="27">
        <v>20</v>
      </c>
      <c r="X74" s="19">
        <v>14</v>
      </c>
      <c r="Y74" s="20">
        <v>14</v>
      </c>
      <c r="Z74" s="21">
        <f t="shared" si="20"/>
        <v>376.48878469387756</v>
      </c>
    </row>
    <row r="75" spans="1:26" ht="10.5" customHeight="1" x14ac:dyDescent="0.25">
      <c r="A75" s="17" t="s">
        <v>154</v>
      </c>
      <c r="B75" s="18">
        <v>58.95</v>
      </c>
      <c r="C75" s="18">
        <v>14.19</v>
      </c>
      <c r="D75" s="18">
        <v>26.86</v>
      </c>
      <c r="E75" s="27">
        <v>20</v>
      </c>
      <c r="F75" s="19">
        <v>16</v>
      </c>
      <c r="G75" s="20">
        <v>16</v>
      </c>
      <c r="H75" s="21">
        <f t="shared" si="18"/>
        <v>322.77198750000002</v>
      </c>
      <c r="I75" s="9"/>
      <c r="J75" s="17" t="s">
        <v>154</v>
      </c>
      <c r="K75" s="18">
        <v>59.47</v>
      </c>
      <c r="L75" s="18">
        <v>13.43</v>
      </c>
      <c r="M75" s="18">
        <v>27.1</v>
      </c>
      <c r="N75" s="27">
        <v>20</v>
      </c>
      <c r="O75" s="19">
        <v>15</v>
      </c>
      <c r="P75" s="20">
        <v>16</v>
      </c>
      <c r="Q75" s="21">
        <f t="shared" si="19"/>
        <v>341.23593333333332</v>
      </c>
      <c r="R75" s="9"/>
      <c r="S75" s="17" t="s">
        <v>154</v>
      </c>
      <c r="T75" s="18">
        <v>60.02</v>
      </c>
      <c r="U75" s="18">
        <v>12.64</v>
      </c>
      <c r="V75" s="18">
        <v>27.34</v>
      </c>
      <c r="W75" s="27">
        <v>20</v>
      </c>
      <c r="X75" s="19">
        <v>14</v>
      </c>
      <c r="Y75" s="20">
        <v>16</v>
      </c>
      <c r="Z75" s="21">
        <f t="shared" si="20"/>
        <v>362.33758571428569</v>
      </c>
    </row>
    <row r="76" spans="1:26" ht="10.5" customHeight="1" x14ac:dyDescent="0.25">
      <c r="A76" s="17" t="s">
        <v>155</v>
      </c>
      <c r="B76" s="18">
        <v>60.76</v>
      </c>
      <c r="C76" s="18">
        <v>14.63</v>
      </c>
      <c r="D76" s="18">
        <v>24.61</v>
      </c>
      <c r="E76" s="27">
        <v>20</v>
      </c>
      <c r="F76" s="19">
        <v>16</v>
      </c>
      <c r="G76" s="20">
        <v>18</v>
      </c>
      <c r="H76" s="21">
        <f t="shared" si="18"/>
        <v>313.14131041666667</v>
      </c>
      <c r="I76" s="9"/>
      <c r="J76" s="17" t="s">
        <v>155</v>
      </c>
      <c r="K76" s="18">
        <v>61.33</v>
      </c>
      <c r="L76" s="18">
        <v>13.84</v>
      </c>
      <c r="M76" s="18">
        <v>24.83</v>
      </c>
      <c r="N76" s="27">
        <v>20</v>
      </c>
      <c r="O76" s="19">
        <v>15</v>
      </c>
      <c r="P76" s="20">
        <v>18</v>
      </c>
      <c r="Q76" s="21">
        <f t="shared" si="19"/>
        <v>330.96321111111109</v>
      </c>
      <c r="R76" s="9"/>
      <c r="S76" s="17" t="s">
        <v>155</v>
      </c>
      <c r="T76" s="18">
        <v>61.9</v>
      </c>
      <c r="U76" s="18">
        <v>13.04</v>
      </c>
      <c r="V76" s="18">
        <v>25.06</v>
      </c>
      <c r="W76" s="27">
        <v>20</v>
      </c>
      <c r="X76" s="19">
        <v>14</v>
      </c>
      <c r="Y76" s="20">
        <v>18</v>
      </c>
      <c r="Z76" s="21">
        <f t="shared" si="20"/>
        <v>351.33109761904763</v>
      </c>
    </row>
    <row r="77" spans="1:26" ht="10.5" customHeight="1" x14ac:dyDescent="0.25">
      <c r="A77" s="17" t="s">
        <v>156</v>
      </c>
      <c r="B77" s="18">
        <v>62.3</v>
      </c>
      <c r="C77" s="18">
        <v>15</v>
      </c>
      <c r="D77" s="18">
        <v>22.7</v>
      </c>
      <c r="E77" s="27">
        <v>20</v>
      </c>
      <c r="F77" s="19">
        <v>16</v>
      </c>
      <c r="G77" s="20">
        <v>20</v>
      </c>
      <c r="H77" s="21">
        <f t="shared" si="18"/>
        <v>305.43676875</v>
      </c>
      <c r="I77" s="9"/>
      <c r="J77" s="17" t="s">
        <v>156</v>
      </c>
      <c r="K77" s="18">
        <v>62.88</v>
      </c>
      <c r="L77" s="18">
        <v>14.2</v>
      </c>
      <c r="M77" s="18">
        <v>22.92</v>
      </c>
      <c r="N77" s="27">
        <v>20</v>
      </c>
      <c r="O77" s="19">
        <v>15</v>
      </c>
      <c r="P77" s="20">
        <v>20</v>
      </c>
      <c r="Q77" s="21">
        <f t="shared" si="19"/>
        <v>322.74503333333337</v>
      </c>
      <c r="R77" s="9"/>
      <c r="S77" s="17" t="s">
        <v>156</v>
      </c>
      <c r="T77" s="18">
        <v>63.49</v>
      </c>
      <c r="U77" s="18">
        <v>13.37</v>
      </c>
      <c r="V77" s="18">
        <v>23.14</v>
      </c>
      <c r="W77" s="27">
        <v>20</v>
      </c>
      <c r="X77" s="19">
        <v>14</v>
      </c>
      <c r="Y77" s="20">
        <v>20</v>
      </c>
      <c r="Z77" s="21">
        <f t="shared" si="20"/>
        <v>342.52590714285714</v>
      </c>
    </row>
    <row r="78" spans="1:26" ht="10.5" customHeight="1" x14ac:dyDescent="0.25">
      <c r="A78" s="17" t="s">
        <v>157</v>
      </c>
      <c r="B78" s="18">
        <v>64.75</v>
      </c>
      <c r="C78" s="18">
        <v>15.59</v>
      </c>
      <c r="D78" s="18">
        <v>19.66</v>
      </c>
      <c r="E78" s="27">
        <v>20</v>
      </c>
      <c r="F78" s="19">
        <v>16</v>
      </c>
      <c r="G78" s="20">
        <v>24</v>
      </c>
      <c r="H78" s="21">
        <f t="shared" si="18"/>
        <v>293.87995624999996</v>
      </c>
      <c r="I78" s="9"/>
      <c r="J78" s="17" t="s">
        <v>157</v>
      </c>
      <c r="K78" s="18">
        <v>65.38</v>
      </c>
      <c r="L78" s="18">
        <v>14.76</v>
      </c>
      <c r="M78" s="18">
        <v>19.86</v>
      </c>
      <c r="N78" s="27">
        <v>20</v>
      </c>
      <c r="O78" s="19">
        <v>15</v>
      </c>
      <c r="P78" s="20">
        <v>24</v>
      </c>
      <c r="Q78" s="21">
        <f t="shared" si="19"/>
        <v>310.41776666666669</v>
      </c>
      <c r="R78" s="9"/>
      <c r="S78" s="17" t="s">
        <v>157</v>
      </c>
      <c r="T78" s="18">
        <v>66.040000000000006</v>
      </c>
      <c r="U78" s="18">
        <v>13.91</v>
      </c>
      <c r="V78" s="18">
        <v>20.05</v>
      </c>
      <c r="W78" s="27">
        <v>20</v>
      </c>
      <c r="X78" s="19">
        <v>14</v>
      </c>
      <c r="Y78" s="20">
        <v>24</v>
      </c>
      <c r="Z78" s="21">
        <f t="shared" si="20"/>
        <v>329.31812142857143</v>
      </c>
    </row>
    <row r="79" spans="1:26" ht="10.5" customHeight="1" x14ac:dyDescent="0.25">
      <c r="A79" s="17" t="s">
        <v>158</v>
      </c>
      <c r="B79" s="18">
        <v>65.739999999999995</v>
      </c>
      <c r="C79" s="18">
        <v>15.83</v>
      </c>
      <c r="D79" s="18">
        <v>18.43</v>
      </c>
      <c r="E79" s="27">
        <v>20</v>
      </c>
      <c r="F79" s="19">
        <v>16</v>
      </c>
      <c r="G79" s="20">
        <v>26</v>
      </c>
      <c r="H79" s="21">
        <f t="shared" si="18"/>
        <v>289.4350283653846</v>
      </c>
      <c r="I79" s="9"/>
      <c r="J79" s="17" t="s">
        <v>158</v>
      </c>
      <c r="K79" s="18">
        <v>66.400000000000006</v>
      </c>
      <c r="L79" s="18">
        <v>14.99</v>
      </c>
      <c r="M79" s="18">
        <v>18.61</v>
      </c>
      <c r="N79" s="27">
        <v>20</v>
      </c>
      <c r="O79" s="19">
        <v>15</v>
      </c>
      <c r="P79" s="20">
        <v>26</v>
      </c>
      <c r="Q79" s="21">
        <f t="shared" si="19"/>
        <v>305.67651025641027</v>
      </c>
      <c r="R79" s="9"/>
      <c r="S79" s="17" t="s">
        <v>158</v>
      </c>
      <c r="T79" s="18">
        <v>67.069999999999993</v>
      </c>
      <c r="U79" s="18">
        <v>14.13</v>
      </c>
      <c r="V79" s="18">
        <v>18.8</v>
      </c>
      <c r="W79" s="27">
        <v>20</v>
      </c>
      <c r="X79" s="19">
        <v>14</v>
      </c>
      <c r="Y79" s="20">
        <v>26</v>
      </c>
      <c r="Z79" s="21">
        <f t="shared" si="20"/>
        <v>324.23820384615385</v>
      </c>
    </row>
    <row r="80" spans="1:26" ht="10.5" customHeight="1" x14ac:dyDescent="0.25">
      <c r="A80" s="17" t="s">
        <v>159</v>
      </c>
      <c r="B80" s="18">
        <v>66.62</v>
      </c>
      <c r="C80" s="18">
        <v>16.04</v>
      </c>
      <c r="D80" s="18">
        <v>17.34</v>
      </c>
      <c r="E80" s="27">
        <v>20</v>
      </c>
      <c r="F80" s="19">
        <v>16</v>
      </c>
      <c r="G80" s="20">
        <v>28</v>
      </c>
      <c r="H80" s="21">
        <f t="shared" si="18"/>
        <v>285.62509017857144</v>
      </c>
      <c r="I80" s="9"/>
      <c r="J80" s="17" t="s">
        <v>159</v>
      </c>
      <c r="K80" s="18">
        <v>67.290000000000006</v>
      </c>
      <c r="L80" s="18">
        <v>15.19</v>
      </c>
      <c r="M80" s="18">
        <v>17.52</v>
      </c>
      <c r="N80" s="27">
        <v>20</v>
      </c>
      <c r="O80" s="19">
        <v>15</v>
      </c>
      <c r="P80" s="20">
        <v>28</v>
      </c>
      <c r="Q80" s="21">
        <f t="shared" si="19"/>
        <v>301.6125761904762</v>
      </c>
      <c r="R80" s="9"/>
      <c r="S80" s="17" t="s">
        <v>159</v>
      </c>
      <c r="T80" s="18">
        <v>67.98</v>
      </c>
      <c r="U80" s="18">
        <v>14.32</v>
      </c>
      <c r="V80" s="18">
        <v>17.7</v>
      </c>
      <c r="W80" s="27">
        <v>20</v>
      </c>
      <c r="X80" s="19">
        <v>14</v>
      </c>
      <c r="Y80" s="20">
        <v>28</v>
      </c>
      <c r="Z80" s="21">
        <f t="shared" si="20"/>
        <v>319.8839887755102</v>
      </c>
    </row>
    <row r="81" spans="1:26" ht="10.5" customHeight="1" x14ac:dyDescent="0.25">
      <c r="A81" s="17" t="s">
        <v>160</v>
      </c>
      <c r="B81" s="18">
        <v>67.400000000000006</v>
      </c>
      <c r="C81" s="18">
        <v>16.23</v>
      </c>
      <c r="D81" s="18">
        <v>16.37</v>
      </c>
      <c r="E81" s="27">
        <v>20</v>
      </c>
      <c r="F81" s="19">
        <v>16</v>
      </c>
      <c r="G81" s="20">
        <v>30</v>
      </c>
      <c r="H81" s="21">
        <f t="shared" si="18"/>
        <v>282.32314374999999</v>
      </c>
      <c r="I81" s="9"/>
      <c r="J81" s="17" t="s">
        <v>160</v>
      </c>
      <c r="K81" s="18">
        <v>68.09</v>
      </c>
      <c r="L81" s="18">
        <v>15.37</v>
      </c>
      <c r="M81" s="18">
        <v>16.54</v>
      </c>
      <c r="N81" s="27">
        <v>20</v>
      </c>
      <c r="O81" s="19">
        <v>15</v>
      </c>
      <c r="P81" s="20">
        <v>30</v>
      </c>
      <c r="Q81" s="21">
        <f t="shared" si="19"/>
        <v>298.09050000000002</v>
      </c>
      <c r="R81" s="9"/>
      <c r="S81" s="17" t="s">
        <v>160</v>
      </c>
      <c r="T81" s="18">
        <v>68.790000000000006</v>
      </c>
      <c r="U81" s="18">
        <v>14.49</v>
      </c>
      <c r="V81" s="18">
        <v>16.72</v>
      </c>
      <c r="W81" s="27">
        <v>20</v>
      </c>
      <c r="X81" s="19">
        <v>14</v>
      </c>
      <c r="Y81" s="20">
        <v>30</v>
      </c>
      <c r="Z81" s="21">
        <f t="shared" si="20"/>
        <v>316.11033571428572</v>
      </c>
    </row>
    <row r="82" spans="1:26" x14ac:dyDescent="0.25">
      <c r="B82" s="4"/>
      <c r="C82" s="4"/>
      <c r="D82" s="4"/>
      <c r="E82" s="4"/>
      <c r="F82" s="4"/>
      <c r="G82" s="4"/>
      <c r="H82" s="4"/>
      <c r="I82" s="9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</row>
    <row r="83" spans="1:26" x14ac:dyDescent="0.25">
      <c r="B83" s="4"/>
      <c r="C83" s="4"/>
      <c r="D83" s="4"/>
      <c r="E83" s="4"/>
      <c r="F83" s="4"/>
      <c r="G83" s="4"/>
      <c r="H83" s="4"/>
      <c r="I83" s="9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</row>
    <row r="84" spans="1:26" x14ac:dyDescent="0.25">
      <c r="B84" s="4"/>
      <c r="C84" s="4"/>
      <c r="D84" s="4"/>
      <c r="E84" s="4"/>
      <c r="F84" s="4"/>
      <c r="G84" s="4"/>
      <c r="H84" s="4"/>
      <c r="I84" s="9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</row>
    <row r="85" spans="1:26" x14ac:dyDescent="0.25">
      <c r="B85" s="4"/>
      <c r="C85" s="4"/>
      <c r="D85" s="4"/>
      <c r="E85" s="4"/>
      <c r="F85" s="4"/>
      <c r="G85" s="4"/>
      <c r="H85" s="4"/>
      <c r="I85" s="9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</row>
    <row r="86" spans="1:26" x14ac:dyDescent="0.25">
      <c r="B86" s="4"/>
      <c r="C86" s="4"/>
      <c r="D86" s="4"/>
      <c r="E86" s="4"/>
      <c r="F86" s="4"/>
      <c r="G86" s="4"/>
      <c r="H86" s="4"/>
      <c r="I86" s="9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</row>
    <row r="87" spans="1:26" x14ac:dyDescent="0.25">
      <c r="B87" s="4"/>
      <c r="C87" s="4"/>
      <c r="D87" s="4"/>
      <c r="E87" s="4"/>
      <c r="F87" s="4"/>
      <c r="G87" s="4"/>
      <c r="H87" s="4"/>
      <c r="I87" s="9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</row>
    <row r="88" spans="1:26" x14ac:dyDescent="0.25">
      <c r="B88" s="4"/>
      <c r="C88" s="4"/>
      <c r="D88" s="4"/>
      <c r="E88" s="4"/>
      <c r="F88" s="4"/>
      <c r="G88" s="4"/>
      <c r="H88" s="4"/>
      <c r="I88" s="9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</row>
    <row r="89" spans="1:26" x14ac:dyDescent="0.25">
      <c r="B89" s="4"/>
      <c r="C89" s="4"/>
      <c r="D89" s="4"/>
      <c r="E89" s="4"/>
      <c r="F89" s="4"/>
      <c r="G89" s="4"/>
      <c r="H89" s="4"/>
      <c r="I89" s="9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</row>
    <row r="90" spans="1:26" x14ac:dyDescent="0.25">
      <c r="B90" s="4"/>
      <c r="C90" s="4"/>
      <c r="D90" s="4"/>
      <c r="E90" s="4"/>
      <c r="F90" s="4"/>
      <c r="G90" s="4"/>
      <c r="H90" s="4"/>
      <c r="I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</row>
    <row r="91" spans="1:26" x14ac:dyDescent="0.25">
      <c r="B91" s="4"/>
      <c r="C91" s="4"/>
      <c r="D91" s="4"/>
      <c r="E91" s="4"/>
      <c r="F91" s="4"/>
      <c r="G91" s="4"/>
      <c r="H91" s="4"/>
      <c r="I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</row>
    <row r="92" spans="1:26" x14ac:dyDescent="0.25">
      <c r="B92" s="4"/>
      <c r="C92" s="4"/>
      <c r="D92" s="4"/>
      <c r="E92" s="4"/>
      <c r="F92" s="4"/>
      <c r="G92" s="4"/>
      <c r="H92" s="4"/>
      <c r="I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</row>
    <row r="93" spans="1:26" x14ac:dyDescent="0.25">
      <c r="B93" s="4"/>
      <c r="C93" s="4"/>
      <c r="D93" s="4"/>
      <c r="E93" s="4"/>
      <c r="F93" s="4"/>
      <c r="G93" s="4"/>
      <c r="H93" s="4"/>
      <c r="I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</row>
    <row r="94" spans="1:26" x14ac:dyDescent="0.25">
      <c r="B94" s="4"/>
      <c r="C94" s="4"/>
      <c r="D94" s="4"/>
      <c r="E94" s="4"/>
      <c r="F94" s="4"/>
      <c r="G94" s="4"/>
      <c r="H94" s="4"/>
      <c r="I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</row>
    <row r="95" spans="1:26" x14ac:dyDescent="0.25"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</row>
    <row r="96" spans="1:26" x14ac:dyDescent="0.25"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</row>
    <row r="97" spans="2:26" x14ac:dyDescent="0.25"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</row>
    <row r="98" spans="2:26" x14ac:dyDescent="0.25"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</row>
    <row r="99" spans="2:26" x14ac:dyDescent="0.25"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</row>
    <row r="100" spans="2:26" x14ac:dyDescent="0.25"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</row>
    <row r="101" spans="2:26" x14ac:dyDescent="0.25">
      <c r="B101" s="4"/>
      <c r="C101" s="4"/>
      <c r="D101" s="4"/>
      <c r="E101" s="4"/>
      <c r="F101" s="4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T101" s="4"/>
      <c r="U101" s="4"/>
      <c r="V101" s="4"/>
      <c r="W101" s="4"/>
      <c r="X101" s="4"/>
      <c r="Y101" s="4"/>
      <c r="Z101" s="4"/>
    </row>
    <row r="102" spans="2:26" x14ac:dyDescent="0.25">
      <c r="B102" s="4"/>
      <c r="C102" s="4"/>
      <c r="D102" s="4"/>
      <c r="E102" s="4"/>
      <c r="F102" s="4"/>
      <c r="G102" s="4"/>
      <c r="H102" s="4"/>
      <c r="I102" s="4"/>
      <c r="K102" s="4"/>
      <c r="L102" s="4"/>
      <c r="M102" s="4"/>
      <c r="N102" s="4"/>
      <c r="O102" s="4"/>
      <c r="P102" s="4"/>
      <c r="Q102" s="4"/>
      <c r="R102" s="4"/>
      <c r="T102" s="4"/>
      <c r="U102" s="4"/>
      <c r="V102" s="4"/>
      <c r="W102" s="4"/>
      <c r="X102" s="4"/>
      <c r="Y102" s="4"/>
      <c r="Z102" s="4"/>
    </row>
    <row r="103" spans="2:26" x14ac:dyDescent="0.25">
      <c r="B103" s="4"/>
      <c r="C103" s="4"/>
      <c r="D103" s="4"/>
      <c r="E103" s="4"/>
      <c r="F103" s="4"/>
      <c r="G103" s="4"/>
      <c r="H103" s="4"/>
      <c r="I103" s="4"/>
      <c r="K103" s="4"/>
      <c r="L103" s="4"/>
      <c r="M103" s="4"/>
      <c r="N103" s="4"/>
      <c r="O103" s="4"/>
      <c r="P103" s="4"/>
      <c r="Q103" s="4"/>
      <c r="R103" s="4"/>
      <c r="T103" s="4"/>
      <c r="U103" s="4"/>
      <c r="V103" s="4"/>
      <c r="W103" s="4"/>
      <c r="X103" s="4"/>
      <c r="Y103" s="4"/>
      <c r="Z103" s="4"/>
    </row>
    <row r="104" spans="2:26" x14ac:dyDescent="0.25">
      <c r="B104" s="4"/>
      <c r="C104" s="4"/>
      <c r="D104" s="4"/>
      <c r="E104" s="4"/>
      <c r="F104" s="4"/>
      <c r="G104" s="4"/>
      <c r="H104" s="4"/>
      <c r="I104" s="4"/>
      <c r="K104" s="4"/>
      <c r="L104" s="4"/>
      <c r="M104" s="4"/>
      <c r="N104" s="4"/>
      <c r="O104" s="4"/>
      <c r="P104" s="4"/>
      <c r="Q104" s="4"/>
      <c r="R104" s="4"/>
      <c r="T104" s="4"/>
      <c r="U104" s="4"/>
      <c r="V104" s="4"/>
      <c r="W104" s="4"/>
      <c r="X104" s="4"/>
      <c r="Y104" s="4"/>
      <c r="Z104" s="4"/>
    </row>
    <row r="105" spans="2:26" x14ac:dyDescent="0.25">
      <c r="B105" s="4"/>
      <c r="C105" s="4"/>
      <c r="D105" s="4"/>
      <c r="E105" s="4"/>
      <c r="F105" s="4"/>
      <c r="G105" s="4"/>
      <c r="H105" s="4"/>
      <c r="I105" s="4"/>
      <c r="K105" s="4"/>
      <c r="L105" s="4"/>
      <c r="M105" s="4"/>
      <c r="N105" s="4"/>
      <c r="O105" s="4"/>
      <c r="P105" s="4"/>
      <c r="Q105" s="4"/>
      <c r="R105" s="4"/>
      <c r="T105" s="4"/>
      <c r="U105" s="4"/>
      <c r="V105" s="4"/>
      <c r="W105" s="4"/>
      <c r="X105" s="4"/>
      <c r="Y105" s="4"/>
      <c r="Z105" s="4"/>
    </row>
    <row r="106" spans="2:26" x14ac:dyDescent="0.25">
      <c r="B106" s="4"/>
      <c r="C106" s="4"/>
      <c r="D106" s="4"/>
      <c r="E106" s="4"/>
      <c r="F106" s="4"/>
      <c r="G106" s="4"/>
      <c r="H106" s="4"/>
      <c r="I106" s="4"/>
      <c r="K106" s="4"/>
      <c r="L106" s="4"/>
      <c r="M106" s="4"/>
      <c r="N106" s="4"/>
      <c r="O106" s="4"/>
      <c r="P106" s="4"/>
      <c r="Q106" s="4"/>
      <c r="R106" s="4"/>
      <c r="T106" s="4"/>
      <c r="U106" s="4"/>
      <c r="V106" s="4"/>
      <c r="W106" s="4"/>
      <c r="X106" s="4"/>
      <c r="Y106" s="4"/>
      <c r="Z106" s="4"/>
    </row>
    <row r="107" spans="2:26" x14ac:dyDescent="0.25">
      <c r="B107" s="4"/>
      <c r="C107" s="4"/>
      <c r="D107" s="4"/>
      <c r="E107" s="4"/>
      <c r="F107" s="4"/>
      <c r="G107" s="4"/>
      <c r="H107" s="4"/>
      <c r="I107" s="4"/>
      <c r="K107" s="4"/>
      <c r="L107" s="4"/>
      <c r="M107" s="4"/>
      <c r="N107" s="4"/>
      <c r="O107" s="4"/>
      <c r="P107" s="4"/>
      <c r="Q107" s="4"/>
      <c r="R107" s="4"/>
      <c r="T107" s="4"/>
      <c r="U107" s="4"/>
      <c r="V107" s="4"/>
      <c r="W107" s="4"/>
      <c r="X107" s="4"/>
      <c r="Y107" s="4"/>
      <c r="Z107" s="4"/>
    </row>
    <row r="108" spans="2:26" x14ac:dyDescent="0.25">
      <c r="B108" s="4"/>
      <c r="C108" s="4"/>
      <c r="D108" s="4"/>
      <c r="E108" s="4"/>
      <c r="F108" s="4"/>
      <c r="G108" s="4"/>
      <c r="H108" s="4"/>
      <c r="I108" s="4"/>
      <c r="K108" s="4"/>
      <c r="L108" s="4"/>
      <c r="M108" s="4"/>
      <c r="N108" s="4"/>
      <c r="O108" s="4"/>
      <c r="P108" s="4"/>
      <c r="Q108" s="4"/>
      <c r="R108" s="4"/>
      <c r="T108" s="4"/>
      <c r="U108" s="4"/>
      <c r="V108" s="4"/>
      <c r="W108" s="4"/>
      <c r="X108" s="4"/>
      <c r="Y108" s="4"/>
      <c r="Z108" s="4"/>
    </row>
    <row r="109" spans="2:26" x14ac:dyDescent="0.25">
      <c r="B109" s="4"/>
      <c r="C109" s="4"/>
      <c r="D109" s="4"/>
      <c r="E109" s="4"/>
      <c r="F109" s="4"/>
      <c r="G109" s="4"/>
      <c r="H109" s="4"/>
      <c r="I109" s="4"/>
      <c r="K109" s="4"/>
      <c r="L109" s="4"/>
      <c r="M109" s="4"/>
      <c r="N109" s="4"/>
      <c r="O109" s="4"/>
      <c r="P109" s="4"/>
      <c r="Q109" s="4"/>
      <c r="R109" s="4"/>
      <c r="T109" s="4"/>
      <c r="U109" s="4"/>
      <c r="V109" s="4"/>
      <c r="W109" s="4"/>
      <c r="X109" s="4"/>
      <c r="Y109" s="4"/>
      <c r="Z109" s="4"/>
    </row>
    <row r="110" spans="2:26" x14ac:dyDescent="0.25">
      <c r="B110" s="4"/>
      <c r="C110" s="4"/>
      <c r="D110" s="4"/>
      <c r="E110" s="4"/>
      <c r="F110" s="4"/>
      <c r="G110" s="4"/>
      <c r="H110" s="4"/>
      <c r="I110" s="4"/>
      <c r="K110" s="4"/>
      <c r="L110" s="4"/>
      <c r="M110" s="4"/>
      <c r="N110" s="4"/>
      <c r="O110" s="4"/>
      <c r="P110" s="4"/>
      <c r="Q110" s="4"/>
      <c r="R110" s="4"/>
      <c r="T110" s="4"/>
      <c r="U110" s="4"/>
      <c r="V110" s="4"/>
      <c r="W110" s="4"/>
      <c r="X110" s="4"/>
      <c r="Y110" s="4"/>
      <c r="Z110" s="4"/>
    </row>
    <row r="111" spans="2:26" x14ac:dyDescent="0.25">
      <c r="B111" s="4"/>
      <c r="C111" s="4"/>
      <c r="D111" s="4"/>
      <c r="E111" s="4"/>
      <c r="F111" s="4"/>
      <c r="G111" s="4"/>
      <c r="H111" s="4"/>
      <c r="I111" s="4"/>
      <c r="K111" s="4"/>
      <c r="L111" s="4"/>
      <c r="M111" s="4"/>
      <c r="N111" s="4"/>
      <c r="O111" s="4"/>
      <c r="P111" s="4"/>
      <c r="Q111" s="4"/>
      <c r="R111" s="4"/>
      <c r="T111" s="4"/>
      <c r="U111" s="4"/>
      <c r="V111" s="4"/>
      <c r="W111" s="4"/>
      <c r="X111" s="4"/>
      <c r="Y111" s="4"/>
      <c r="Z111" s="4"/>
    </row>
    <row r="112" spans="2:26" x14ac:dyDescent="0.25">
      <c r="B112" s="4"/>
      <c r="C112" s="4"/>
      <c r="D112" s="4"/>
      <c r="E112" s="4"/>
      <c r="F112" s="4"/>
      <c r="G112" s="4"/>
      <c r="H112" s="4"/>
      <c r="I112" s="4"/>
      <c r="K112" s="4"/>
      <c r="L112" s="4"/>
      <c r="M112" s="4"/>
      <c r="N112" s="4"/>
      <c r="O112" s="4"/>
      <c r="P112" s="4"/>
      <c r="Q112" s="4"/>
      <c r="R112" s="4"/>
      <c r="T112" s="4"/>
      <c r="U112" s="4"/>
      <c r="V112" s="4"/>
      <c r="W112" s="4"/>
      <c r="X112" s="4"/>
      <c r="Y112" s="4"/>
      <c r="Z112" s="4"/>
    </row>
    <row r="113" spans="2:26" x14ac:dyDescent="0.25">
      <c r="B113" s="4"/>
      <c r="C113" s="4"/>
      <c r="D113" s="4"/>
      <c r="E113" s="4"/>
      <c r="F113" s="4"/>
      <c r="G113" s="4"/>
      <c r="H113" s="4"/>
      <c r="I113" s="4"/>
      <c r="K113" s="4"/>
      <c r="L113" s="4"/>
      <c r="M113" s="4"/>
      <c r="N113" s="4"/>
      <c r="O113" s="4"/>
      <c r="P113" s="4"/>
      <c r="Q113" s="4"/>
      <c r="R113" s="4"/>
      <c r="T113" s="4"/>
      <c r="U113" s="4"/>
      <c r="V113" s="4"/>
      <c r="W113" s="4"/>
      <c r="X113" s="4"/>
      <c r="Y113" s="4"/>
      <c r="Z113" s="4"/>
    </row>
    <row r="114" spans="2:26" x14ac:dyDescent="0.25">
      <c r="B114" s="4"/>
      <c r="C114" s="4"/>
      <c r="D114" s="4"/>
      <c r="E114" s="4"/>
      <c r="F114" s="4"/>
      <c r="G114" s="4"/>
      <c r="H114" s="4"/>
      <c r="I114" s="4"/>
      <c r="K114" s="4"/>
      <c r="L114" s="4"/>
      <c r="M114" s="4"/>
      <c r="N114" s="4"/>
      <c r="O114" s="4"/>
      <c r="P114" s="4"/>
      <c r="Q114" s="4"/>
      <c r="R114" s="4"/>
      <c r="T114" s="4"/>
      <c r="U114" s="4"/>
      <c r="V114" s="4"/>
      <c r="W114" s="4"/>
      <c r="X114" s="4"/>
      <c r="Y114" s="4"/>
      <c r="Z114" s="4"/>
    </row>
    <row r="115" spans="2:26" x14ac:dyDescent="0.25">
      <c r="B115" s="4"/>
      <c r="C115" s="4"/>
      <c r="D115" s="4"/>
      <c r="E115" s="4"/>
      <c r="F115" s="4"/>
      <c r="G115" s="4"/>
      <c r="H115" s="4"/>
      <c r="I115" s="4"/>
      <c r="K115" s="4"/>
      <c r="L115" s="4"/>
      <c r="M115" s="4"/>
      <c r="N115" s="4"/>
      <c r="O115" s="4"/>
      <c r="P115" s="4"/>
      <c r="Q115" s="4"/>
      <c r="R115" s="4"/>
      <c r="T115" s="4"/>
      <c r="U115" s="4"/>
      <c r="V115" s="4"/>
      <c r="W115" s="4"/>
      <c r="X115" s="4"/>
      <c r="Y115" s="4"/>
      <c r="Z115" s="4"/>
    </row>
    <row r="116" spans="2:26" x14ac:dyDescent="0.25">
      <c r="B116" s="4"/>
      <c r="C116" s="4"/>
      <c r="D116" s="4"/>
      <c r="E116" s="4"/>
      <c r="F116" s="4"/>
      <c r="G116" s="4"/>
      <c r="H116" s="4"/>
      <c r="I116" s="4"/>
      <c r="K116" s="4"/>
      <c r="L116" s="4"/>
      <c r="M116" s="4"/>
      <c r="N116" s="4"/>
      <c r="O116" s="4"/>
      <c r="P116" s="4"/>
      <c r="Q116" s="4"/>
      <c r="R116" s="4"/>
      <c r="T116" s="4"/>
      <c r="U116" s="4"/>
      <c r="V116" s="4"/>
      <c r="W116" s="4"/>
      <c r="X116" s="4"/>
      <c r="Y116" s="4"/>
      <c r="Z116" s="4"/>
    </row>
    <row r="117" spans="2:26" x14ac:dyDescent="0.25">
      <c r="B117" s="4"/>
      <c r="C117" s="4"/>
      <c r="D117" s="4"/>
      <c r="E117" s="4"/>
      <c r="F117" s="4"/>
      <c r="G117" s="4"/>
      <c r="H117" s="4"/>
      <c r="I117" s="4"/>
      <c r="K117" s="4"/>
      <c r="L117" s="4"/>
      <c r="M117" s="4"/>
      <c r="N117" s="4"/>
      <c r="O117" s="4"/>
      <c r="P117" s="4"/>
      <c r="Q117" s="4"/>
      <c r="R117" s="4"/>
      <c r="T117" s="4"/>
      <c r="U117" s="4"/>
      <c r="V117" s="4"/>
      <c r="W117" s="4"/>
      <c r="X117" s="4"/>
      <c r="Y117" s="4"/>
      <c r="Z117" s="4"/>
    </row>
    <row r="118" spans="2:26" x14ac:dyDescent="0.25">
      <c r="B118" s="4"/>
      <c r="C118" s="4"/>
      <c r="D118" s="4"/>
      <c r="E118" s="4"/>
      <c r="F118" s="4"/>
      <c r="G118" s="4"/>
      <c r="H118" s="4"/>
      <c r="I118" s="4"/>
      <c r="K118" s="4"/>
      <c r="L118" s="4"/>
      <c r="M118" s="4"/>
      <c r="N118" s="4"/>
      <c r="O118" s="4"/>
      <c r="P118" s="4"/>
      <c r="Q118" s="4"/>
      <c r="R118" s="4"/>
      <c r="T118" s="4"/>
      <c r="U118" s="4"/>
      <c r="V118" s="4"/>
      <c r="W118" s="4"/>
      <c r="X118" s="4"/>
      <c r="Y118" s="4"/>
      <c r="Z118" s="4"/>
    </row>
    <row r="119" spans="2:26" x14ac:dyDescent="0.25">
      <c r="B119" s="4"/>
      <c r="C119" s="4"/>
      <c r="D119" s="4"/>
      <c r="E119" s="4"/>
      <c r="F119" s="4"/>
      <c r="G119" s="4"/>
      <c r="H119" s="4"/>
      <c r="I119" s="4"/>
      <c r="K119" s="4"/>
      <c r="L119" s="4"/>
      <c r="M119" s="4"/>
      <c r="N119" s="4"/>
      <c r="O119" s="4"/>
      <c r="P119" s="4"/>
      <c r="Q119" s="4"/>
      <c r="R119" s="4"/>
      <c r="T119" s="4"/>
      <c r="U119" s="4"/>
      <c r="V119" s="4"/>
      <c r="W119" s="4"/>
      <c r="X119" s="4"/>
      <c r="Y119" s="4"/>
      <c r="Z119" s="4"/>
    </row>
    <row r="120" spans="2:26" x14ac:dyDescent="0.25">
      <c r="B120" s="4"/>
      <c r="C120" s="4"/>
      <c r="D120" s="4"/>
      <c r="E120" s="4"/>
      <c r="F120" s="4"/>
      <c r="G120" s="4"/>
      <c r="H120" s="4"/>
      <c r="I120" s="4"/>
      <c r="K120" s="4"/>
      <c r="L120" s="4"/>
      <c r="M120" s="4"/>
      <c r="N120" s="4"/>
      <c r="O120" s="4"/>
      <c r="P120" s="4"/>
      <c r="Q120" s="4"/>
      <c r="R120" s="4"/>
      <c r="T120" s="4"/>
      <c r="U120" s="4"/>
      <c r="V120" s="4"/>
      <c r="W120" s="4"/>
      <c r="X120" s="4"/>
      <c r="Y120" s="4"/>
      <c r="Z120" s="4"/>
    </row>
    <row r="121" spans="2:26" x14ac:dyDescent="0.25">
      <c r="B121" s="4"/>
      <c r="C121" s="4"/>
      <c r="D121" s="4"/>
      <c r="E121" s="4"/>
      <c r="F121" s="4"/>
      <c r="G121" s="4"/>
      <c r="H121" s="4"/>
      <c r="I121" s="4"/>
      <c r="K121" s="4"/>
      <c r="L121" s="4"/>
      <c r="M121" s="4"/>
      <c r="N121" s="4"/>
      <c r="O121" s="4"/>
      <c r="P121" s="4"/>
      <c r="Q121" s="4"/>
      <c r="R121" s="4"/>
      <c r="T121" s="4"/>
      <c r="U121" s="4"/>
      <c r="V121" s="4"/>
      <c r="W121" s="4"/>
      <c r="X121" s="4"/>
      <c r="Y121" s="4"/>
      <c r="Z121" s="4"/>
    </row>
    <row r="122" spans="2:26" x14ac:dyDescent="0.25">
      <c r="B122" s="4"/>
      <c r="C122" s="4"/>
      <c r="D122" s="4"/>
      <c r="E122" s="4"/>
      <c r="F122" s="4"/>
      <c r="G122" s="4"/>
      <c r="H122" s="4"/>
      <c r="I122" s="4"/>
      <c r="K122" s="4"/>
      <c r="L122" s="4"/>
      <c r="M122" s="4"/>
      <c r="N122" s="4"/>
      <c r="O122" s="4"/>
      <c r="P122" s="4"/>
      <c r="Q122" s="4"/>
      <c r="R122" s="4"/>
      <c r="T122" s="4"/>
      <c r="U122" s="4"/>
      <c r="V122" s="4"/>
      <c r="W122" s="4"/>
      <c r="X122" s="4"/>
      <c r="Y122" s="4"/>
      <c r="Z122" s="4"/>
    </row>
    <row r="123" spans="2:26" x14ac:dyDescent="0.25">
      <c r="B123" s="4"/>
      <c r="C123" s="4"/>
      <c r="D123" s="4"/>
      <c r="E123" s="4"/>
      <c r="F123" s="4"/>
      <c r="G123" s="4"/>
      <c r="H123" s="4"/>
      <c r="I123" s="4"/>
      <c r="K123" s="4"/>
      <c r="L123" s="4"/>
      <c r="M123" s="4"/>
      <c r="N123" s="4"/>
      <c r="O123" s="4"/>
      <c r="P123" s="4"/>
      <c r="Q123" s="4"/>
      <c r="R123" s="4"/>
      <c r="T123" s="4"/>
      <c r="U123" s="4"/>
      <c r="V123" s="4"/>
      <c r="W123" s="4"/>
      <c r="X123" s="4"/>
      <c r="Y123" s="4"/>
      <c r="Z123" s="4"/>
    </row>
    <row r="124" spans="2:26" x14ac:dyDescent="0.25">
      <c r="B124" s="4"/>
      <c r="C124" s="4"/>
      <c r="D124" s="4"/>
      <c r="E124" s="4"/>
      <c r="F124" s="4"/>
      <c r="G124" s="4"/>
      <c r="H124" s="4"/>
      <c r="I124" s="4"/>
      <c r="K124" s="4"/>
      <c r="L124" s="4"/>
      <c r="M124" s="4"/>
      <c r="N124" s="4"/>
      <c r="O124" s="4"/>
      <c r="P124" s="4"/>
      <c r="Q124" s="4"/>
      <c r="R124" s="4"/>
      <c r="T124" s="4"/>
      <c r="U124" s="4"/>
      <c r="V124" s="4"/>
      <c r="W124" s="4"/>
      <c r="X124" s="4"/>
      <c r="Y124" s="4"/>
      <c r="Z124" s="4"/>
    </row>
    <row r="125" spans="2:26" x14ac:dyDescent="0.25">
      <c r="B125" s="4"/>
      <c r="C125" s="4"/>
      <c r="D125" s="4"/>
      <c r="E125" s="4"/>
      <c r="F125" s="4"/>
      <c r="G125" s="4"/>
      <c r="H125" s="4"/>
      <c r="I125" s="4"/>
      <c r="K125" s="4"/>
      <c r="L125" s="4"/>
      <c r="M125" s="4"/>
      <c r="N125" s="4"/>
      <c r="O125" s="4"/>
      <c r="P125" s="4"/>
      <c r="Q125" s="4"/>
      <c r="R125" s="4"/>
      <c r="T125" s="4"/>
      <c r="U125" s="4"/>
      <c r="V125" s="4"/>
      <c r="W125" s="4"/>
      <c r="X125" s="4"/>
      <c r="Y125" s="4"/>
      <c r="Z125" s="4"/>
    </row>
    <row r="126" spans="2:26" x14ac:dyDescent="0.25">
      <c r="B126" s="4"/>
      <c r="C126" s="4"/>
      <c r="D126" s="4"/>
      <c r="E126" s="4"/>
      <c r="F126" s="4"/>
      <c r="G126" s="4"/>
      <c r="H126" s="4"/>
      <c r="I126" s="4"/>
      <c r="K126" s="4"/>
      <c r="L126" s="4"/>
      <c r="M126" s="4"/>
      <c r="N126" s="4"/>
      <c r="O126" s="4"/>
      <c r="P126" s="4"/>
      <c r="Q126" s="4"/>
      <c r="R126" s="4"/>
      <c r="T126" s="4"/>
      <c r="U126" s="4"/>
      <c r="V126" s="4"/>
      <c r="W126" s="4"/>
      <c r="X126" s="4"/>
      <c r="Y126" s="4"/>
      <c r="Z126" s="4"/>
    </row>
    <row r="127" spans="2:26" x14ac:dyDescent="0.25">
      <c r="B127" s="4"/>
      <c r="C127" s="4"/>
      <c r="D127" s="4"/>
      <c r="E127" s="4"/>
      <c r="F127" s="4"/>
      <c r="G127" s="4"/>
      <c r="H127" s="4"/>
      <c r="I127" s="4"/>
      <c r="K127" s="4"/>
      <c r="L127" s="4"/>
      <c r="M127" s="4"/>
      <c r="N127" s="4"/>
      <c r="O127" s="4"/>
      <c r="P127" s="4"/>
      <c r="Q127" s="4"/>
      <c r="R127" s="4"/>
      <c r="T127" s="4"/>
      <c r="U127" s="4"/>
      <c r="V127" s="4"/>
      <c r="W127" s="4"/>
      <c r="X127" s="4"/>
      <c r="Y127" s="4"/>
      <c r="Z127" s="4"/>
    </row>
    <row r="128" spans="2:26" x14ac:dyDescent="0.25">
      <c r="B128" s="4"/>
      <c r="C128" s="4"/>
      <c r="D128" s="4"/>
      <c r="E128" s="4"/>
      <c r="F128" s="4"/>
      <c r="G128" s="4"/>
      <c r="H128" s="4"/>
      <c r="I128" s="4"/>
      <c r="K128" s="4"/>
      <c r="L128" s="4"/>
      <c r="M128" s="4"/>
      <c r="N128" s="4"/>
      <c r="O128" s="4"/>
      <c r="P128" s="4"/>
      <c r="Q128" s="4"/>
      <c r="R128" s="4"/>
      <c r="T128" s="4"/>
      <c r="U128" s="4"/>
      <c r="V128" s="4"/>
      <c r="W128" s="4"/>
      <c r="X128" s="4"/>
      <c r="Y128" s="4"/>
      <c r="Z128" s="4"/>
    </row>
    <row r="129" spans="2:26" x14ac:dyDescent="0.25">
      <c r="B129" s="4"/>
      <c r="C129" s="4"/>
      <c r="D129" s="4"/>
      <c r="E129" s="4"/>
      <c r="F129" s="4"/>
      <c r="G129" s="4"/>
      <c r="H129" s="4"/>
      <c r="I129" s="4"/>
      <c r="K129" s="4"/>
      <c r="L129" s="4"/>
      <c r="M129" s="4"/>
      <c r="N129" s="4"/>
      <c r="O129" s="4"/>
      <c r="P129" s="4"/>
      <c r="Q129" s="4"/>
      <c r="R129" s="4"/>
      <c r="T129" s="4"/>
      <c r="U129" s="4"/>
      <c r="V129" s="4"/>
      <c r="W129" s="4"/>
      <c r="X129" s="4"/>
      <c r="Y129" s="4"/>
      <c r="Z129" s="4"/>
    </row>
    <row r="130" spans="2:26" x14ac:dyDescent="0.25">
      <c r="B130" s="4"/>
      <c r="C130" s="4"/>
      <c r="D130" s="4"/>
      <c r="E130" s="4"/>
      <c r="F130" s="4"/>
      <c r="G130" s="4"/>
      <c r="H130" s="4"/>
      <c r="I130" s="4"/>
      <c r="K130" s="4"/>
      <c r="L130" s="4"/>
      <c r="M130" s="4"/>
      <c r="N130" s="4"/>
      <c r="O130" s="4"/>
      <c r="P130" s="4"/>
      <c r="Q130" s="4"/>
      <c r="R130" s="4"/>
      <c r="T130" s="4"/>
      <c r="U130" s="4"/>
      <c r="V130" s="4"/>
      <c r="W130" s="4"/>
      <c r="X130" s="4"/>
      <c r="Y130" s="4"/>
      <c r="Z130" s="4"/>
    </row>
    <row r="131" spans="2:26" x14ac:dyDescent="0.25">
      <c r="B131" s="4"/>
      <c r="C131" s="4"/>
      <c r="D131" s="4"/>
      <c r="E131" s="4"/>
      <c r="F131" s="4"/>
      <c r="G131" s="4"/>
      <c r="H131" s="4"/>
      <c r="I131" s="4"/>
      <c r="K131" s="4"/>
      <c r="L131" s="4"/>
      <c r="M131" s="4"/>
      <c r="N131" s="4"/>
      <c r="O131" s="4"/>
      <c r="P131" s="4"/>
      <c r="Q131" s="4"/>
      <c r="R131" s="4"/>
      <c r="T131" s="4"/>
      <c r="U131" s="4"/>
      <c r="V131" s="4"/>
      <c r="W131" s="4"/>
      <c r="X131" s="4"/>
      <c r="Y131" s="4"/>
      <c r="Z131" s="4"/>
    </row>
    <row r="132" spans="2:26" x14ac:dyDescent="0.25">
      <c r="B132" s="4"/>
      <c r="C132" s="4"/>
      <c r="D132" s="4"/>
      <c r="E132" s="4"/>
      <c r="F132" s="4"/>
      <c r="G132" s="4"/>
      <c r="H132" s="4"/>
      <c r="I132" s="4"/>
      <c r="K132" s="4"/>
      <c r="L132" s="4"/>
      <c r="M132" s="4"/>
      <c r="N132" s="4"/>
      <c r="O132" s="4"/>
      <c r="P132" s="4"/>
      <c r="Q132" s="4"/>
      <c r="R132" s="4"/>
      <c r="T132" s="4"/>
      <c r="U132" s="4"/>
      <c r="V132" s="4"/>
      <c r="W132" s="4"/>
      <c r="X132" s="4"/>
      <c r="Y132" s="4"/>
      <c r="Z132" s="4"/>
    </row>
    <row r="133" spans="2:26" x14ac:dyDescent="0.25">
      <c r="B133" s="4"/>
      <c r="C133" s="4"/>
      <c r="D133" s="4"/>
      <c r="E133" s="4"/>
      <c r="F133" s="4"/>
      <c r="G133" s="4"/>
      <c r="H133" s="4"/>
      <c r="I133" s="4"/>
      <c r="K133" s="4"/>
      <c r="L133" s="4"/>
      <c r="M133" s="4"/>
      <c r="N133" s="4"/>
      <c r="O133" s="4"/>
      <c r="P133" s="4"/>
      <c r="Q133" s="4"/>
      <c r="R133" s="4"/>
      <c r="T133" s="4"/>
      <c r="U133" s="4"/>
      <c r="V133" s="4"/>
      <c r="W133" s="4"/>
      <c r="X133" s="4"/>
      <c r="Y133" s="4"/>
      <c r="Z133" s="4"/>
    </row>
    <row r="134" spans="2:26" x14ac:dyDescent="0.25">
      <c r="B134" s="4"/>
      <c r="C134" s="4"/>
      <c r="D134" s="4"/>
      <c r="E134" s="4"/>
      <c r="F134" s="4"/>
      <c r="G134" s="4"/>
      <c r="H134" s="4"/>
      <c r="I134" s="4"/>
      <c r="K134" s="4"/>
      <c r="L134" s="4"/>
      <c r="M134" s="4"/>
      <c r="N134" s="4"/>
      <c r="O134" s="4"/>
      <c r="P134" s="4"/>
      <c r="Q134" s="4"/>
      <c r="R134" s="4"/>
      <c r="T134" s="4"/>
      <c r="U134" s="4"/>
      <c r="V134" s="4"/>
      <c r="W134" s="4"/>
      <c r="X134" s="4"/>
      <c r="Y134" s="4"/>
      <c r="Z134" s="4"/>
    </row>
    <row r="135" spans="2:26" x14ac:dyDescent="0.25">
      <c r="B135" s="4"/>
      <c r="C135" s="4"/>
      <c r="D135" s="4"/>
      <c r="E135" s="4"/>
      <c r="F135" s="4"/>
      <c r="G135" s="4"/>
      <c r="H135" s="4"/>
      <c r="I135" s="4"/>
      <c r="K135" s="4"/>
      <c r="L135" s="4"/>
      <c r="M135" s="4"/>
      <c r="N135" s="4"/>
      <c r="O135" s="4"/>
      <c r="P135" s="4"/>
      <c r="Q135" s="4"/>
      <c r="R135" s="4"/>
      <c r="T135" s="4"/>
      <c r="U135" s="4"/>
      <c r="V135" s="4"/>
      <c r="W135" s="4"/>
      <c r="X135" s="4"/>
      <c r="Y135" s="4"/>
      <c r="Z135" s="4"/>
    </row>
    <row r="136" spans="2:26" x14ac:dyDescent="0.25">
      <c r="B136" s="4"/>
      <c r="C136" s="4"/>
      <c r="D136" s="4"/>
      <c r="E136" s="4"/>
      <c r="F136" s="4"/>
      <c r="G136" s="4"/>
      <c r="H136" s="4"/>
      <c r="I136" s="4"/>
      <c r="K136" s="4"/>
      <c r="L136" s="4"/>
      <c r="M136" s="4"/>
      <c r="N136" s="4"/>
      <c r="O136" s="4"/>
      <c r="P136" s="4"/>
      <c r="Q136" s="4"/>
      <c r="R136" s="4"/>
      <c r="T136" s="4"/>
      <c r="U136" s="4"/>
      <c r="V136" s="4"/>
      <c r="W136" s="4"/>
      <c r="X136" s="4"/>
      <c r="Y136" s="4"/>
      <c r="Z136" s="4"/>
    </row>
    <row r="137" spans="2:26" x14ac:dyDescent="0.25">
      <c r="B137" s="4"/>
      <c r="C137" s="4"/>
      <c r="D137" s="4"/>
      <c r="E137" s="4"/>
      <c r="F137" s="4"/>
      <c r="G137" s="4"/>
      <c r="H137" s="4"/>
      <c r="I137" s="4"/>
      <c r="K137" s="4"/>
      <c r="L137" s="4"/>
      <c r="M137" s="4"/>
      <c r="N137" s="4"/>
      <c r="O137" s="4"/>
      <c r="P137" s="4"/>
      <c r="Q137" s="4"/>
      <c r="R137" s="4"/>
      <c r="T137" s="4"/>
      <c r="U137" s="4"/>
      <c r="V137" s="4"/>
      <c r="W137" s="4"/>
      <c r="X137" s="4"/>
      <c r="Y137" s="4"/>
      <c r="Z137" s="4"/>
    </row>
    <row r="138" spans="2:26" x14ac:dyDescent="0.25">
      <c r="B138" s="4"/>
      <c r="C138" s="4"/>
      <c r="D138" s="4"/>
      <c r="E138" s="4"/>
      <c r="F138" s="4"/>
      <c r="G138" s="4"/>
      <c r="H138" s="4"/>
      <c r="I138" s="4"/>
      <c r="K138" s="4"/>
      <c r="L138" s="4"/>
      <c r="M138" s="4"/>
      <c r="N138" s="4"/>
      <c r="O138" s="4"/>
      <c r="P138" s="4"/>
      <c r="Q138" s="4"/>
      <c r="R138" s="4"/>
      <c r="T138" s="4"/>
      <c r="U138" s="4"/>
      <c r="V138" s="4"/>
      <c r="W138" s="4"/>
      <c r="X138" s="4"/>
      <c r="Y138" s="4"/>
      <c r="Z138" s="4"/>
    </row>
    <row r="139" spans="2:26" x14ac:dyDescent="0.25">
      <c r="B139" s="4"/>
      <c r="C139" s="4"/>
      <c r="D139" s="4"/>
      <c r="E139" s="4"/>
      <c r="F139" s="4"/>
      <c r="G139" s="4"/>
      <c r="H139" s="4"/>
      <c r="I139" s="4"/>
      <c r="K139" s="4"/>
      <c r="L139" s="4"/>
      <c r="M139" s="4"/>
      <c r="N139" s="4"/>
      <c r="O139" s="4"/>
      <c r="P139" s="4"/>
      <c r="Q139" s="4"/>
      <c r="R139" s="4"/>
      <c r="T139" s="4"/>
      <c r="U139" s="4"/>
      <c r="V139" s="4"/>
      <c r="W139" s="4"/>
      <c r="X139" s="4"/>
      <c r="Y139" s="4"/>
      <c r="Z139" s="4"/>
    </row>
    <row r="140" spans="2:26" x14ac:dyDescent="0.25">
      <c r="B140" s="4"/>
      <c r="C140" s="4"/>
      <c r="D140" s="4"/>
      <c r="E140" s="4"/>
      <c r="F140" s="4"/>
      <c r="G140" s="4"/>
      <c r="H140" s="4"/>
      <c r="I140" s="4"/>
      <c r="K140" s="4"/>
      <c r="L140" s="4"/>
      <c r="M140" s="4"/>
      <c r="N140" s="4"/>
      <c r="O140" s="4"/>
      <c r="P140" s="4"/>
      <c r="Q140" s="4"/>
      <c r="R140" s="4"/>
      <c r="T140" s="4"/>
      <c r="U140" s="4"/>
      <c r="V140" s="4"/>
      <c r="W140" s="4"/>
      <c r="X140" s="4"/>
      <c r="Y140" s="4"/>
      <c r="Z140" s="4"/>
    </row>
    <row r="141" spans="2:26" x14ac:dyDescent="0.25">
      <c r="B141" s="4"/>
      <c r="C141" s="4"/>
      <c r="D141" s="4"/>
      <c r="E141" s="4"/>
      <c r="F141" s="4"/>
      <c r="G141" s="4"/>
      <c r="H141" s="4"/>
      <c r="I141" s="4"/>
      <c r="K141" s="4"/>
      <c r="L141" s="4"/>
      <c r="M141" s="4"/>
      <c r="N141" s="4"/>
      <c r="O141" s="4"/>
      <c r="P141" s="4"/>
      <c r="Q141" s="4"/>
      <c r="R141" s="4"/>
      <c r="T141" s="4"/>
      <c r="U141" s="4"/>
      <c r="V141" s="4"/>
      <c r="W141" s="4"/>
      <c r="X141" s="4"/>
      <c r="Y141" s="4"/>
      <c r="Z141" s="4"/>
    </row>
    <row r="142" spans="2:26" x14ac:dyDescent="0.25">
      <c r="B142" s="4"/>
      <c r="C142" s="4"/>
      <c r="D142" s="4"/>
      <c r="E142" s="4"/>
      <c r="F142" s="4"/>
      <c r="G142" s="4"/>
      <c r="H142" s="4"/>
      <c r="I142" s="4"/>
      <c r="K142" s="4"/>
      <c r="L142" s="4"/>
      <c r="M142" s="4"/>
      <c r="N142" s="4"/>
      <c r="O142" s="4"/>
      <c r="P142" s="4"/>
      <c r="Q142" s="4"/>
      <c r="R142" s="4"/>
      <c r="T142" s="4"/>
      <c r="U142" s="4"/>
      <c r="V142" s="4"/>
      <c r="W142" s="4"/>
      <c r="X142" s="4"/>
      <c r="Y142" s="4"/>
      <c r="Z142" s="4"/>
    </row>
    <row r="143" spans="2:26" x14ac:dyDescent="0.25">
      <c r="B143" s="4"/>
      <c r="C143" s="4"/>
      <c r="D143" s="4"/>
      <c r="E143" s="4"/>
      <c r="F143" s="4"/>
      <c r="G143" s="4"/>
      <c r="H143" s="4"/>
      <c r="I143" s="4"/>
      <c r="K143" s="4"/>
      <c r="L143" s="4"/>
      <c r="M143" s="4"/>
      <c r="N143" s="4"/>
      <c r="O143" s="4"/>
      <c r="P143" s="4"/>
      <c r="Q143" s="4"/>
      <c r="R143" s="4"/>
      <c r="T143" s="4"/>
      <c r="U143" s="4"/>
      <c r="V143" s="4"/>
      <c r="W143" s="4"/>
      <c r="X143" s="4"/>
      <c r="Y143" s="4"/>
      <c r="Z143" s="4"/>
    </row>
    <row r="144" spans="2:26" x14ac:dyDescent="0.25">
      <c r="B144" s="4"/>
      <c r="C144" s="4"/>
      <c r="D144" s="4"/>
      <c r="E144" s="4"/>
      <c r="F144" s="4"/>
      <c r="G144" s="4"/>
      <c r="H144" s="4"/>
      <c r="I144" s="4"/>
      <c r="K144" s="4"/>
      <c r="L144" s="4"/>
      <c r="M144" s="4"/>
      <c r="N144" s="4"/>
      <c r="O144" s="4"/>
      <c r="P144" s="4"/>
      <c r="Q144" s="4"/>
      <c r="R144" s="4"/>
      <c r="T144" s="4"/>
      <c r="U144" s="4"/>
      <c r="V144" s="4"/>
      <c r="W144" s="4"/>
      <c r="X144" s="4"/>
      <c r="Y144" s="4"/>
      <c r="Z144" s="4"/>
    </row>
    <row r="145" spans="2:26" x14ac:dyDescent="0.25">
      <c r="B145" s="4"/>
      <c r="C145" s="4"/>
      <c r="D145" s="4"/>
      <c r="E145" s="4"/>
      <c r="F145" s="4"/>
      <c r="G145" s="4"/>
      <c r="H145" s="4"/>
      <c r="I145" s="4"/>
      <c r="K145" s="4"/>
      <c r="L145" s="4"/>
      <c r="M145" s="4"/>
      <c r="N145" s="4"/>
      <c r="O145" s="4"/>
      <c r="P145" s="4"/>
      <c r="Q145" s="4"/>
      <c r="R145" s="4"/>
      <c r="T145" s="4"/>
      <c r="U145" s="4"/>
      <c r="V145" s="4"/>
      <c r="W145" s="4"/>
      <c r="X145" s="4"/>
      <c r="Y145" s="4"/>
      <c r="Z145" s="4"/>
    </row>
    <row r="146" spans="2:26" x14ac:dyDescent="0.25">
      <c r="B146" s="4"/>
      <c r="C146" s="4"/>
      <c r="D146" s="4"/>
      <c r="E146" s="4"/>
      <c r="F146" s="4"/>
      <c r="G146" s="4"/>
      <c r="H146" s="4"/>
      <c r="I146" s="4"/>
      <c r="K146" s="4"/>
      <c r="L146" s="4"/>
      <c r="M146" s="4"/>
      <c r="N146" s="4"/>
      <c r="O146" s="4"/>
      <c r="P146" s="4"/>
      <c r="Q146" s="4"/>
      <c r="R146" s="4"/>
      <c r="T146" s="4"/>
      <c r="U146" s="4"/>
      <c r="V146" s="4"/>
      <c r="W146" s="4"/>
      <c r="X146" s="4"/>
      <c r="Y146" s="4"/>
      <c r="Z146" s="4"/>
    </row>
    <row r="147" spans="2:26" x14ac:dyDescent="0.25">
      <c r="B147" s="4"/>
      <c r="C147" s="4"/>
      <c r="D147" s="4"/>
      <c r="E147" s="4"/>
      <c r="F147" s="4"/>
      <c r="G147" s="4"/>
      <c r="H147" s="4"/>
      <c r="I147" s="4"/>
      <c r="K147" s="4"/>
      <c r="L147" s="4"/>
      <c r="M147" s="4"/>
      <c r="N147" s="4"/>
      <c r="O147" s="4"/>
      <c r="P147" s="4"/>
      <c r="Q147" s="4"/>
      <c r="R147" s="4"/>
      <c r="T147" s="4"/>
      <c r="U147" s="4"/>
      <c r="V147" s="4"/>
      <c r="W147" s="4"/>
      <c r="X147" s="4"/>
      <c r="Y147" s="4"/>
      <c r="Z147" s="4"/>
    </row>
    <row r="148" spans="2:26" x14ac:dyDescent="0.25">
      <c r="B148" s="4"/>
      <c r="C148" s="4"/>
      <c r="D148" s="4"/>
      <c r="E148" s="4"/>
      <c r="F148" s="4"/>
      <c r="G148" s="4"/>
      <c r="H148" s="4"/>
      <c r="I148" s="4"/>
      <c r="K148" s="4"/>
      <c r="L148" s="4"/>
      <c r="M148" s="4"/>
      <c r="N148" s="4"/>
      <c r="O148" s="4"/>
      <c r="P148" s="4"/>
      <c r="Q148" s="4"/>
      <c r="R148" s="4"/>
      <c r="T148" s="4"/>
      <c r="U148" s="4"/>
      <c r="V148" s="4"/>
      <c r="W148" s="4"/>
      <c r="X148" s="4"/>
      <c r="Y148" s="4"/>
      <c r="Z148" s="4"/>
    </row>
    <row r="149" spans="2:26" x14ac:dyDescent="0.25">
      <c r="B149" s="4"/>
      <c r="C149" s="4"/>
      <c r="D149" s="4"/>
      <c r="E149" s="4"/>
      <c r="F149" s="4"/>
      <c r="G149" s="4"/>
      <c r="H149" s="4"/>
      <c r="I149" s="4"/>
      <c r="K149" s="4"/>
      <c r="L149" s="4"/>
      <c r="M149" s="4"/>
      <c r="N149" s="4"/>
      <c r="O149" s="4"/>
      <c r="P149" s="4"/>
      <c r="Q149" s="4"/>
      <c r="R149" s="4"/>
      <c r="T149" s="4"/>
      <c r="U149" s="4"/>
      <c r="V149" s="4"/>
      <c r="W149" s="4"/>
      <c r="X149" s="4"/>
      <c r="Y149" s="4"/>
      <c r="Z149" s="4"/>
    </row>
    <row r="150" spans="2:26" x14ac:dyDescent="0.25">
      <c r="B150" s="4"/>
      <c r="C150" s="4"/>
      <c r="D150" s="4"/>
      <c r="E150" s="4"/>
      <c r="F150" s="4"/>
      <c r="G150" s="4"/>
      <c r="H150" s="4"/>
      <c r="I150" s="4"/>
      <c r="K150" s="4"/>
      <c r="L150" s="4"/>
      <c r="M150" s="4"/>
      <c r="N150" s="4"/>
      <c r="O150" s="4"/>
      <c r="P150" s="4"/>
      <c r="Q150" s="4"/>
      <c r="R150" s="4"/>
      <c r="T150" s="4"/>
      <c r="U150" s="4"/>
      <c r="V150" s="4"/>
      <c r="W150" s="4"/>
      <c r="X150" s="4"/>
      <c r="Y150" s="4"/>
      <c r="Z150" s="4"/>
    </row>
    <row r="151" spans="2:26" x14ac:dyDescent="0.25">
      <c r="B151" s="4"/>
      <c r="C151" s="4"/>
      <c r="D151" s="4"/>
      <c r="E151" s="4"/>
      <c r="F151" s="4"/>
      <c r="G151" s="4"/>
      <c r="H151" s="4"/>
      <c r="I151" s="4"/>
      <c r="K151" s="4"/>
      <c r="L151" s="4"/>
      <c r="M151" s="4"/>
      <c r="N151" s="4"/>
      <c r="O151" s="4"/>
      <c r="P151" s="4"/>
      <c r="Q151" s="4"/>
      <c r="R151" s="4"/>
      <c r="T151" s="4"/>
      <c r="U151" s="4"/>
      <c r="V151" s="4"/>
      <c r="W151" s="4"/>
      <c r="X151" s="4"/>
      <c r="Y151" s="4"/>
      <c r="Z151" s="4"/>
    </row>
    <row r="152" spans="2:26" x14ac:dyDescent="0.25">
      <c r="B152" s="4"/>
      <c r="C152" s="4"/>
      <c r="D152" s="4"/>
      <c r="E152" s="4"/>
      <c r="F152" s="4"/>
      <c r="G152" s="4"/>
      <c r="H152" s="4"/>
      <c r="I152" s="4"/>
      <c r="K152" s="4"/>
      <c r="L152" s="4"/>
      <c r="M152" s="4"/>
      <c r="N152" s="4"/>
      <c r="O152" s="4"/>
      <c r="P152" s="4"/>
      <c r="Q152" s="4"/>
      <c r="R152" s="4"/>
      <c r="T152" s="4"/>
      <c r="U152" s="4"/>
      <c r="V152" s="4"/>
      <c r="W152" s="4"/>
      <c r="X152" s="4"/>
      <c r="Y152" s="4"/>
      <c r="Z152" s="4"/>
    </row>
    <row r="153" spans="2:26" x14ac:dyDescent="0.25">
      <c r="B153" s="4"/>
      <c r="C153" s="4"/>
      <c r="D153" s="4"/>
      <c r="E153" s="4"/>
      <c r="F153" s="4"/>
      <c r="G153" s="4"/>
      <c r="H153" s="4"/>
      <c r="I153" s="4"/>
      <c r="K153" s="4"/>
      <c r="L153" s="4"/>
      <c r="M153" s="4"/>
      <c r="N153" s="4"/>
      <c r="O153" s="4"/>
      <c r="P153" s="4"/>
      <c r="Q153" s="4"/>
      <c r="R153" s="4"/>
      <c r="T153" s="4"/>
      <c r="U153" s="4"/>
      <c r="V153" s="4"/>
      <c r="W153" s="4"/>
      <c r="X153" s="4"/>
      <c r="Y153" s="4"/>
      <c r="Z153" s="4"/>
    </row>
    <row r="154" spans="2:26" x14ac:dyDescent="0.25">
      <c r="B154" s="4"/>
      <c r="C154" s="4"/>
      <c r="D154" s="4"/>
      <c r="E154" s="4"/>
      <c r="F154" s="4"/>
      <c r="G154" s="4"/>
      <c r="H154" s="4"/>
      <c r="I154" s="4"/>
      <c r="K154" s="4"/>
      <c r="L154" s="4"/>
      <c r="M154" s="4"/>
      <c r="N154" s="4"/>
      <c r="O154" s="4"/>
      <c r="P154" s="4"/>
      <c r="Q154" s="4"/>
      <c r="R154" s="4"/>
      <c r="T154" s="4"/>
      <c r="U154" s="4"/>
      <c r="V154" s="4"/>
      <c r="W154" s="4"/>
      <c r="X154" s="4"/>
      <c r="Y154" s="4"/>
      <c r="Z154" s="4"/>
    </row>
    <row r="155" spans="2:26" x14ac:dyDescent="0.25">
      <c r="B155" s="4"/>
      <c r="C155" s="4"/>
      <c r="D155" s="4"/>
      <c r="E155" s="4"/>
      <c r="F155" s="4"/>
      <c r="G155" s="4"/>
      <c r="H155" s="4"/>
      <c r="I155" s="4"/>
      <c r="K155" s="4"/>
      <c r="L155" s="4"/>
      <c r="M155" s="4"/>
      <c r="N155" s="4"/>
      <c r="O155" s="4"/>
      <c r="P155" s="4"/>
      <c r="Q155" s="4"/>
      <c r="R155" s="4"/>
      <c r="T155" s="4"/>
      <c r="U155" s="4"/>
      <c r="V155" s="4"/>
      <c r="W155" s="4"/>
      <c r="X155" s="4"/>
      <c r="Y155" s="4"/>
      <c r="Z155" s="4"/>
    </row>
    <row r="156" spans="2:26" x14ac:dyDescent="0.25">
      <c r="B156" s="4"/>
      <c r="C156" s="4"/>
      <c r="D156" s="4"/>
      <c r="E156" s="4"/>
      <c r="F156" s="4"/>
      <c r="G156" s="4"/>
      <c r="H156" s="4"/>
      <c r="I156" s="4"/>
      <c r="K156" s="4"/>
      <c r="L156" s="4"/>
      <c r="M156" s="4"/>
      <c r="N156" s="4"/>
      <c r="O156" s="4"/>
      <c r="P156" s="4"/>
      <c r="Q156" s="4"/>
      <c r="R156" s="4"/>
      <c r="T156" s="4"/>
      <c r="U156" s="4"/>
      <c r="V156" s="4"/>
      <c r="W156" s="4"/>
      <c r="X156" s="4"/>
      <c r="Y156" s="4"/>
      <c r="Z156" s="4"/>
    </row>
    <row r="157" spans="2:26" x14ac:dyDescent="0.25">
      <c r="B157" s="4"/>
      <c r="C157" s="4"/>
      <c r="D157" s="4"/>
      <c r="E157" s="4"/>
      <c r="F157" s="4"/>
      <c r="G157" s="4"/>
      <c r="H157" s="4"/>
      <c r="I157" s="4"/>
      <c r="K157" s="4"/>
      <c r="L157" s="4"/>
      <c r="M157" s="4"/>
      <c r="N157" s="4"/>
      <c r="O157" s="4"/>
      <c r="P157" s="4"/>
      <c r="Q157" s="4"/>
      <c r="R157" s="4"/>
      <c r="T157" s="4"/>
      <c r="U157" s="4"/>
      <c r="V157" s="4"/>
      <c r="W157" s="4"/>
      <c r="X157" s="4"/>
      <c r="Y157" s="4"/>
      <c r="Z157" s="4"/>
    </row>
    <row r="158" spans="2:26" x14ac:dyDescent="0.25">
      <c r="B158" s="4"/>
      <c r="C158" s="4"/>
      <c r="D158" s="4"/>
      <c r="E158" s="4"/>
      <c r="F158" s="4"/>
      <c r="G158" s="4"/>
      <c r="H158" s="4"/>
      <c r="I158" s="4"/>
      <c r="K158" s="4"/>
      <c r="L158" s="4"/>
      <c r="M158" s="4"/>
      <c r="N158" s="4"/>
      <c r="O158" s="4"/>
      <c r="P158" s="4"/>
      <c r="Q158" s="4"/>
      <c r="R158" s="4"/>
      <c r="T158" s="4"/>
      <c r="U158" s="4"/>
      <c r="V158" s="4"/>
      <c r="W158" s="4"/>
      <c r="X158" s="4"/>
      <c r="Y158" s="4"/>
      <c r="Z158" s="4"/>
    </row>
    <row r="159" spans="2:26" x14ac:dyDescent="0.25">
      <c r="B159" s="4"/>
      <c r="C159" s="4"/>
      <c r="D159" s="4"/>
      <c r="E159" s="4"/>
      <c r="F159" s="4"/>
      <c r="G159" s="4"/>
      <c r="H159" s="4"/>
      <c r="I159" s="4"/>
      <c r="K159" s="4"/>
      <c r="L159" s="4"/>
      <c r="M159" s="4"/>
      <c r="N159" s="4"/>
      <c r="O159" s="4"/>
      <c r="P159" s="4"/>
      <c r="Q159" s="4"/>
      <c r="R159" s="4"/>
      <c r="T159" s="4"/>
      <c r="U159" s="4"/>
      <c r="V159" s="4"/>
      <c r="W159" s="4"/>
      <c r="X159" s="4"/>
      <c r="Y159" s="4"/>
      <c r="Z159" s="4"/>
    </row>
  </sheetData>
  <mergeCells count="4">
    <mergeCell ref="A1:Z1"/>
    <mergeCell ref="B2:D2"/>
    <mergeCell ref="K2:M2"/>
    <mergeCell ref="T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"/>
  <sheetViews>
    <sheetView workbookViewId="0">
      <selection activeCell="I31" sqref="A1:XFD1048576"/>
    </sheetView>
  </sheetViews>
  <sheetFormatPr defaultRowHeight="15" x14ac:dyDescent="0.25"/>
  <cols>
    <col min="1" max="1" width="10.7109375" style="2" customWidth="1"/>
    <col min="2" max="4" width="7.42578125" style="2" customWidth="1"/>
    <col min="5" max="7" width="7.42578125" style="30" hidden="1" customWidth="1"/>
    <col min="8" max="8" width="7.42578125" style="2" customWidth="1"/>
    <col min="9" max="9" width="3.140625" style="2" customWidth="1"/>
    <col min="10" max="10" width="10" style="2" customWidth="1"/>
    <col min="11" max="13" width="7.42578125" style="2" customWidth="1"/>
    <col min="14" max="16" width="7.42578125" style="2" hidden="1" customWidth="1"/>
    <col min="17" max="17" width="7.42578125" style="2" customWidth="1"/>
    <col min="18" max="18" width="3.140625" style="2" customWidth="1"/>
    <col min="19" max="19" width="10.140625" style="2" customWidth="1"/>
    <col min="20" max="22" width="7.42578125" style="2" customWidth="1"/>
    <col min="23" max="25" width="7.42578125" style="2" hidden="1" customWidth="1"/>
    <col min="26" max="26" width="7.42578125" style="2" customWidth="1"/>
    <col min="27" max="27" width="3.140625" style="2" customWidth="1"/>
    <col min="28" max="28" width="10.140625" style="2" customWidth="1"/>
    <col min="29" max="31" width="7.42578125" style="2" customWidth="1"/>
    <col min="32" max="34" width="7.42578125" style="2" hidden="1" customWidth="1"/>
    <col min="35" max="35" width="7.42578125" style="2" customWidth="1"/>
    <col min="36" max="1024" width="10" style="2" customWidth="1"/>
    <col min="1025" max="1025" width="10.28515625" customWidth="1"/>
  </cols>
  <sheetData>
    <row r="1" spans="1:35" x14ac:dyDescent="0.25">
      <c r="A1" s="31" t="s">
        <v>161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12.6" customHeight="1" x14ac:dyDescent="0.25">
      <c r="B2" s="31" t="s">
        <v>162</v>
      </c>
      <c r="C2" s="31"/>
      <c r="D2" s="31"/>
      <c r="E2" s="4"/>
      <c r="F2" s="4"/>
      <c r="G2" s="4"/>
      <c r="H2" s="5"/>
      <c r="I2" s="5"/>
      <c r="K2" s="31" t="s">
        <v>163</v>
      </c>
      <c r="L2" s="31"/>
      <c r="M2" s="31"/>
      <c r="N2" s="5"/>
      <c r="O2" s="5"/>
      <c r="P2" s="5"/>
      <c r="Q2" s="5"/>
      <c r="R2" s="5"/>
      <c r="T2" s="31" t="s">
        <v>2</v>
      </c>
      <c r="U2" s="31"/>
      <c r="V2" s="31"/>
      <c r="W2" s="5"/>
      <c r="X2" s="5"/>
      <c r="Y2" s="5"/>
      <c r="Z2" s="5"/>
      <c r="AC2" s="31" t="s">
        <v>164</v>
      </c>
      <c r="AD2" s="31"/>
      <c r="AE2" s="31"/>
      <c r="AF2" s="5"/>
      <c r="AG2" s="5"/>
      <c r="AH2" s="5"/>
      <c r="AI2" s="5"/>
    </row>
    <row r="3" spans="1:35" ht="12.6" customHeight="1" x14ac:dyDescent="0.25">
      <c r="B3" s="6" t="s">
        <v>4</v>
      </c>
      <c r="C3" s="7" t="s">
        <v>165</v>
      </c>
      <c r="D3" s="6" t="s">
        <v>6</v>
      </c>
      <c r="E3" s="8"/>
      <c r="F3" s="8"/>
      <c r="G3" s="8"/>
      <c r="H3" s="9"/>
      <c r="I3" s="9"/>
      <c r="K3" s="6" t="s">
        <v>4</v>
      </c>
      <c r="L3" s="7" t="s">
        <v>165</v>
      </c>
      <c r="M3" s="6" t="s">
        <v>6</v>
      </c>
      <c r="N3" s="9"/>
      <c r="O3" s="9"/>
      <c r="P3" s="9"/>
      <c r="Q3" s="9"/>
      <c r="R3" s="9"/>
      <c r="T3" s="6" t="s">
        <v>4</v>
      </c>
      <c r="U3" s="7" t="s">
        <v>165</v>
      </c>
      <c r="V3" s="6" t="s">
        <v>6</v>
      </c>
      <c r="W3" s="9"/>
      <c r="X3" s="9"/>
      <c r="Y3" s="9"/>
      <c r="Z3" s="9"/>
      <c r="AC3" s="6" t="s">
        <v>4</v>
      </c>
      <c r="AD3" s="7" t="s">
        <v>165</v>
      </c>
      <c r="AE3" s="6" t="s">
        <v>6</v>
      </c>
      <c r="AF3" s="9"/>
      <c r="AG3" s="9"/>
      <c r="AH3" s="9"/>
      <c r="AI3" s="9"/>
    </row>
    <row r="4" spans="1:35" ht="12.6" customHeight="1" x14ac:dyDescent="0.25">
      <c r="A4" s="10" t="s">
        <v>7</v>
      </c>
      <c r="B4" s="6" t="s">
        <v>8</v>
      </c>
      <c r="C4" s="6" t="s">
        <v>8</v>
      </c>
      <c r="D4" s="6" t="s">
        <v>8</v>
      </c>
      <c r="E4" s="8"/>
      <c r="F4" s="8"/>
      <c r="G4" s="8"/>
      <c r="H4" s="11" t="s">
        <v>9</v>
      </c>
      <c r="I4" s="9"/>
      <c r="J4" s="10" t="s">
        <v>7</v>
      </c>
      <c r="K4" s="6" t="s">
        <v>8</v>
      </c>
      <c r="L4" s="6" t="s">
        <v>8</v>
      </c>
      <c r="M4" s="6" t="s">
        <v>8</v>
      </c>
      <c r="N4" s="9"/>
      <c r="O4" s="9"/>
      <c r="P4" s="9"/>
      <c r="Q4" s="11" t="s">
        <v>9</v>
      </c>
      <c r="R4" s="9"/>
      <c r="S4" s="10" t="s">
        <v>7</v>
      </c>
      <c r="T4" s="6" t="s">
        <v>8</v>
      </c>
      <c r="U4" s="6" t="s">
        <v>8</v>
      </c>
      <c r="V4" s="6" t="s">
        <v>8</v>
      </c>
      <c r="W4" s="9"/>
      <c r="X4" s="9"/>
      <c r="Y4" s="9"/>
      <c r="Z4" s="11" t="s">
        <v>9</v>
      </c>
      <c r="AB4" s="10" t="s">
        <v>7</v>
      </c>
      <c r="AC4" s="6" t="s">
        <v>8</v>
      </c>
      <c r="AD4" s="6" t="s">
        <v>8</v>
      </c>
      <c r="AE4" s="6" t="s">
        <v>8</v>
      </c>
      <c r="AF4" s="9"/>
      <c r="AG4" s="9"/>
      <c r="AH4" s="9"/>
      <c r="AI4" s="11" t="s">
        <v>9</v>
      </c>
    </row>
    <row r="5" spans="1:35" ht="12.6" customHeight="1" x14ac:dyDescent="0.25">
      <c r="A5" s="12" t="s">
        <v>10</v>
      </c>
      <c r="B5" s="13" t="s">
        <v>11</v>
      </c>
      <c r="C5" s="13" t="s">
        <v>166</v>
      </c>
      <c r="D5" s="13" t="s">
        <v>13</v>
      </c>
      <c r="E5" s="14"/>
      <c r="F5" s="14"/>
      <c r="G5" s="14"/>
      <c r="H5" s="15" t="s">
        <v>14</v>
      </c>
      <c r="I5" s="16"/>
      <c r="J5" s="12" t="s">
        <v>10</v>
      </c>
      <c r="K5" s="13" t="s">
        <v>11</v>
      </c>
      <c r="L5" s="13" t="s">
        <v>167</v>
      </c>
      <c r="M5" s="13" t="s">
        <v>13</v>
      </c>
      <c r="N5" s="16"/>
      <c r="O5" s="16"/>
      <c r="P5" s="16"/>
      <c r="Q5" s="15" t="s">
        <v>14</v>
      </c>
      <c r="R5" s="16"/>
      <c r="S5" s="12" t="s">
        <v>10</v>
      </c>
      <c r="T5" s="13" t="s">
        <v>11</v>
      </c>
      <c r="U5" s="13" t="s">
        <v>168</v>
      </c>
      <c r="V5" s="13" t="s">
        <v>13</v>
      </c>
      <c r="W5" s="16"/>
      <c r="X5" s="16"/>
      <c r="Y5" s="16"/>
      <c r="Z5" s="15" t="s">
        <v>14</v>
      </c>
      <c r="AB5" s="12" t="s">
        <v>10</v>
      </c>
      <c r="AC5" s="13" t="s">
        <v>11</v>
      </c>
      <c r="AD5" s="13" t="s">
        <v>169</v>
      </c>
      <c r="AE5" s="13" t="s">
        <v>13</v>
      </c>
      <c r="AF5" s="16"/>
      <c r="AG5" s="16"/>
      <c r="AH5" s="16"/>
      <c r="AI5" s="15" t="s">
        <v>14</v>
      </c>
    </row>
    <row r="6" spans="1:35" ht="9.75" customHeight="1" x14ac:dyDescent="0.25">
      <c r="A6" s="32" t="s">
        <v>170</v>
      </c>
      <c r="B6" s="18">
        <v>32.6</v>
      </c>
      <c r="C6" s="18">
        <v>24.63</v>
      </c>
      <c r="D6" s="18">
        <v>42.77</v>
      </c>
      <c r="E6" s="27">
        <v>36</v>
      </c>
      <c r="F6" s="19">
        <v>17</v>
      </c>
      <c r="G6" s="20">
        <v>10</v>
      </c>
      <c r="H6" s="21">
        <f t="shared" ref="H6:H15" si="0">63327.74/E6/F6+81.048+22671.36/G6/F6</f>
        <v>317.8856405228758</v>
      </c>
      <c r="I6" s="16"/>
      <c r="J6" s="32" t="s">
        <v>170</v>
      </c>
      <c r="K6" s="18">
        <v>32.130000000000003</v>
      </c>
      <c r="L6" s="18">
        <v>25.71</v>
      </c>
      <c r="M6" s="18">
        <v>42.16</v>
      </c>
      <c r="N6" s="27">
        <v>36</v>
      </c>
      <c r="O6" s="19">
        <v>18</v>
      </c>
      <c r="P6" s="20">
        <v>10</v>
      </c>
      <c r="Q6" s="21">
        <f t="shared" ref="Q6:Q15" si="1">63327.74/N6/O6+81.048+22671.36/P6/O6</f>
        <v>304.7279938271605</v>
      </c>
      <c r="R6" s="16"/>
      <c r="S6" s="32" t="s">
        <v>170</v>
      </c>
      <c r="T6" s="18">
        <v>31.68</v>
      </c>
      <c r="U6" s="18">
        <v>26.75</v>
      </c>
      <c r="V6" s="18">
        <v>41.57</v>
      </c>
      <c r="W6" s="27">
        <v>36</v>
      </c>
      <c r="X6" s="19">
        <v>19</v>
      </c>
      <c r="Y6" s="20">
        <v>10</v>
      </c>
      <c r="Z6" s="21">
        <f t="shared" ref="Z6:Z15" si="2">63327.74/W6/X6+81.048+22671.36/Y6/X6</f>
        <v>292.95536257309942</v>
      </c>
      <c r="AB6" s="32" t="s">
        <v>170</v>
      </c>
      <c r="AC6" s="33">
        <v>31.24</v>
      </c>
      <c r="AD6" s="33">
        <v>27.77</v>
      </c>
      <c r="AE6" s="33">
        <v>40.99</v>
      </c>
      <c r="AF6" s="27">
        <v>36</v>
      </c>
      <c r="AG6" s="19">
        <v>20</v>
      </c>
      <c r="AH6" s="20">
        <v>10</v>
      </c>
      <c r="AI6" s="21">
        <f t="shared" ref="AI6:AI15" si="3">63327.74/AF6/AG6+81.048+22671.36/AH6/AG6</f>
        <v>282.3599944444444</v>
      </c>
    </row>
    <row r="7" spans="1:35" ht="9.75" customHeight="1" x14ac:dyDescent="0.25">
      <c r="A7" s="32" t="s">
        <v>171</v>
      </c>
      <c r="B7" s="18">
        <v>35.1</v>
      </c>
      <c r="C7" s="18">
        <v>26.52</v>
      </c>
      <c r="D7" s="18">
        <v>38.380000000000003</v>
      </c>
      <c r="E7" s="27">
        <v>36</v>
      </c>
      <c r="F7" s="19">
        <v>17</v>
      </c>
      <c r="G7" s="20">
        <v>12</v>
      </c>
      <c r="H7" s="21">
        <f t="shared" si="0"/>
        <v>295.65881699346403</v>
      </c>
      <c r="I7" s="16"/>
      <c r="J7" s="32" t="s">
        <v>171</v>
      </c>
      <c r="K7" s="18">
        <v>34.56</v>
      </c>
      <c r="L7" s="18">
        <v>27.65</v>
      </c>
      <c r="M7" s="18">
        <v>37.79</v>
      </c>
      <c r="N7" s="27">
        <v>36</v>
      </c>
      <c r="O7" s="19">
        <v>18</v>
      </c>
      <c r="P7" s="20">
        <v>12</v>
      </c>
      <c r="Q7" s="21">
        <f t="shared" si="1"/>
        <v>283.73599382716048</v>
      </c>
      <c r="R7" s="16"/>
      <c r="S7" s="32" t="s">
        <v>171</v>
      </c>
      <c r="T7" s="18">
        <v>34.04</v>
      </c>
      <c r="U7" s="18">
        <v>28.74</v>
      </c>
      <c r="V7" s="18">
        <v>37.22</v>
      </c>
      <c r="W7" s="27">
        <v>36</v>
      </c>
      <c r="X7" s="19">
        <v>19</v>
      </c>
      <c r="Y7" s="20">
        <v>12</v>
      </c>
      <c r="Z7" s="21">
        <f t="shared" si="2"/>
        <v>273.06820467836258</v>
      </c>
      <c r="AB7" s="32" t="s">
        <v>171</v>
      </c>
      <c r="AC7" s="33">
        <v>33.53</v>
      </c>
      <c r="AD7" s="33">
        <v>29.81</v>
      </c>
      <c r="AE7" s="33">
        <v>36.659999999999997</v>
      </c>
      <c r="AF7" s="27">
        <v>36</v>
      </c>
      <c r="AG7" s="19">
        <v>20</v>
      </c>
      <c r="AH7" s="20">
        <v>12</v>
      </c>
      <c r="AI7" s="21">
        <f t="shared" si="3"/>
        <v>263.46719444444443</v>
      </c>
    </row>
    <row r="8" spans="1:35" ht="9.75" customHeight="1" x14ac:dyDescent="0.25">
      <c r="A8" s="32" t="s">
        <v>172</v>
      </c>
      <c r="B8" s="18">
        <v>37.14</v>
      </c>
      <c r="C8" s="18">
        <v>28.06</v>
      </c>
      <c r="D8" s="18">
        <v>34.799999999999997</v>
      </c>
      <c r="E8" s="27">
        <v>36</v>
      </c>
      <c r="F8" s="19">
        <v>17</v>
      </c>
      <c r="G8" s="20">
        <v>14</v>
      </c>
      <c r="H8" s="21">
        <f t="shared" si="0"/>
        <v>279.78251447245566</v>
      </c>
      <c r="I8" s="16"/>
      <c r="J8" s="32" t="s">
        <v>172</v>
      </c>
      <c r="K8" s="18">
        <v>36.53</v>
      </c>
      <c r="L8" s="18">
        <v>29.23</v>
      </c>
      <c r="M8" s="18">
        <v>34.24</v>
      </c>
      <c r="N8" s="27">
        <v>36</v>
      </c>
      <c r="O8" s="19">
        <v>18</v>
      </c>
      <c r="P8" s="20">
        <v>14</v>
      </c>
      <c r="Q8" s="21">
        <f t="shared" si="1"/>
        <v>268.74170811287479</v>
      </c>
      <c r="R8" s="16"/>
      <c r="S8" s="32" t="s">
        <v>172</v>
      </c>
      <c r="T8" s="18">
        <v>35.950000000000003</v>
      </c>
      <c r="U8" s="18">
        <v>30.36</v>
      </c>
      <c r="V8" s="18">
        <v>33.69</v>
      </c>
      <c r="W8" s="27">
        <v>36</v>
      </c>
      <c r="X8" s="19">
        <v>19</v>
      </c>
      <c r="Y8" s="20">
        <v>14</v>
      </c>
      <c r="Z8" s="21">
        <f t="shared" si="2"/>
        <v>258.8630918964077</v>
      </c>
      <c r="AB8" s="32" t="s">
        <v>172</v>
      </c>
      <c r="AC8" s="33">
        <v>35.39</v>
      </c>
      <c r="AD8" s="33">
        <v>31.45</v>
      </c>
      <c r="AE8" s="33">
        <v>33.159999999999997</v>
      </c>
      <c r="AF8" s="27">
        <v>36</v>
      </c>
      <c r="AG8" s="19">
        <v>20</v>
      </c>
      <c r="AH8" s="20">
        <v>14</v>
      </c>
      <c r="AI8" s="21">
        <f t="shared" si="3"/>
        <v>249.97233730158729</v>
      </c>
    </row>
    <row r="9" spans="1:35" ht="9.75" customHeight="1" x14ac:dyDescent="0.25">
      <c r="A9" s="32" t="s">
        <v>173</v>
      </c>
      <c r="B9" s="18">
        <v>38.83</v>
      </c>
      <c r="C9" s="18">
        <v>29.34</v>
      </c>
      <c r="D9" s="18">
        <v>31.83</v>
      </c>
      <c r="E9" s="27">
        <v>36</v>
      </c>
      <c r="F9" s="19">
        <v>17</v>
      </c>
      <c r="G9" s="20">
        <v>16</v>
      </c>
      <c r="H9" s="21">
        <f t="shared" si="0"/>
        <v>267.87528758169935</v>
      </c>
      <c r="I9" s="16"/>
      <c r="J9" s="32" t="s">
        <v>173</v>
      </c>
      <c r="K9" s="18">
        <v>38.17</v>
      </c>
      <c r="L9" s="18">
        <v>30.53</v>
      </c>
      <c r="M9" s="18">
        <v>31.3</v>
      </c>
      <c r="N9" s="27">
        <v>36</v>
      </c>
      <c r="O9" s="19">
        <v>18</v>
      </c>
      <c r="P9" s="20">
        <v>16</v>
      </c>
      <c r="Q9" s="21">
        <f t="shared" si="1"/>
        <v>257.49599382716053</v>
      </c>
      <c r="R9" s="16"/>
      <c r="S9" s="32" t="s">
        <v>173</v>
      </c>
      <c r="T9" s="18">
        <v>37.53</v>
      </c>
      <c r="U9" s="18">
        <v>31.69</v>
      </c>
      <c r="V9" s="18">
        <v>30.78</v>
      </c>
      <c r="W9" s="27">
        <v>36</v>
      </c>
      <c r="X9" s="19">
        <v>19</v>
      </c>
      <c r="Y9" s="20">
        <v>16</v>
      </c>
      <c r="Z9" s="21">
        <f t="shared" si="2"/>
        <v>248.20925730994151</v>
      </c>
      <c r="AB9" s="32" t="s">
        <v>173</v>
      </c>
      <c r="AC9" s="33">
        <v>36.92</v>
      </c>
      <c r="AD9" s="33">
        <v>32.81</v>
      </c>
      <c r="AE9" s="33">
        <v>30.27</v>
      </c>
      <c r="AF9" s="27">
        <v>36</v>
      </c>
      <c r="AG9" s="19">
        <v>20</v>
      </c>
      <c r="AH9" s="20">
        <v>16</v>
      </c>
      <c r="AI9" s="21">
        <f t="shared" si="3"/>
        <v>239.85119444444445</v>
      </c>
    </row>
    <row r="10" spans="1:35" ht="9.75" customHeight="1" x14ac:dyDescent="0.25">
      <c r="A10" s="32" t="s">
        <v>174</v>
      </c>
      <c r="B10" s="18">
        <v>40.25</v>
      </c>
      <c r="C10" s="18">
        <v>30.41</v>
      </c>
      <c r="D10" s="18">
        <v>29.34</v>
      </c>
      <c r="E10" s="27">
        <v>36</v>
      </c>
      <c r="F10" s="19">
        <v>17</v>
      </c>
      <c r="G10" s="20">
        <v>18</v>
      </c>
      <c r="H10" s="21">
        <f t="shared" si="0"/>
        <v>258.61411111111113</v>
      </c>
      <c r="I10" s="16"/>
      <c r="J10" s="32" t="s">
        <v>174</v>
      </c>
      <c r="K10" s="18">
        <v>39.54</v>
      </c>
      <c r="L10" s="18">
        <v>31.64</v>
      </c>
      <c r="M10" s="18">
        <v>28.82</v>
      </c>
      <c r="N10" s="27">
        <v>36</v>
      </c>
      <c r="O10" s="19">
        <v>18</v>
      </c>
      <c r="P10" s="20">
        <v>18</v>
      </c>
      <c r="Q10" s="21">
        <f t="shared" si="1"/>
        <v>248.74932716049383</v>
      </c>
      <c r="R10" s="16"/>
      <c r="S10" s="32" t="s">
        <v>174</v>
      </c>
      <c r="T10" s="18">
        <v>38.86</v>
      </c>
      <c r="U10" s="18">
        <v>32.82</v>
      </c>
      <c r="V10" s="18">
        <v>28.32</v>
      </c>
      <c r="W10" s="27">
        <v>36</v>
      </c>
      <c r="X10" s="19">
        <v>19</v>
      </c>
      <c r="Y10" s="20">
        <v>18</v>
      </c>
      <c r="Z10" s="21">
        <f t="shared" si="2"/>
        <v>239.92294152046782</v>
      </c>
      <c r="AB10" s="32" t="s">
        <v>174</v>
      </c>
      <c r="AC10" s="33">
        <v>38.200000000000003</v>
      </c>
      <c r="AD10" s="33">
        <v>33.96</v>
      </c>
      <c r="AE10" s="33">
        <v>27.84</v>
      </c>
      <c r="AF10" s="27">
        <v>36</v>
      </c>
      <c r="AG10" s="19">
        <v>20</v>
      </c>
      <c r="AH10" s="20">
        <v>18</v>
      </c>
      <c r="AI10" s="21">
        <f t="shared" si="3"/>
        <v>231.97919444444443</v>
      </c>
    </row>
    <row r="11" spans="1:35" ht="9.75" customHeight="1" x14ac:dyDescent="0.25">
      <c r="A11" s="32" t="s">
        <v>175</v>
      </c>
      <c r="B11" s="18">
        <v>41.47</v>
      </c>
      <c r="C11" s="18">
        <v>31.33</v>
      </c>
      <c r="D11" s="18">
        <v>27.2</v>
      </c>
      <c r="E11" s="27">
        <v>36</v>
      </c>
      <c r="F11" s="19">
        <v>17</v>
      </c>
      <c r="G11" s="20">
        <v>20</v>
      </c>
      <c r="H11" s="21">
        <f t="shared" si="0"/>
        <v>251.20516993464051</v>
      </c>
      <c r="I11" s="16"/>
      <c r="J11" s="32" t="s">
        <v>175</v>
      </c>
      <c r="K11" s="18">
        <v>40.72</v>
      </c>
      <c r="L11" s="18">
        <v>32.57</v>
      </c>
      <c r="M11" s="18">
        <v>26.71</v>
      </c>
      <c r="N11" s="27">
        <v>36</v>
      </c>
      <c r="O11" s="19">
        <v>18</v>
      </c>
      <c r="P11" s="20">
        <v>20</v>
      </c>
      <c r="Q11" s="21">
        <f t="shared" si="1"/>
        <v>241.7519938271605</v>
      </c>
      <c r="R11" s="16"/>
      <c r="S11" s="32" t="s">
        <v>175</v>
      </c>
      <c r="T11" s="18">
        <v>39.99</v>
      </c>
      <c r="U11" s="18">
        <v>33.770000000000003</v>
      </c>
      <c r="V11" s="18">
        <v>26.24</v>
      </c>
      <c r="W11" s="27">
        <v>36</v>
      </c>
      <c r="X11" s="19">
        <v>19</v>
      </c>
      <c r="Y11" s="20">
        <v>20</v>
      </c>
      <c r="Z11" s="21">
        <f t="shared" si="2"/>
        <v>233.29388888888889</v>
      </c>
      <c r="AB11" s="32" t="s">
        <v>175</v>
      </c>
      <c r="AC11" s="33">
        <v>39.29</v>
      </c>
      <c r="AD11" s="33">
        <v>34.93</v>
      </c>
      <c r="AE11" s="33">
        <v>25.78</v>
      </c>
      <c r="AF11" s="27">
        <v>36</v>
      </c>
      <c r="AG11" s="19">
        <v>20</v>
      </c>
      <c r="AH11" s="20">
        <v>20</v>
      </c>
      <c r="AI11" s="21">
        <f t="shared" si="3"/>
        <v>225.68159444444444</v>
      </c>
    </row>
    <row r="12" spans="1:35" ht="9.75" customHeight="1" x14ac:dyDescent="0.25">
      <c r="A12" s="32" t="s">
        <v>176</v>
      </c>
      <c r="B12" s="18">
        <v>43.44</v>
      </c>
      <c r="C12" s="18">
        <v>32.82</v>
      </c>
      <c r="D12" s="18">
        <v>23.74</v>
      </c>
      <c r="E12" s="27">
        <v>36</v>
      </c>
      <c r="F12" s="19">
        <v>17</v>
      </c>
      <c r="G12" s="20">
        <v>24</v>
      </c>
      <c r="H12" s="21">
        <f t="shared" si="0"/>
        <v>240.09175816993462</v>
      </c>
      <c r="I12" s="16"/>
      <c r="J12" s="32" t="s">
        <v>176</v>
      </c>
      <c r="K12" s="18">
        <v>42.61</v>
      </c>
      <c r="L12" s="18">
        <v>34.090000000000003</v>
      </c>
      <c r="M12" s="18">
        <v>23.3</v>
      </c>
      <c r="N12" s="27">
        <v>36</v>
      </c>
      <c r="O12" s="19">
        <v>18</v>
      </c>
      <c r="P12" s="20">
        <v>24</v>
      </c>
      <c r="Q12" s="21">
        <f t="shared" si="1"/>
        <v>231.25599382716049</v>
      </c>
      <c r="R12" s="16"/>
      <c r="S12" s="32" t="s">
        <v>176</v>
      </c>
      <c r="T12" s="18">
        <v>41.82</v>
      </c>
      <c r="U12" s="18">
        <v>35.32</v>
      </c>
      <c r="V12" s="18">
        <v>22.86</v>
      </c>
      <c r="W12" s="27">
        <v>36</v>
      </c>
      <c r="X12" s="19">
        <v>19</v>
      </c>
      <c r="Y12" s="20">
        <v>24</v>
      </c>
      <c r="Z12" s="21">
        <f t="shared" si="2"/>
        <v>223.35030994152046</v>
      </c>
      <c r="AB12" s="32" t="s">
        <v>176</v>
      </c>
      <c r="AC12" s="33">
        <v>41.05</v>
      </c>
      <c r="AD12" s="33">
        <v>36.5</v>
      </c>
      <c r="AE12" s="33">
        <v>22.45</v>
      </c>
      <c r="AF12" s="27">
        <v>36</v>
      </c>
      <c r="AG12" s="19">
        <v>20</v>
      </c>
      <c r="AH12" s="20">
        <v>24</v>
      </c>
      <c r="AI12" s="21">
        <f t="shared" si="3"/>
        <v>216.23519444444443</v>
      </c>
    </row>
    <row r="13" spans="1:35" ht="9.75" customHeight="1" x14ac:dyDescent="0.25">
      <c r="A13" s="32" t="s">
        <v>177</v>
      </c>
      <c r="B13" s="18">
        <v>44.24</v>
      </c>
      <c r="C13" s="18">
        <v>33.43</v>
      </c>
      <c r="D13" s="18">
        <v>22.33</v>
      </c>
      <c r="E13" s="27">
        <v>36</v>
      </c>
      <c r="F13" s="19">
        <v>17</v>
      </c>
      <c r="G13" s="20">
        <v>26</v>
      </c>
      <c r="H13" s="21">
        <f t="shared" si="0"/>
        <v>235.81736902966313</v>
      </c>
      <c r="I13" s="16"/>
      <c r="J13" s="32" t="s">
        <v>177</v>
      </c>
      <c r="K13" s="18">
        <v>43.39</v>
      </c>
      <c r="L13" s="18">
        <v>34.71</v>
      </c>
      <c r="M13" s="18">
        <v>21.9</v>
      </c>
      <c r="N13" s="27">
        <v>36</v>
      </c>
      <c r="O13" s="19">
        <v>18</v>
      </c>
      <c r="P13" s="20">
        <v>26</v>
      </c>
      <c r="Q13" s="21">
        <f t="shared" si="1"/>
        <v>227.21907075023742</v>
      </c>
      <c r="R13" s="16"/>
      <c r="S13" s="32" t="s">
        <v>177</v>
      </c>
      <c r="T13" s="18">
        <v>42.57</v>
      </c>
      <c r="U13" s="18">
        <v>35.950000000000003</v>
      </c>
      <c r="V13" s="18">
        <v>21.48</v>
      </c>
      <c r="W13" s="27">
        <v>36</v>
      </c>
      <c r="X13" s="19">
        <v>19</v>
      </c>
      <c r="Y13" s="20">
        <v>26</v>
      </c>
      <c r="Z13" s="21">
        <f t="shared" si="2"/>
        <v>219.5258565002249</v>
      </c>
      <c r="AB13" s="32" t="s">
        <v>177</v>
      </c>
      <c r="AC13" s="33">
        <v>41.78</v>
      </c>
      <c r="AD13" s="33">
        <v>37.14</v>
      </c>
      <c r="AE13" s="33">
        <v>21.08</v>
      </c>
      <c r="AF13" s="27">
        <v>36</v>
      </c>
      <c r="AG13" s="19">
        <v>20</v>
      </c>
      <c r="AH13" s="20">
        <v>26</v>
      </c>
      <c r="AI13" s="21">
        <f t="shared" si="3"/>
        <v>212.60196367521365</v>
      </c>
    </row>
    <row r="14" spans="1:35" ht="9.75" customHeight="1" x14ac:dyDescent="0.25">
      <c r="A14" s="32" t="s">
        <v>178</v>
      </c>
      <c r="B14" s="18">
        <v>44.96</v>
      </c>
      <c r="C14" s="18">
        <v>33.97</v>
      </c>
      <c r="D14" s="18">
        <v>21.07</v>
      </c>
      <c r="E14" s="27">
        <v>36</v>
      </c>
      <c r="F14" s="19">
        <v>17</v>
      </c>
      <c r="G14" s="20">
        <v>28</v>
      </c>
      <c r="H14" s="21">
        <f t="shared" si="0"/>
        <v>232.15360690943044</v>
      </c>
      <c r="I14" s="16"/>
      <c r="J14" s="32" t="s">
        <v>178</v>
      </c>
      <c r="K14" s="18">
        <v>44.08</v>
      </c>
      <c r="L14" s="18">
        <v>35.270000000000003</v>
      </c>
      <c r="M14" s="18">
        <v>20.65</v>
      </c>
      <c r="N14" s="27">
        <v>36</v>
      </c>
      <c r="O14" s="19">
        <v>18</v>
      </c>
      <c r="P14" s="20">
        <v>28</v>
      </c>
      <c r="Q14" s="21">
        <f t="shared" si="1"/>
        <v>223.75885097001765</v>
      </c>
      <c r="R14" s="16"/>
      <c r="S14" s="32" t="s">
        <v>178</v>
      </c>
      <c r="T14" s="18">
        <v>43.23</v>
      </c>
      <c r="U14" s="18">
        <v>36.51</v>
      </c>
      <c r="V14" s="18">
        <v>20.260000000000002</v>
      </c>
      <c r="W14" s="27">
        <v>36</v>
      </c>
      <c r="X14" s="19">
        <v>19</v>
      </c>
      <c r="Y14" s="20">
        <v>28</v>
      </c>
      <c r="Z14" s="21">
        <f t="shared" si="2"/>
        <v>216.24775355054302</v>
      </c>
      <c r="AB14" s="32" t="s">
        <v>178</v>
      </c>
      <c r="AC14" s="33">
        <v>42.42</v>
      </c>
      <c r="AD14" s="33">
        <v>37.71</v>
      </c>
      <c r="AE14" s="33">
        <v>19.87</v>
      </c>
      <c r="AF14" s="27">
        <v>36</v>
      </c>
      <c r="AG14" s="19">
        <v>20</v>
      </c>
      <c r="AH14" s="20">
        <v>28</v>
      </c>
      <c r="AI14" s="21">
        <f t="shared" si="3"/>
        <v>209.48776587301586</v>
      </c>
    </row>
    <row r="15" spans="1:35" ht="9.75" customHeight="1" x14ac:dyDescent="0.25">
      <c r="A15" s="32" t="s">
        <v>179</v>
      </c>
      <c r="B15" s="18">
        <v>45.61</v>
      </c>
      <c r="C15" s="18">
        <v>34.450000000000003</v>
      </c>
      <c r="D15" s="18">
        <v>19.940000000000001</v>
      </c>
      <c r="E15" s="27">
        <v>36</v>
      </c>
      <c r="F15" s="19">
        <v>17</v>
      </c>
      <c r="G15" s="20">
        <v>30</v>
      </c>
      <c r="H15" s="21">
        <f t="shared" si="0"/>
        <v>228.97834640522873</v>
      </c>
      <c r="I15" s="16"/>
      <c r="J15" s="32" t="s">
        <v>179</v>
      </c>
      <c r="K15" s="18">
        <v>44.7</v>
      </c>
      <c r="L15" s="18">
        <v>35.76</v>
      </c>
      <c r="M15" s="18">
        <v>19.54</v>
      </c>
      <c r="N15" s="27">
        <v>36</v>
      </c>
      <c r="O15" s="19">
        <v>18</v>
      </c>
      <c r="P15" s="20">
        <v>30</v>
      </c>
      <c r="Q15" s="21">
        <f t="shared" si="1"/>
        <v>220.75999382716051</v>
      </c>
      <c r="R15" s="16"/>
      <c r="S15" s="32" t="s">
        <v>179</v>
      </c>
      <c r="T15" s="18">
        <v>43.82</v>
      </c>
      <c r="U15" s="18">
        <v>37.01</v>
      </c>
      <c r="V15" s="18">
        <v>19.170000000000002</v>
      </c>
      <c r="W15" s="27">
        <v>36</v>
      </c>
      <c r="X15" s="19">
        <v>19</v>
      </c>
      <c r="Y15" s="20">
        <v>30</v>
      </c>
      <c r="Z15" s="21">
        <f t="shared" si="2"/>
        <v>213.40673099415204</v>
      </c>
      <c r="AB15" s="32" t="s">
        <v>179</v>
      </c>
      <c r="AC15" s="33">
        <v>42.99</v>
      </c>
      <c r="AD15" s="33">
        <v>38.21</v>
      </c>
      <c r="AE15" s="33">
        <v>18.8</v>
      </c>
      <c r="AF15" s="27">
        <v>36</v>
      </c>
      <c r="AG15" s="19">
        <v>20</v>
      </c>
      <c r="AH15" s="20">
        <v>30</v>
      </c>
      <c r="AI15" s="21">
        <f t="shared" si="3"/>
        <v>206.78879444444442</v>
      </c>
    </row>
    <row r="16" spans="1:35" ht="10.5" customHeight="1" x14ac:dyDescent="0.25">
      <c r="A16" s="34"/>
      <c r="B16" s="23"/>
      <c r="C16" s="23"/>
      <c r="D16" s="23"/>
      <c r="E16" s="24"/>
      <c r="F16" s="24"/>
      <c r="G16" s="24"/>
      <c r="H16" s="23"/>
      <c r="I16" s="16"/>
      <c r="J16" s="34"/>
      <c r="K16" s="23"/>
      <c r="L16" s="23"/>
      <c r="M16" s="23"/>
      <c r="N16" s="23"/>
      <c r="O16" s="23"/>
      <c r="P16" s="23"/>
      <c r="Q16" s="23"/>
      <c r="R16" s="9"/>
      <c r="S16" s="34"/>
      <c r="T16" s="23"/>
      <c r="U16" s="23"/>
      <c r="V16" s="23"/>
      <c r="W16" s="23"/>
      <c r="X16" s="23"/>
      <c r="Y16" s="23"/>
      <c r="Z16" s="23"/>
      <c r="AB16" s="34"/>
      <c r="AC16" s="23"/>
      <c r="AD16" s="23"/>
      <c r="AE16" s="23"/>
      <c r="AF16" s="23"/>
      <c r="AG16" s="23"/>
      <c r="AH16" s="23"/>
      <c r="AI16" s="23"/>
    </row>
    <row r="17" spans="1:35" ht="9.75" customHeight="1" x14ac:dyDescent="0.25">
      <c r="A17" s="32" t="s">
        <v>180</v>
      </c>
      <c r="B17" s="18">
        <v>36.72</v>
      </c>
      <c r="C17" s="18">
        <v>23.13</v>
      </c>
      <c r="D17" s="18">
        <v>40.15</v>
      </c>
      <c r="E17" s="27">
        <v>30</v>
      </c>
      <c r="F17" s="19">
        <v>17</v>
      </c>
      <c r="G17" s="20">
        <v>10</v>
      </c>
      <c r="H17" s="21">
        <f t="shared" ref="H17:H26" si="4">63327.74/E17/F17+81.048+22671.36/G17/F17</f>
        <v>338.5809803921569</v>
      </c>
      <c r="I17" s="16"/>
      <c r="J17" s="32" t="s">
        <v>180</v>
      </c>
      <c r="K17" s="18">
        <v>36.229999999999997</v>
      </c>
      <c r="L17" s="18">
        <v>24.16</v>
      </c>
      <c r="M17" s="18">
        <v>39.61</v>
      </c>
      <c r="N17" s="27">
        <v>30</v>
      </c>
      <c r="O17" s="19">
        <v>18</v>
      </c>
      <c r="P17" s="24">
        <v>10</v>
      </c>
      <c r="Q17" s="21">
        <f t="shared" ref="Q17:Q26" si="5">63327.74/N17/O17+81.048+22671.36/P17/O17</f>
        <v>324.27359259259259</v>
      </c>
      <c r="R17" s="9"/>
      <c r="S17" s="32" t="s">
        <v>180</v>
      </c>
      <c r="T17" s="18">
        <v>35.75</v>
      </c>
      <c r="U17" s="18">
        <v>25.16</v>
      </c>
      <c r="V17" s="18">
        <v>39.090000000000003</v>
      </c>
      <c r="W17" s="27">
        <v>30</v>
      </c>
      <c r="X17" s="19">
        <v>19</v>
      </c>
      <c r="Y17" s="24">
        <v>10</v>
      </c>
      <c r="Z17" s="21">
        <f t="shared" ref="Z17:Z26" si="6">63327.74/W17/X17+81.048+22671.36/Y17/X17</f>
        <v>311.4722456140351</v>
      </c>
      <c r="AB17" s="32" t="s">
        <v>180</v>
      </c>
      <c r="AC17" s="18">
        <v>35.28</v>
      </c>
      <c r="AD17" s="18">
        <v>26.14</v>
      </c>
      <c r="AE17" s="18">
        <v>38.58</v>
      </c>
      <c r="AF17" s="27">
        <v>30</v>
      </c>
      <c r="AG17" s="19">
        <v>20</v>
      </c>
      <c r="AH17" s="24">
        <v>10</v>
      </c>
      <c r="AI17" s="21">
        <f t="shared" ref="AI17:AI26" si="7">63327.74/AF17/AG17+81.048+22671.36/AH17/AG17</f>
        <v>299.95103333333333</v>
      </c>
    </row>
    <row r="18" spans="1:35" ht="9.75" customHeight="1" x14ac:dyDescent="0.25">
      <c r="A18" s="32" t="s">
        <v>181</v>
      </c>
      <c r="B18" s="18">
        <v>39.36</v>
      </c>
      <c r="C18" s="18">
        <v>24.78</v>
      </c>
      <c r="D18" s="18">
        <v>35.86</v>
      </c>
      <c r="E18" s="27">
        <v>30</v>
      </c>
      <c r="F18" s="19">
        <v>17</v>
      </c>
      <c r="G18" s="20">
        <v>12</v>
      </c>
      <c r="H18" s="21">
        <f t="shared" si="4"/>
        <v>316.35415686274507</v>
      </c>
      <c r="I18" s="16"/>
      <c r="J18" s="32" t="s">
        <v>181</v>
      </c>
      <c r="K18" s="18">
        <v>38.79</v>
      </c>
      <c r="L18" s="18">
        <v>25.87</v>
      </c>
      <c r="M18" s="18">
        <v>35.340000000000003</v>
      </c>
      <c r="N18" s="27">
        <v>30</v>
      </c>
      <c r="O18" s="19">
        <v>18</v>
      </c>
      <c r="P18" s="24">
        <v>12</v>
      </c>
      <c r="Q18" s="21">
        <f t="shared" si="5"/>
        <v>303.28159259259257</v>
      </c>
      <c r="R18" s="9"/>
      <c r="S18" s="32" t="s">
        <v>181</v>
      </c>
      <c r="T18" s="18">
        <v>38.24</v>
      </c>
      <c r="U18" s="18">
        <v>26.92</v>
      </c>
      <c r="V18" s="18">
        <v>34.840000000000003</v>
      </c>
      <c r="W18" s="27">
        <v>30</v>
      </c>
      <c r="X18" s="19">
        <v>19</v>
      </c>
      <c r="Y18" s="24">
        <v>12</v>
      </c>
      <c r="Z18" s="21">
        <f t="shared" si="6"/>
        <v>291.58508771929826</v>
      </c>
      <c r="AB18" s="32" t="s">
        <v>181</v>
      </c>
      <c r="AC18" s="18">
        <v>37.71</v>
      </c>
      <c r="AD18" s="18">
        <v>27.93</v>
      </c>
      <c r="AE18" s="18">
        <v>34.36</v>
      </c>
      <c r="AF18" s="27">
        <v>30</v>
      </c>
      <c r="AG18" s="19">
        <v>20</v>
      </c>
      <c r="AH18" s="24">
        <v>12</v>
      </c>
      <c r="AI18" s="21">
        <f t="shared" si="7"/>
        <v>281.05823333333331</v>
      </c>
    </row>
    <row r="19" spans="1:35" ht="9.75" customHeight="1" x14ac:dyDescent="0.25">
      <c r="A19" s="32" t="s">
        <v>182</v>
      </c>
      <c r="B19" s="18">
        <v>41.48</v>
      </c>
      <c r="C19" s="18">
        <v>26.12</v>
      </c>
      <c r="D19" s="18">
        <v>32.4</v>
      </c>
      <c r="E19" s="27">
        <v>30</v>
      </c>
      <c r="F19" s="19">
        <v>17</v>
      </c>
      <c r="G19" s="20">
        <v>14</v>
      </c>
      <c r="H19" s="21">
        <f t="shared" si="4"/>
        <v>300.4778543417367</v>
      </c>
      <c r="I19" s="16"/>
      <c r="J19" s="32" t="s">
        <v>182</v>
      </c>
      <c r="K19" s="18">
        <v>40.86</v>
      </c>
      <c r="L19" s="18">
        <v>27.24</v>
      </c>
      <c r="M19" s="18">
        <v>31.9</v>
      </c>
      <c r="N19" s="27">
        <v>30</v>
      </c>
      <c r="O19" s="19">
        <v>18</v>
      </c>
      <c r="P19" s="24">
        <v>14</v>
      </c>
      <c r="Q19" s="21">
        <f t="shared" si="5"/>
        <v>288.28730687830688</v>
      </c>
      <c r="R19" s="9"/>
      <c r="S19" s="32" t="s">
        <v>182</v>
      </c>
      <c r="T19" s="18">
        <v>40.25</v>
      </c>
      <c r="U19" s="18">
        <v>28.32</v>
      </c>
      <c r="V19" s="18">
        <v>31.43</v>
      </c>
      <c r="W19" s="27">
        <v>30</v>
      </c>
      <c r="X19" s="19">
        <v>19</v>
      </c>
      <c r="Y19" s="24">
        <v>14</v>
      </c>
      <c r="Z19" s="21">
        <f t="shared" si="6"/>
        <v>277.37997493734338</v>
      </c>
      <c r="AB19" s="32" t="s">
        <v>182</v>
      </c>
      <c r="AC19" s="18">
        <v>39.659999999999997</v>
      </c>
      <c r="AD19" s="18">
        <v>29.37</v>
      </c>
      <c r="AE19" s="18">
        <v>30.97</v>
      </c>
      <c r="AF19" s="27">
        <v>30</v>
      </c>
      <c r="AG19" s="19">
        <v>20</v>
      </c>
      <c r="AH19" s="24">
        <v>14</v>
      </c>
      <c r="AI19" s="21">
        <f t="shared" si="7"/>
        <v>267.56337619047622</v>
      </c>
    </row>
    <row r="20" spans="1:35" ht="9.75" customHeight="1" x14ac:dyDescent="0.25">
      <c r="A20" s="32" t="s">
        <v>183</v>
      </c>
      <c r="B20" s="18">
        <v>43.23</v>
      </c>
      <c r="C20" s="18">
        <v>27.23</v>
      </c>
      <c r="D20" s="18">
        <v>29.54</v>
      </c>
      <c r="E20" s="27">
        <v>30</v>
      </c>
      <c r="F20" s="19">
        <v>17</v>
      </c>
      <c r="G20" s="20">
        <v>16</v>
      </c>
      <c r="H20" s="21">
        <f t="shared" si="4"/>
        <v>288.5706274509804</v>
      </c>
      <c r="I20" s="16"/>
      <c r="J20" s="32" t="s">
        <v>183</v>
      </c>
      <c r="K20" s="18">
        <v>42.55</v>
      </c>
      <c r="L20" s="18">
        <v>28.37</v>
      </c>
      <c r="M20" s="18">
        <v>29.08</v>
      </c>
      <c r="N20" s="27">
        <v>30</v>
      </c>
      <c r="O20" s="19">
        <v>18</v>
      </c>
      <c r="P20" s="24">
        <v>16</v>
      </c>
      <c r="Q20" s="21">
        <f t="shared" si="5"/>
        <v>277.04159259259256</v>
      </c>
      <c r="R20" s="9"/>
      <c r="S20" s="32" t="s">
        <v>183</v>
      </c>
      <c r="T20" s="18">
        <v>41.89</v>
      </c>
      <c r="U20" s="18">
        <v>29.48</v>
      </c>
      <c r="V20" s="18">
        <v>28.63</v>
      </c>
      <c r="W20" s="27">
        <v>30</v>
      </c>
      <c r="X20" s="19">
        <v>19</v>
      </c>
      <c r="Y20" s="24">
        <v>16</v>
      </c>
      <c r="Z20" s="21">
        <f t="shared" si="6"/>
        <v>266.72614035087719</v>
      </c>
      <c r="AB20" s="32" t="s">
        <v>183</v>
      </c>
      <c r="AC20" s="18">
        <v>41.25</v>
      </c>
      <c r="AD20" s="18">
        <v>30.56</v>
      </c>
      <c r="AE20" s="18">
        <v>28.19</v>
      </c>
      <c r="AF20" s="27">
        <v>30</v>
      </c>
      <c r="AG20" s="19">
        <v>20</v>
      </c>
      <c r="AH20" s="24">
        <v>16</v>
      </c>
      <c r="AI20" s="21">
        <f t="shared" si="7"/>
        <v>257.44223333333332</v>
      </c>
    </row>
    <row r="21" spans="1:35" ht="9.75" customHeight="1" x14ac:dyDescent="0.25">
      <c r="A21" s="32" t="s">
        <v>184</v>
      </c>
      <c r="B21" s="18">
        <v>44.7</v>
      </c>
      <c r="C21" s="18">
        <v>28.15</v>
      </c>
      <c r="D21" s="18">
        <v>27.15</v>
      </c>
      <c r="E21" s="27">
        <v>30</v>
      </c>
      <c r="F21" s="19">
        <v>17</v>
      </c>
      <c r="G21" s="20">
        <v>18</v>
      </c>
      <c r="H21" s="21">
        <f t="shared" si="4"/>
        <v>279.30945098039217</v>
      </c>
      <c r="I21" s="16"/>
      <c r="J21" s="32" t="s">
        <v>184</v>
      </c>
      <c r="K21" s="18">
        <v>43.97</v>
      </c>
      <c r="L21" s="18">
        <v>29.32</v>
      </c>
      <c r="M21" s="18">
        <v>26.71</v>
      </c>
      <c r="N21" s="27">
        <v>30</v>
      </c>
      <c r="O21" s="19">
        <v>18</v>
      </c>
      <c r="P21" s="24">
        <v>18</v>
      </c>
      <c r="Q21" s="21">
        <f t="shared" si="5"/>
        <v>268.2949259259259</v>
      </c>
      <c r="R21" s="9"/>
      <c r="S21" s="32" t="s">
        <v>184</v>
      </c>
      <c r="T21" s="18">
        <v>43.27</v>
      </c>
      <c r="U21" s="18">
        <v>30.45</v>
      </c>
      <c r="V21" s="18">
        <v>26.28</v>
      </c>
      <c r="W21" s="27">
        <v>30</v>
      </c>
      <c r="X21" s="19">
        <v>19</v>
      </c>
      <c r="Y21" s="24">
        <v>18</v>
      </c>
      <c r="Z21" s="21">
        <f t="shared" si="6"/>
        <v>258.4398245614035</v>
      </c>
      <c r="AB21" s="32" t="s">
        <v>184</v>
      </c>
      <c r="AC21" s="18">
        <v>42.59</v>
      </c>
      <c r="AD21" s="18">
        <v>31.55</v>
      </c>
      <c r="AE21" s="18">
        <v>25.86</v>
      </c>
      <c r="AF21" s="27">
        <v>30</v>
      </c>
      <c r="AG21" s="19">
        <v>20</v>
      </c>
      <c r="AH21" s="24">
        <v>18</v>
      </c>
      <c r="AI21" s="21">
        <f t="shared" si="7"/>
        <v>249.57023333333333</v>
      </c>
    </row>
    <row r="22" spans="1:35" ht="9.75" customHeight="1" x14ac:dyDescent="0.25">
      <c r="A22" s="32" t="s">
        <v>185</v>
      </c>
      <c r="B22" s="18">
        <v>45.95</v>
      </c>
      <c r="C22" s="18">
        <v>28.93</v>
      </c>
      <c r="D22" s="18">
        <v>25.12</v>
      </c>
      <c r="E22" s="27">
        <v>30</v>
      </c>
      <c r="F22" s="19">
        <v>17</v>
      </c>
      <c r="G22" s="20">
        <v>20</v>
      </c>
      <c r="H22" s="21">
        <f t="shared" si="4"/>
        <v>271.90050980392158</v>
      </c>
      <c r="I22" s="16"/>
      <c r="J22" s="32" t="s">
        <v>185</v>
      </c>
      <c r="K22" s="18">
        <v>45.18</v>
      </c>
      <c r="L22" s="18">
        <v>30.12</v>
      </c>
      <c r="M22" s="18">
        <v>24.7</v>
      </c>
      <c r="N22" s="27">
        <v>30</v>
      </c>
      <c r="O22" s="19">
        <v>18</v>
      </c>
      <c r="P22" s="24">
        <v>20</v>
      </c>
      <c r="Q22" s="21">
        <f t="shared" si="5"/>
        <v>261.29759259259259</v>
      </c>
      <c r="R22" s="9"/>
      <c r="S22" s="32" t="s">
        <v>185</v>
      </c>
      <c r="T22" s="18">
        <v>44.44</v>
      </c>
      <c r="U22" s="18">
        <v>31.27</v>
      </c>
      <c r="V22" s="18">
        <v>24.29</v>
      </c>
      <c r="W22" s="27">
        <v>30</v>
      </c>
      <c r="X22" s="19">
        <v>19</v>
      </c>
      <c r="Y22" s="24">
        <v>20</v>
      </c>
      <c r="Z22" s="21">
        <f t="shared" si="6"/>
        <v>251.81077192982457</v>
      </c>
      <c r="AB22" s="32" t="s">
        <v>185</v>
      </c>
      <c r="AC22" s="18">
        <v>43.72</v>
      </c>
      <c r="AD22" s="18">
        <v>32.380000000000003</v>
      </c>
      <c r="AE22" s="18">
        <v>23.9</v>
      </c>
      <c r="AF22" s="27">
        <v>30</v>
      </c>
      <c r="AG22" s="19">
        <v>20</v>
      </c>
      <c r="AH22" s="24">
        <v>20</v>
      </c>
      <c r="AI22" s="21">
        <f t="shared" si="7"/>
        <v>243.27263333333332</v>
      </c>
    </row>
    <row r="23" spans="1:35" ht="9.75" customHeight="1" x14ac:dyDescent="0.25">
      <c r="A23" s="32" t="s">
        <v>186</v>
      </c>
      <c r="B23" s="18">
        <v>47.95</v>
      </c>
      <c r="C23" s="18">
        <v>30.2</v>
      </c>
      <c r="D23" s="18">
        <v>21.85</v>
      </c>
      <c r="E23" s="27">
        <v>30</v>
      </c>
      <c r="F23" s="19">
        <v>17</v>
      </c>
      <c r="G23" s="20">
        <v>24</v>
      </c>
      <c r="H23" s="21">
        <f t="shared" si="4"/>
        <v>260.78709803921572</v>
      </c>
      <c r="I23" s="16"/>
      <c r="J23" s="32" t="s">
        <v>186</v>
      </c>
      <c r="K23" s="18">
        <v>47.12</v>
      </c>
      <c r="L23" s="18">
        <v>31.41</v>
      </c>
      <c r="M23" s="18">
        <v>21.47</v>
      </c>
      <c r="N23" s="27">
        <v>30</v>
      </c>
      <c r="O23" s="19">
        <v>18</v>
      </c>
      <c r="P23" s="24">
        <v>24</v>
      </c>
      <c r="Q23" s="21">
        <f t="shared" si="5"/>
        <v>250.80159259259258</v>
      </c>
      <c r="R23" s="9"/>
      <c r="S23" s="32" t="s">
        <v>186</v>
      </c>
      <c r="T23" s="18">
        <v>46.31</v>
      </c>
      <c r="U23" s="18">
        <v>32.590000000000003</v>
      </c>
      <c r="V23" s="18">
        <v>21.1</v>
      </c>
      <c r="W23" s="27">
        <v>30</v>
      </c>
      <c r="X23" s="19">
        <v>19</v>
      </c>
      <c r="Y23" s="24">
        <v>24</v>
      </c>
      <c r="Z23" s="21">
        <f t="shared" si="6"/>
        <v>241.86719298245615</v>
      </c>
      <c r="AB23" s="32" t="s">
        <v>186</v>
      </c>
      <c r="AC23" s="18">
        <v>45.53</v>
      </c>
      <c r="AD23" s="18">
        <v>33.729999999999997</v>
      </c>
      <c r="AE23" s="18">
        <v>20.74</v>
      </c>
      <c r="AF23" s="27">
        <v>30</v>
      </c>
      <c r="AG23" s="19">
        <v>20</v>
      </c>
      <c r="AH23" s="24">
        <v>24</v>
      </c>
      <c r="AI23" s="21">
        <f t="shared" si="7"/>
        <v>233.82623333333333</v>
      </c>
    </row>
    <row r="24" spans="1:35" ht="9.75" customHeight="1" x14ac:dyDescent="0.25">
      <c r="A24" s="32" t="s">
        <v>187</v>
      </c>
      <c r="B24" s="18">
        <v>48.78</v>
      </c>
      <c r="C24" s="18">
        <v>30.71</v>
      </c>
      <c r="D24" s="18">
        <v>20.51</v>
      </c>
      <c r="E24" s="27">
        <v>30</v>
      </c>
      <c r="F24" s="19">
        <v>17</v>
      </c>
      <c r="G24" s="20">
        <v>26</v>
      </c>
      <c r="H24" s="21">
        <f t="shared" si="4"/>
        <v>256.5127088989442</v>
      </c>
      <c r="I24" s="16"/>
      <c r="J24" s="32" t="s">
        <v>187</v>
      </c>
      <c r="K24" s="18">
        <v>47.91</v>
      </c>
      <c r="L24" s="18">
        <v>31.94</v>
      </c>
      <c r="M24" s="18">
        <v>20.149999999999999</v>
      </c>
      <c r="N24" s="27">
        <v>30</v>
      </c>
      <c r="O24" s="19">
        <v>18</v>
      </c>
      <c r="P24" s="24">
        <v>26</v>
      </c>
      <c r="Q24" s="21">
        <f t="shared" si="5"/>
        <v>246.76466951566951</v>
      </c>
      <c r="R24" s="9"/>
      <c r="S24" s="32" t="s">
        <v>187</v>
      </c>
      <c r="T24" s="18">
        <v>47.08</v>
      </c>
      <c r="U24" s="18">
        <v>33.119999999999997</v>
      </c>
      <c r="V24" s="18">
        <v>19.8</v>
      </c>
      <c r="W24" s="27">
        <v>30</v>
      </c>
      <c r="X24" s="19">
        <v>19</v>
      </c>
      <c r="Y24" s="24">
        <v>26</v>
      </c>
      <c r="Z24" s="21">
        <f t="shared" si="6"/>
        <v>238.04273954116059</v>
      </c>
      <c r="AB24" s="32" t="s">
        <v>187</v>
      </c>
      <c r="AC24" s="18">
        <v>46.27</v>
      </c>
      <c r="AD24" s="18">
        <v>34.270000000000003</v>
      </c>
      <c r="AE24" s="18">
        <v>19.46</v>
      </c>
      <c r="AF24" s="27">
        <v>30</v>
      </c>
      <c r="AG24" s="19">
        <v>20</v>
      </c>
      <c r="AH24" s="24">
        <v>26</v>
      </c>
      <c r="AI24" s="21">
        <f t="shared" si="7"/>
        <v>230.19300256410258</v>
      </c>
    </row>
    <row r="25" spans="1:35" ht="9.75" customHeight="1" x14ac:dyDescent="0.25">
      <c r="A25" s="32" t="s">
        <v>188</v>
      </c>
      <c r="B25" s="18">
        <v>49.5</v>
      </c>
      <c r="C25" s="18">
        <v>31.17</v>
      </c>
      <c r="D25" s="18">
        <v>19.329999999999998</v>
      </c>
      <c r="E25" s="27">
        <v>30</v>
      </c>
      <c r="F25" s="19">
        <v>17</v>
      </c>
      <c r="G25" s="20">
        <v>28</v>
      </c>
      <c r="H25" s="21">
        <f t="shared" si="4"/>
        <v>252.84894677871148</v>
      </c>
      <c r="I25" s="16"/>
      <c r="J25" s="32" t="s">
        <v>188</v>
      </c>
      <c r="K25" s="18">
        <v>48.61</v>
      </c>
      <c r="L25" s="18">
        <v>32.409999999999997</v>
      </c>
      <c r="M25" s="18">
        <v>18.98</v>
      </c>
      <c r="N25" s="27">
        <v>30</v>
      </c>
      <c r="O25" s="19">
        <v>18</v>
      </c>
      <c r="P25" s="24">
        <v>28</v>
      </c>
      <c r="Q25" s="21">
        <f t="shared" si="5"/>
        <v>243.30444973544974</v>
      </c>
      <c r="R25" s="9"/>
      <c r="S25" s="32" t="s">
        <v>188</v>
      </c>
      <c r="T25" s="18">
        <v>47.75</v>
      </c>
      <c r="U25" s="18">
        <v>33.6</v>
      </c>
      <c r="V25" s="18">
        <v>18.649999999999999</v>
      </c>
      <c r="W25" s="27">
        <v>30</v>
      </c>
      <c r="X25" s="19">
        <v>19</v>
      </c>
      <c r="Y25" s="24">
        <v>28</v>
      </c>
      <c r="Z25" s="21">
        <f t="shared" si="6"/>
        <v>234.76463659147871</v>
      </c>
      <c r="AB25" s="32" t="s">
        <v>188</v>
      </c>
      <c r="AC25" s="18">
        <v>46.92</v>
      </c>
      <c r="AD25" s="18">
        <v>34.76</v>
      </c>
      <c r="AE25" s="18">
        <v>18.32</v>
      </c>
      <c r="AF25" s="27">
        <v>30</v>
      </c>
      <c r="AG25" s="19">
        <v>20</v>
      </c>
      <c r="AH25" s="24">
        <v>28</v>
      </c>
      <c r="AI25" s="21">
        <f t="shared" si="7"/>
        <v>227.07880476190476</v>
      </c>
    </row>
    <row r="26" spans="1:35" ht="9.75" customHeight="1" x14ac:dyDescent="0.25">
      <c r="A26" s="32" t="s">
        <v>189</v>
      </c>
      <c r="B26" s="18">
        <v>50.14</v>
      </c>
      <c r="C26" s="18">
        <v>31.58</v>
      </c>
      <c r="D26" s="18">
        <v>18.28</v>
      </c>
      <c r="E26" s="27">
        <v>30</v>
      </c>
      <c r="F26" s="19">
        <v>17</v>
      </c>
      <c r="G26" s="20">
        <v>30</v>
      </c>
      <c r="H26" s="21">
        <f t="shared" si="4"/>
        <v>249.67368627450981</v>
      </c>
      <c r="I26" s="16"/>
      <c r="J26" s="32" t="s">
        <v>189</v>
      </c>
      <c r="K26" s="18">
        <v>49.23</v>
      </c>
      <c r="L26" s="18">
        <v>32.83</v>
      </c>
      <c r="M26" s="18">
        <v>17.940000000000001</v>
      </c>
      <c r="N26" s="27">
        <v>30</v>
      </c>
      <c r="O26" s="19">
        <v>18</v>
      </c>
      <c r="P26" s="24">
        <v>30</v>
      </c>
      <c r="Q26" s="21">
        <f t="shared" si="5"/>
        <v>240.3055925925926</v>
      </c>
      <c r="R26" s="9"/>
      <c r="S26" s="32" t="s">
        <v>189</v>
      </c>
      <c r="T26" s="18">
        <v>48.35</v>
      </c>
      <c r="U26" s="18">
        <v>34.03</v>
      </c>
      <c r="V26" s="18">
        <v>17.62</v>
      </c>
      <c r="W26" s="27">
        <v>30</v>
      </c>
      <c r="X26" s="19">
        <v>19</v>
      </c>
      <c r="Y26" s="24">
        <v>30</v>
      </c>
      <c r="Z26" s="21">
        <f t="shared" si="6"/>
        <v>231.92361403508772</v>
      </c>
      <c r="AB26" s="32" t="s">
        <v>189</v>
      </c>
      <c r="AC26" s="18">
        <v>47.5</v>
      </c>
      <c r="AD26" s="18">
        <v>35.19</v>
      </c>
      <c r="AE26" s="18">
        <v>17.309999999999999</v>
      </c>
      <c r="AF26" s="27">
        <v>30</v>
      </c>
      <c r="AG26" s="19">
        <v>20</v>
      </c>
      <c r="AH26" s="24">
        <v>30</v>
      </c>
      <c r="AI26" s="21">
        <f t="shared" si="7"/>
        <v>224.37983333333335</v>
      </c>
    </row>
    <row r="27" spans="1:35" ht="10.5" customHeight="1" x14ac:dyDescent="0.25">
      <c r="A27" s="34"/>
      <c r="B27" s="23"/>
      <c r="C27" s="23"/>
      <c r="D27" s="23"/>
      <c r="E27" s="24"/>
      <c r="F27" s="24"/>
      <c r="G27" s="24"/>
      <c r="H27" s="23"/>
      <c r="I27" s="16"/>
      <c r="J27" s="34"/>
      <c r="K27" s="23"/>
      <c r="L27" s="23"/>
      <c r="M27" s="23"/>
      <c r="N27" s="23"/>
      <c r="O27" s="23"/>
      <c r="P27" s="23"/>
      <c r="Q27" s="23"/>
      <c r="R27" s="9"/>
      <c r="S27" s="34"/>
      <c r="T27" s="23"/>
      <c r="U27" s="23"/>
      <c r="V27" s="23"/>
      <c r="W27" s="23"/>
      <c r="X27" s="23"/>
      <c r="Y27" s="23"/>
      <c r="Z27" s="23"/>
      <c r="AB27" s="34"/>
      <c r="AC27" s="23"/>
      <c r="AD27" s="23"/>
      <c r="AE27" s="23"/>
      <c r="AF27" s="23"/>
      <c r="AG27" s="23"/>
      <c r="AH27" s="23"/>
      <c r="AI27" s="23"/>
    </row>
    <row r="28" spans="1:35" ht="9.75" customHeight="1" x14ac:dyDescent="0.25">
      <c r="A28" s="32" t="s">
        <v>190</v>
      </c>
      <c r="B28" s="18">
        <v>38.340000000000003</v>
      </c>
      <c r="C28" s="18">
        <v>22.53</v>
      </c>
      <c r="D28" s="18">
        <v>39.130000000000003</v>
      </c>
      <c r="E28" s="27">
        <v>28</v>
      </c>
      <c r="F28" s="19">
        <v>17</v>
      </c>
      <c r="G28" s="20">
        <v>10</v>
      </c>
      <c r="H28" s="21">
        <f t="shared" ref="H28:H37" si="8">63327.74/E28/F28+81.048+22671.36/G28/F28</f>
        <v>347.4504117647059</v>
      </c>
      <c r="I28" s="16"/>
      <c r="J28" s="32" t="s">
        <v>190</v>
      </c>
      <c r="K28" s="18">
        <v>37.840000000000003</v>
      </c>
      <c r="L28" s="18">
        <v>23.55</v>
      </c>
      <c r="M28" s="18">
        <v>38.61</v>
      </c>
      <c r="N28" s="27">
        <v>28</v>
      </c>
      <c r="O28" s="19">
        <v>18</v>
      </c>
      <c r="P28" s="20">
        <v>10</v>
      </c>
      <c r="Q28" s="21">
        <f t="shared" ref="Q28:Q37" si="9">63327.74/N28/O28+81.048+22671.36/P28/O28</f>
        <v>332.65027777777777</v>
      </c>
      <c r="R28" s="9"/>
      <c r="S28" s="32" t="s">
        <v>190</v>
      </c>
      <c r="T28" s="18">
        <v>37.35</v>
      </c>
      <c r="U28" s="18">
        <v>24.53</v>
      </c>
      <c r="V28" s="18">
        <v>38.119999999999997</v>
      </c>
      <c r="W28" s="27">
        <v>28</v>
      </c>
      <c r="X28" s="19">
        <v>19</v>
      </c>
      <c r="Y28" s="20">
        <v>10</v>
      </c>
      <c r="Z28" s="21">
        <f t="shared" ref="Z28:Z37" si="10">63327.74/W28/X28+81.048+22671.36/Y28/X28</f>
        <v>319.40805263157898</v>
      </c>
      <c r="AB28" s="32" t="s">
        <v>190</v>
      </c>
      <c r="AC28" s="18">
        <v>36.880000000000003</v>
      </c>
      <c r="AD28" s="18">
        <v>25.49</v>
      </c>
      <c r="AE28" s="18">
        <v>37.630000000000003</v>
      </c>
      <c r="AF28" s="27">
        <v>28</v>
      </c>
      <c r="AG28" s="19">
        <v>20</v>
      </c>
      <c r="AH28" s="20">
        <v>10</v>
      </c>
      <c r="AI28" s="21">
        <f t="shared" ref="AI28:AI37" si="11">63327.74/AF28/AG28+81.048+22671.36/AH28/AG28</f>
        <v>307.49005</v>
      </c>
    </row>
    <row r="29" spans="1:35" ht="9.75" customHeight="1" x14ac:dyDescent="0.25">
      <c r="A29" s="32" t="s">
        <v>191</v>
      </c>
      <c r="B29" s="18">
        <v>41.02</v>
      </c>
      <c r="C29" s="18">
        <v>24.1</v>
      </c>
      <c r="D29" s="18">
        <v>34.880000000000003</v>
      </c>
      <c r="E29" s="27">
        <v>28</v>
      </c>
      <c r="F29" s="19">
        <v>17</v>
      </c>
      <c r="G29" s="20">
        <v>12</v>
      </c>
      <c r="H29" s="21">
        <f t="shared" si="8"/>
        <v>325.22358823529407</v>
      </c>
      <c r="I29" s="16"/>
      <c r="J29" s="32" t="s">
        <v>191</v>
      </c>
      <c r="K29" s="18">
        <v>40.44</v>
      </c>
      <c r="L29" s="18">
        <v>25.17</v>
      </c>
      <c r="M29" s="18">
        <v>34.39</v>
      </c>
      <c r="N29" s="27">
        <v>28</v>
      </c>
      <c r="O29" s="19">
        <v>18</v>
      </c>
      <c r="P29" s="20">
        <v>12</v>
      </c>
      <c r="Q29" s="21">
        <f t="shared" si="9"/>
        <v>311.65827777777776</v>
      </c>
      <c r="R29" s="9"/>
      <c r="S29" s="32" t="s">
        <v>191</v>
      </c>
      <c r="T29" s="18">
        <v>39.880000000000003</v>
      </c>
      <c r="U29" s="18">
        <v>26.2</v>
      </c>
      <c r="V29" s="18">
        <v>33.92</v>
      </c>
      <c r="W29" s="27">
        <v>28</v>
      </c>
      <c r="X29" s="19">
        <v>19</v>
      </c>
      <c r="Y29" s="20">
        <v>12</v>
      </c>
      <c r="Z29" s="21">
        <f t="shared" si="10"/>
        <v>299.52089473684214</v>
      </c>
      <c r="AB29" s="32" t="s">
        <v>191</v>
      </c>
      <c r="AC29" s="18">
        <v>39.340000000000003</v>
      </c>
      <c r="AD29" s="18">
        <v>27.2</v>
      </c>
      <c r="AE29" s="18">
        <v>33.46</v>
      </c>
      <c r="AF29" s="27">
        <v>28</v>
      </c>
      <c r="AG29" s="19">
        <v>20</v>
      </c>
      <c r="AH29" s="20">
        <v>12</v>
      </c>
      <c r="AI29" s="21">
        <f t="shared" si="11"/>
        <v>288.59725000000003</v>
      </c>
    </row>
    <row r="30" spans="1:35" ht="9.75" customHeight="1" x14ac:dyDescent="0.25">
      <c r="A30" s="32" t="s">
        <v>192</v>
      </c>
      <c r="B30" s="18">
        <v>43.17</v>
      </c>
      <c r="C30" s="18">
        <v>25.37</v>
      </c>
      <c r="D30" s="18">
        <v>31.46</v>
      </c>
      <c r="E30" s="27">
        <v>28</v>
      </c>
      <c r="F30" s="19">
        <v>17</v>
      </c>
      <c r="G30" s="20">
        <v>14</v>
      </c>
      <c r="H30" s="21">
        <f t="shared" si="8"/>
        <v>309.3472857142857</v>
      </c>
      <c r="I30" s="16"/>
      <c r="J30" s="32" t="s">
        <v>192</v>
      </c>
      <c r="K30" s="18">
        <v>42.53</v>
      </c>
      <c r="L30" s="18">
        <v>26.47</v>
      </c>
      <c r="M30" s="18">
        <v>31</v>
      </c>
      <c r="N30" s="27">
        <v>28</v>
      </c>
      <c r="O30" s="19">
        <v>18</v>
      </c>
      <c r="P30" s="20">
        <v>14</v>
      </c>
      <c r="Q30" s="21">
        <f t="shared" si="9"/>
        <v>296.66399206349206</v>
      </c>
      <c r="R30" s="9"/>
      <c r="S30" s="32" t="s">
        <v>192</v>
      </c>
      <c r="T30" s="18">
        <v>41.92</v>
      </c>
      <c r="U30" s="18">
        <v>27.53</v>
      </c>
      <c r="V30" s="18">
        <v>30.55</v>
      </c>
      <c r="W30" s="27">
        <v>28</v>
      </c>
      <c r="X30" s="19">
        <v>19</v>
      </c>
      <c r="Y30" s="20">
        <v>14</v>
      </c>
      <c r="Z30" s="21">
        <f t="shared" si="10"/>
        <v>285.31578195488726</v>
      </c>
      <c r="AB30" s="32" t="s">
        <v>192</v>
      </c>
      <c r="AC30" s="18">
        <v>41.32</v>
      </c>
      <c r="AD30" s="18">
        <v>28.57</v>
      </c>
      <c r="AE30" s="18">
        <v>30.11</v>
      </c>
      <c r="AF30" s="27">
        <v>28</v>
      </c>
      <c r="AG30" s="19">
        <v>20</v>
      </c>
      <c r="AH30" s="20">
        <v>14</v>
      </c>
      <c r="AI30" s="21">
        <f t="shared" si="11"/>
        <v>275.10239285714283</v>
      </c>
    </row>
    <row r="31" spans="1:35" ht="9.75" customHeight="1" x14ac:dyDescent="0.25">
      <c r="A31" s="32" t="s">
        <v>193</v>
      </c>
      <c r="B31" s="18">
        <v>44.94</v>
      </c>
      <c r="C31" s="18">
        <v>26.41</v>
      </c>
      <c r="D31" s="18">
        <v>28.65</v>
      </c>
      <c r="E31" s="27">
        <v>28</v>
      </c>
      <c r="F31" s="19">
        <v>17</v>
      </c>
      <c r="G31" s="20">
        <v>16</v>
      </c>
      <c r="H31" s="21">
        <f t="shared" si="8"/>
        <v>297.4400588235294</v>
      </c>
      <c r="I31" s="16"/>
      <c r="J31" s="32" t="s">
        <v>193</v>
      </c>
      <c r="K31" s="18">
        <v>44.25</v>
      </c>
      <c r="L31" s="18">
        <v>27.53</v>
      </c>
      <c r="M31" s="18">
        <v>28.22</v>
      </c>
      <c r="N31" s="27">
        <v>28</v>
      </c>
      <c r="O31" s="19">
        <v>18</v>
      </c>
      <c r="P31" s="20">
        <v>16</v>
      </c>
      <c r="Q31" s="21">
        <f t="shared" si="9"/>
        <v>285.4182777777778</v>
      </c>
      <c r="R31" s="9"/>
      <c r="S31" s="32" t="s">
        <v>193</v>
      </c>
      <c r="T31" s="18">
        <v>43.58</v>
      </c>
      <c r="U31" s="18">
        <v>28.62</v>
      </c>
      <c r="V31" s="18">
        <v>27.8</v>
      </c>
      <c r="W31" s="27">
        <v>28</v>
      </c>
      <c r="X31" s="19">
        <v>19</v>
      </c>
      <c r="Y31" s="20">
        <v>16</v>
      </c>
      <c r="Z31" s="21">
        <f t="shared" si="10"/>
        <v>274.66194736842107</v>
      </c>
      <c r="AB31" s="32" t="s">
        <v>193</v>
      </c>
      <c r="AC31" s="18">
        <v>42.93</v>
      </c>
      <c r="AD31" s="18">
        <v>29.69</v>
      </c>
      <c r="AE31" s="18">
        <v>27.38</v>
      </c>
      <c r="AF31" s="27">
        <v>28</v>
      </c>
      <c r="AG31" s="19">
        <v>20</v>
      </c>
      <c r="AH31" s="20">
        <v>16</v>
      </c>
      <c r="AI31" s="21">
        <f t="shared" si="11"/>
        <v>264.98124999999999</v>
      </c>
    </row>
    <row r="32" spans="1:35" ht="9.75" customHeight="1" x14ac:dyDescent="0.25">
      <c r="A32" s="32" t="s">
        <v>194</v>
      </c>
      <c r="B32" s="18">
        <v>46.41</v>
      </c>
      <c r="C32" s="18">
        <v>27.28</v>
      </c>
      <c r="D32" s="18">
        <v>26.31</v>
      </c>
      <c r="E32" s="27">
        <v>28</v>
      </c>
      <c r="F32" s="19">
        <v>17</v>
      </c>
      <c r="G32" s="20">
        <v>18</v>
      </c>
      <c r="H32" s="21">
        <f t="shared" si="8"/>
        <v>288.17888235294117</v>
      </c>
      <c r="I32" s="16"/>
      <c r="J32" s="32" t="s">
        <v>194</v>
      </c>
      <c r="K32" s="18">
        <v>45.68</v>
      </c>
      <c r="L32" s="18">
        <v>28.42</v>
      </c>
      <c r="M32" s="18">
        <v>25.9</v>
      </c>
      <c r="N32" s="27">
        <v>28</v>
      </c>
      <c r="O32" s="19">
        <v>18</v>
      </c>
      <c r="P32" s="20">
        <v>18</v>
      </c>
      <c r="Q32" s="21">
        <f t="shared" si="9"/>
        <v>276.67161111111113</v>
      </c>
      <c r="R32" s="9"/>
      <c r="S32" s="32" t="s">
        <v>194</v>
      </c>
      <c r="T32" s="18">
        <v>44.97</v>
      </c>
      <c r="U32" s="18">
        <v>29.54</v>
      </c>
      <c r="V32" s="18">
        <v>25.49</v>
      </c>
      <c r="W32" s="27">
        <v>28</v>
      </c>
      <c r="X32" s="19">
        <v>19</v>
      </c>
      <c r="Y32" s="20">
        <v>18</v>
      </c>
      <c r="Z32" s="21">
        <f t="shared" si="10"/>
        <v>266.37563157894738</v>
      </c>
      <c r="AB32" s="32" t="s">
        <v>194</v>
      </c>
      <c r="AC32" s="18">
        <v>44.28</v>
      </c>
      <c r="AD32" s="18">
        <v>30.62</v>
      </c>
      <c r="AE32" s="18">
        <v>25.1</v>
      </c>
      <c r="AF32" s="27">
        <v>28</v>
      </c>
      <c r="AG32" s="19">
        <v>20</v>
      </c>
      <c r="AH32" s="20">
        <v>18</v>
      </c>
      <c r="AI32" s="21">
        <f t="shared" si="11"/>
        <v>257.10924999999997</v>
      </c>
    </row>
    <row r="33" spans="1:35" ht="9.75" customHeight="1" x14ac:dyDescent="0.25">
      <c r="A33" s="32" t="s">
        <v>195</v>
      </c>
      <c r="B33" s="18">
        <v>47.67</v>
      </c>
      <c r="C33" s="18">
        <v>28.01</v>
      </c>
      <c r="D33" s="18">
        <v>24.32</v>
      </c>
      <c r="E33" s="27">
        <v>28</v>
      </c>
      <c r="F33" s="19">
        <v>17</v>
      </c>
      <c r="G33" s="20">
        <v>20</v>
      </c>
      <c r="H33" s="21">
        <f t="shared" si="8"/>
        <v>280.76994117647058</v>
      </c>
      <c r="I33" s="16"/>
      <c r="J33" s="32" t="s">
        <v>195</v>
      </c>
      <c r="K33" s="18">
        <v>46.89</v>
      </c>
      <c r="L33" s="18">
        <v>29.18</v>
      </c>
      <c r="M33" s="18">
        <v>23.93</v>
      </c>
      <c r="N33" s="27">
        <v>28</v>
      </c>
      <c r="O33" s="19">
        <v>18</v>
      </c>
      <c r="P33" s="20">
        <v>20</v>
      </c>
      <c r="Q33" s="21">
        <f t="shared" si="9"/>
        <v>269.67427777777777</v>
      </c>
      <c r="R33" s="9"/>
      <c r="S33" s="32" t="s">
        <v>195</v>
      </c>
      <c r="T33" s="18">
        <v>46.15</v>
      </c>
      <c r="U33" s="18">
        <v>30.31</v>
      </c>
      <c r="V33" s="18">
        <v>23.54</v>
      </c>
      <c r="W33" s="27">
        <v>28</v>
      </c>
      <c r="X33" s="19">
        <v>19</v>
      </c>
      <c r="Y33" s="20">
        <v>20</v>
      </c>
      <c r="Z33" s="21">
        <f t="shared" si="10"/>
        <v>259.74657894736845</v>
      </c>
      <c r="AB33" s="32" t="s">
        <v>195</v>
      </c>
      <c r="AC33" s="18">
        <v>45.42</v>
      </c>
      <c r="AD33" s="18">
        <v>31.4</v>
      </c>
      <c r="AE33" s="18">
        <v>23.18</v>
      </c>
      <c r="AF33" s="27">
        <v>28</v>
      </c>
      <c r="AG33" s="19">
        <v>20</v>
      </c>
      <c r="AH33" s="20">
        <v>20</v>
      </c>
      <c r="AI33" s="21">
        <f t="shared" si="11"/>
        <v>250.81164999999999</v>
      </c>
    </row>
    <row r="34" spans="1:35" ht="9.75" customHeight="1" x14ac:dyDescent="0.25">
      <c r="A34" s="32" t="s">
        <v>196</v>
      </c>
      <c r="B34" s="18">
        <v>49.68</v>
      </c>
      <c r="C34" s="18">
        <v>29.2</v>
      </c>
      <c r="D34" s="18">
        <v>21.12</v>
      </c>
      <c r="E34" s="27">
        <v>28</v>
      </c>
      <c r="F34" s="19">
        <v>17</v>
      </c>
      <c r="G34" s="20">
        <v>24</v>
      </c>
      <c r="H34" s="21">
        <f t="shared" si="8"/>
        <v>269.65652941176472</v>
      </c>
      <c r="I34" s="16"/>
      <c r="J34" s="32" t="s">
        <v>196</v>
      </c>
      <c r="K34" s="18">
        <v>48.84</v>
      </c>
      <c r="L34" s="18">
        <v>30.39</v>
      </c>
      <c r="M34" s="18">
        <v>20.77</v>
      </c>
      <c r="N34" s="27">
        <v>28</v>
      </c>
      <c r="O34" s="19">
        <v>18</v>
      </c>
      <c r="P34" s="20">
        <v>24</v>
      </c>
      <c r="Q34" s="21">
        <f t="shared" si="9"/>
        <v>259.17827777777779</v>
      </c>
      <c r="R34" s="9"/>
      <c r="S34" s="32" t="s">
        <v>196</v>
      </c>
      <c r="T34" s="18">
        <v>48.03</v>
      </c>
      <c r="U34" s="18">
        <v>31.55</v>
      </c>
      <c r="V34" s="18">
        <v>20.420000000000002</v>
      </c>
      <c r="W34" s="27">
        <v>28</v>
      </c>
      <c r="X34" s="19">
        <v>19</v>
      </c>
      <c r="Y34" s="20">
        <v>24</v>
      </c>
      <c r="Z34" s="21">
        <f t="shared" si="10"/>
        <v>249.80300000000003</v>
      </c>
      <c r="AB34" s="32" t="s">
        <v>196</v>
      </c>
      <c r="AC34" s="18">
        <v>47.25</v>
      </c>
      <c r="AD34" s="18">
        <v>32.659999999999997</v>
      </c>
      <c r="AE34" s="18">
        <v>20.09</v>
      </c>
      <c r="AF34" s="27">
        <v>28</v>
      </c>
      <c r="AG34" s="19">
        <v>20</v>
      </c>
      <c r="AH34" s="20">
        <v>24</v>
      </c>
      <c r="AI34" s="21">
        <f t="shared" si="11"/>
        <v>241.36525</v>
      </c>
    </row>
    <row r="35" spans="1:35" ht="9.75" customHeight="1" x14ac:dyDescent="0.25">
      <c r="A35" s="32" t="s">
        <v>197</v>
      </c>
      <c r="B35" s="18">
        <v>50.5</v>
      </c>
      <c r="C35" s="18">
        <v>29.68</v>
      </c>
      <c r="D35" s="18">
        <v>19.82</v>
      </c>
      <c r="E35" s="27">
        <v>28</v>
      </c>
      <c r="F35" s="19">
        <v>17</v>
      </c>
      <c r="G35" s="20">
        <v>26</v>
      </c>
      <c r="H35" s="21">
        <f t="shared" si="8"/>
        <v>265.3821402714932</v>
      </c>
      <c r="I35" s="16"/>
      <c r="J35" s="32" t="s">
        <v>197</v>
      </c>
      <c r="K35" s="18">
        <v>49.64</v>
      </c>
      <c r="L35" s="18">
        <v>30.88</v>
      </c>
      <c r="M35" s="18">
        <v>19.48</v>
      </c>
      <c r="N35" s="27">
        <v>28</v>
      </c>
      <c r="O35" s="19">
        <v>18</v>
      </c>
      <c r="P35" s="20">
        <v>26</v>
      </c>
      <c r="Q35" s="21">
        <f t="shared" si="9"/>
        <v>255.14135470085469</v>
      </c>
      <c r="R35" s="9"/>
      <c r="S35" s="32" t="s">
        <v>197</v>
      </c>
      <c r="T35" s="18">
        <v>48.8</v>
      </c>
      <c r="U35" s="18">
        <v>32.049999999999997</v>
      </c>
      <c r="V35" s="18">
        <v>19.149999999999999</v>
      </c>
      <c r="W35" s="27">
        <v>28</v>
      </c>
      <c r="X35" s="19">
        <v>19</v>
      </c>
      <c r="Y35" s="20">
        <v>26</v>
      </c>
      <c r="Z35" s="21">
        <f t="shared" si="10"/>
        <v>245.97854655870447</v>
      </c>
      <c r="AB35" s="32" t="s">
        <v>197</v>
      </c>
      <c r="AC35" s="18">
        <v>47.99</v>
      </c>
      <c r="AD35" s="18">
        <v>33.18</v>
      </c>
      <c r="AE35" s="18">
        <v>18.829999999999998</v>
      </c>
      <c r="AF35" s="27">
        <v>28</v>
      </c>
      <c r="AG35" s="19">
        <v>20</v>
      </c>
      <c r="AH35" s="20">
        <v>26</v>
      </c>
      <c r="AI35" s="21">
        <f t="shared" si="11"/>
        <v>237.73201923076925</v>
      </c>
    </row>
    <row r="36" spans="1:35" ht="9.75" customHeight="1" x14ac:dyDescent="0.25">
      <c r="A36" s="32" t="s">
        <v>198</v>
      </c>
      <c r="B36" s="18">
        <v>51.23</v>
      </c>
      <c r="C36" s="18">
        <v>30.1</v>
      </c>
      <c r="D36" s="18">
        <v>18.670000000000002</v>
      </c>
      <c r="E36" s="27">
        <v>28</v>
      </c>
      <c r="F36" s="19">
        <v>17</v>
      </c>
      <c r="G36" s="20">
        <v>28</v>
      </c>
      <c r="H36" s="21">
        <f t="shared" si="8"/>
        <v>261.71837815126048</v>
      </c>
      <c r="I36" s="16"/>
      <c r="J36" s="32" t="s">
        <v>198</v>
      </c>
      <c r="K36" s="18">
        <v>50.34</v>
      </c>
      <c r="L36" s="18">
        <v>31.32</v>
      </c>
      <c r="M36" s="18">
        <v>18.34</v>
      </c>
      <c r="N36" s="27">
        <v>28</v>
      </c>
      <c r="O36" s="19">
        <v>18</v>
      </c>
      <c r="P36" s="20">
        <v>28</v>
      </c>
      <c r="Q36" s="21">
        <f t="shared" si="9"/>
        <v>251.68113492063492</v>
      </c>
      <c r="R36" s="9"/>
      <c r="S36" s="32" t="s">
        <v>198</v>
      </c>
      <c r="T36" s="18">
        <v>49.47</v>
      </c>
      <c r="U36" s="18">
        <v>32.5</v>
      </c>
      <c r="V36" s="18">
        <v>18.03</v>
      </c>
      <c r="W36" s="27">
        <v>28</v>
      </c>
      <c r="X36" s="19">
        <v>19</v>
      </c>
      <c r="Y36" s="20">
        <v>28</v>
      </c>
      <c r="Z36" s="21">
        <f t="shared" si="10"/>
        <v>242.70044360902259</v>
      </c>
      <c r="AB36" s="32" t="s">
        <v>198</v>
      </c>
      <c r="AC36" s="18">
        <v>48.64</v>
      </c>
      <c r="AD36" s="18">
        <v>33.630000000000003</v>
      </c>
      <c r="AE36" s="18">
        <v>17.73</v>
      </c>
      <c r="AF36" s="27">
        <v>28</v>
      </c>
      <c r="AG36" s="19">
        <v>20</v>
      </c>
      <c r="AH36" s="20">
        <v>28</v>
      </c>
      <c r="AI36" s="21">
        <f t="shared" si="11"/>
        <v>234.61782142857143</v>
      </c>
    </row>
    <row r="37" spans="1:35" ht="9.75" customHeight="1" x14ac:dyDescent="0.25">
      <c r="A37" s="32" t="s">
        <v>199</v>
      </c>
      <c r="B37" s="18">
        <v>51.87</v>
      </c>
      <c r="C37" s="18">
        <v>30.49</v>
      </c>
      <c r="D37" s="18">
        <v>17.64</v>
      </c>
      <c r="E37" s="27">
        <v>28</v>
      </c>
      <c r="F37" s="19">
        <v>17</v>
      </c>
      <c r="G37" s="20">
        <v>30</v>
      </c>
      <c r="H37" s="21">
        <f t="shared" si="8"/>
        <v>258.54311764705881</v>
      </c>
      <c r="I37" s="16"/>
      <c r="J37" s="32" t="s">
        <v>199</v>
      </c>
      <c r="K37" s="18">
        <v>50.96</v>
      </c>
      <c r="L37" s="18">
        <v>31.71</v>
      </c>
      <c r="M37" s="18">
        <v>17.329999999999998</v>
      </c>
      <c r="N37" s="27">
        <v>28</v>
      </c>
      <c r="O37" s="19">
        <v>18</v>
      </c>
      <c r="P37" s="20">
        <v>30</v>
      </c>
      <c r="Q37" s="21">
        <f t="shared" si="9"/>
        <v>248.68227777777778</v>
      </c>
      <c r="R37" s="9"/>
      <c r="S37" s="32" t="s">
        <v>199</v>
      </c>
      <c r="T37" s="18">
        <v>50.08</v>
      </c>
      <c r="U37" s="18">
        <v>32.89</v>
      </c>
      <c r="V37" s="18">
        <v>17.03</v>
      </c>
      <c r="W37" s="27">
        <v>28</v>
      </c>
      <c r="X37" s="19">
        <v>19</v>
      </c>
      <c r="Y37" s="20">
        <v>30</v>
      </c>
      <c r="Z37" s="21">
        <f t="shared" si="10"/>
        <v>239.8594210526316</v>
      </c>
      <c r="AB37" s="32" t="s">
        <v>199</v>
      </c>
      <c r="AC37" s="18">
        <v>49.22</v>
      </c>
      <c r="AD37" s="18">
        <v>34.04</v>
      </c>
      <c r="AE37" s="18">
        <v>16.739999999999998</v>
      </c>
      <c r="AF37" s="27">
        <v>28</v>
      </c>
      <c r="AG37" s="19">
        <v>20</v>
      </c>
      <c r="AH37" s="20">
        <v>30</v>
      </c>
      <c r="AI37" s="21">
        <f t="shared" si="11"/>
        <v>231.91885000000002</v>
      </c>
    </row>
    <row r="38" spans="1:35" ht="10.5" customHeight="1" x14ac:dyDescent="0.25">
      <c r="A38" s="35"/>
      <c r="B38" s="23"/>
      <c r="C38" s="23"/>
      <c r="D38" s="23"/>
      <c r="E38" s="24"/>
      <c r="F38" s="24"/>
      <c r="G38" s="20"/>
      <c r="H38" s="23"/>
      <c r="I38" s="16"/>
      <c r="J38" s="35"/>
      <c r="K38" s="23"/>
      <c r="L38" s="23"/>
      <c r="M38" s="23"/>
      <c r="N38" s="24"/>
      <c r="O38" s="23"/>
      <c r="P38" s="20"/>
      <c r="Q38" s="23"/>
      <c r="R38" s="9"/>
      <c r="S38" s="35"/>
      <c r="T38" s="23"/>
      <c r="U38" s="23"/>
      <c r="V38" s="23"/>
      <c r="W38" s="24"/>
      <c r="X38" s="23"/>
      <c r="Y38" s="20"/>
      <c r="Z38" s="23"/>
      <c r="AB38" s="35"/>
      <c r="AC38" s="23"/>
      <c r="AD38" s="23"/>
      <c r="AE38" s="23"/>
      <c r="AF38" s="24"/>
      <c r="AG38" s="23"/>
      <c r="AH38" s="20"/>
      <c r="AI38" s="23"/>
    </row>
    <row r="39" spans="1:35" ht="9.75" customHeight="1" x14ac:dyDescent="0.25">
      <c r="A39" s="32" t="s">
        <v>200</v>
      </c>
      <c r="B39" s="18">
        <v>40.11</v>
      </c>
      <c r="C39" s="18">
        <v>21.89</v>
      </c>
      <c r="D39" s="18">
        <v>38</v>
      </c>
      <c r="E39" s="27">
        <v>26</v>
      </c>
      <c r="F39" s="19">
        <v>17</v>
      </c>
      <c r="G39" s="20">
        <v>10</v>
      </c>
      <c r="H39" s="21">
        <f t="shared" ref="H39:H48" si="12">63327.74/E39/F39+81.048+22671.36/G39/F39</f>
        <v>357.68437104072393</v>
      </c>
      <c r="I39" s="16"/>
      <c r="J39" s="32" t="s">
        <v>200</v>
      </c>
      <c r="K39" s="18">
        <v>39.6</v>
      </c>
      <c r="L39" s="18">
        <v>22.88</v>
      </c>
      <c r="M39" s="18">
        <v>37.520000000000003</v>
      </c>
      <c r="N39" s="27">
        <v>26</v>
      </c>
      <c r="O39" s="19">
        <v>18</v>
      </c>
      <c r="P39" s="20">
        <v>10</v>
      </c>
      <c r="Q39" s="21">
        <f t="shared" ref="Q39:Q48" si="13">63327.74/N39/O39+81.048+22671.36/P39/O39</f>
        <v>342.31568376068378</v>
      </c>
      <c r="R39" s="9"/>
      <c r="S39" s="32" t="s">
        <v>200</v>
      </c>
      <c r="T39" s="18">
        <v>39.1</v>
      </c>
      <c r="U39" s="18">
        <v>23.85</v>
      </c>
      <c r="V39" s="18">
        <v>37.049999999999997</v>
      </c>
      <c r="W39" s="27">
        <v>26</v>
      </c>
      <c r="X39" s="19">
        <v>19</v>
      </c>
      <c r="Y39" s="20">
        <v>10</v>
      </c>
      <c r="Z39" s="21">
        <f t="shared" ref="Z39:Z48" si="14">63327.74/W39/X39+81.048+22671.36/Y39/X39</f>
        <v>328.56475303643725</v>
      </c>
      <c r="AB39" s="32" t="s">
        <v>200</v>
      </c>
      <c r="AC39" s="18">
        <v>38.619999999999997</v>
      </c>
      <c r="AD39" s="18">
        <v>24.79</v>
      </c>
      <c r="AE39" s="18">
        <v>36.590000000000003</v>
      </c>
      <c r="AF39" s="27">
        <v>26</v>
      </c>
      <c r="AG39" s="19">
        <v>20</v>
      </c>
      <c r="AH39" s="20">
        <v>10</v>
      </c>
      <c r="AI39" s="21">
        <f t="shared" ref="AI39:AI48" si="15">63327.74/AF39/AG39+81.048+22671.36/AH39/AG39</f>
        <v>316.18891538461537</v>
      </c>
    </row>
    <row r="40" spans="1:35" ht="9.75" customHeight="1" x14ac:dyDescent="0.25">
      <c r="A40" s="32" t="s">
        <v>201</v>
      </c>
      <c r="B40" s="18">
        <v>42.82</v>
      </c>
      <c r="C40" s="18">
        <v>23.37</v>
      </c>
      <c r="D40" s="18">
        <v>33.81</v>
      </c>
      <c r="E40" s="27">
        <v>26</v>
      </c>
      <c r="F40" s="19">
        <v>17</v>
      </c>
      <c r="G40" s="20">
        <v>12</v>
      </c>
      <c r="H40" s="21">
        <f t="shared" si="12"/>
        <v>335.45754751131221</v>
      </c>
      <c r="I40" s="16"/>
      <c r="J40" s="32" t="s">
        <v>201</v>
      </c>
      <c r="K40" s="18">
        <v>42.24</v>
      </c>
      <c r="L40" s="18">
        <v>24.41</v>
      </c>
      <c r="M40" s="18">
        <v>33.35</v>
      </c>
      <c r="N40" s="27">
        <v>26</v>
      </c>
      <c r="O40" s="19">
        <v>18</v>
      </c>
      <c r="P40" s="20">
        <v>12</v>
      </c>
      <c r="Q40" s="21">
        <f t="shared" si="13"/>
        <v>321.32368376068376</v>
      </c>
      <c r="R40" s="9"/>
      <c r="S40" s="32" t="s">
        <v>201</v>
      </c>
      <c r="T40" s="18">
        <v>41.68</v>
      </c>
      <c r="U40" s="18">
        <v>25.42</v>
      </c>
      <c r="V40" s="18">
        <v>32.9</v>
      </c>
      <c r="W40" s="27">
        <v>26</v>
      </c>
      <c r="X40" s="19">
        <v>19</v>
      </c>
      <c r="Y40" s="20">
        <v>12</v>
      </c>
      <c r="Z40" s="21">
        <f t="shared" si="14"/>
        <v>308.67759514170041</v>
      </c>
      <c r="AB40" s="32" t="s">
        <v>201</v>
      </c>
      <c r="AC40" s="18">
        <v>41.13</v>
      </c>
      <c r="AD40" s="18">
        <v>26.4</v>
      </c>
      <c r="AE40" s="18">
        <v>32.47</v>
      </c>
      <c r="AF40" s="27">
        <v>26</v>
      </c>
      <c r="AG40" s="19">
        <v>20</v>
      </c>
      <c r="AH40" s="20">
        <v>12</v>
      </c>
      <c r="AI40" s="21">
        <f t="shared" si="15"/>
        <v>297.2961153846154</v>
      </c>
    </row>
    <row r="41" spans="1:35" ht="9.75" customHeight="1" x14ac:dyDescent="0.25">
      <c r="A41" s="32" t="s">
        <v>202</v>
      </c>
      <c r="B41" s="18">
        <v>44.99</v>
      </c>
      <c r="C41" s="18">
        <v>24.56</v>
      </c>
      <c r="D41" s="18">
        <v>30.45</v>
      </c>
      <c r="E41" s="27">
        <v>26</v>
      </c>
      <c r="F41" s="19">
        <v>17</v>
      </c>
      <c r="G41" s="20">
        <v>14</v>
      </c>
      <c r="H41" s="21">
        <f t="shared" si="12"/>
        <v>319.58124499030379</v>
      </c>
      <c r="I41" s="16"/>
      <c r="J41" s="32" t="s">
        <v>202</v>
      </c>
      <c r="K41" s="18">
        <v>44.35</v>
      </c>
      <c r="L41" s="18">
        <v>25.63</v>
      </c>
      <c r="M41" s="18">
        <v>30.02</v>
      </c>
      <c r="N41" s="27">
        <v>26</v>
      </c>
      <c r="O41" s="19">
        <v>18</v>
      </c>
      <c r="P41" s="20">
        <v>14</v>
      </c>
      <c r="Q41" s="21">
        <f t="shared" si="13"/>
        <v>306.32939804639807</v>
      </c>
      <c r="R41" s="9"/>
      <c r="S41" s="32" t="s">
        <v>202</v>
      </c>
      <c r="T41" s="18">
        <v>43.73</v>
      </c>
      <c r="U41" s="18">
        <v>26.67</v>
      </c>
      <c r="V41" s="18">
        <v>29.6</v>
      </c>
      <c r="W41" s="27">
        <v>26</v>
      </c>
      <c r="X41" s="19">
        <v>19</v>
      </c>
      <c r="Y41" s="20">
        <v>14</v>
      </c>
      <c r="Z41" s="21">
        <f t="shared" si="14"/>
        <v>294.47248235974553</v>
      </c>
      <c r="AB41" s="32" t="s">
        <v>202</v>
      </c>
      <c r="AC41" s="18">
        <v>43.13</v>
      </c>
      <c r="AD41" s="18">
        <v>27.69</v>
      </c>
      <c r="AE41" s="18">
        <v>29.18</v>
      </c>
      <c r="AF41" s="27">
        <v>26</v>
      </c>
      <c r="AG41" s="19">
        <v>20</v>
      </c>
      <c r="AH41" s="20">
        <v>14</v>
      </c>
      <c r="AI41" s="21">
        <f t="shared" si="15"/>
        <v>283.80125824175821</v>
      </c>
    </row>
    <row r="42" spans="1:35" ht="9.75" customHeight="1" x14ac:dyDescent="0.25">
      <c r="A42" s="32" t="s">
        <v>203</v>
      </c>
      <c r="B42" s="18">
        <v>46.77</v>
      </c>
      <c r="C42" s="18">
        <v>25.53</v>
      </c>
      <c r="D42" s="18">
        <v>27.7</v>
      </c>
      <c r="E42" s="27">
        <v>26</v>
      </c>
      <c r="F42" s="19">
        <v>17</v>
      </c>
      <c r="G42" s="20">
        <v>16</v>
      </c>
      <c r="H42" s="21">
        <f t="shared" si="12"/>
        <v>307.67401809954748</v>
      </c>
      <c r="I42" s="16"/>
      <c r="J42" s="32" t="s">
        <v>203</v>
      </c>
      <c r="K42" s="18">
        <v>46.08</v>
      </c>
      <c r="L42" s="18">
        <v>26.63</v>
      </c>
      <c r="M42" s="18">
        <v>27.29</v>
      </c>
      <c r="N42" s="27">
        <v>26</v>
      </c>
      <c r="O42" s="19">
        <v>18</v>
      </c>
      <c r="P42" s="20">
        <v>16</v>
      </c>
      <c r="Q42" s="21">
        <f t="shared" si="13"/>
        <v>295.08368376068375</v>
      </c>
      <c r="R42" s="9"/>
      <c r="S42" s="32" t="s">
        <v>203</v>
      </c>
      <c r="T42" s="18">
        <v>45.41</v>
      </c>
      <c r="U42" s="18">
        <v>27.7</v>
      </c>
      <c r="V42" s="18">
        <v>26.89</v>
      </c>
      <c r="W42" s="27">
        <v>26</v>
      </c>
      <c r="X42" s="19">
        <v>19</v>
      </c>
      <c r="Y42" s="20">
        <v>16</v>
      </c>
      <c r="Z42" s="21">
        <f t="shared" si="14"/>
        <v>283.81864777327934</v>
      </c>
      <c r="AB42" s="32" t="s">
        <v>203</v>
      </c>
      <c r="AC42" s="18">
        <v>44.76</v>
      </c>
      <c r="AD42" s="18">
        <v>28.73</v>
      </c>
      <c r="AE42" s="18">
        <v>26.51</v>
      </c>
      <c r="AF42" s="27">
        <v>26</v>
      </c>
      <c r="AG42" s="19">
        <v>20</v>
      </c>
      <c r="AH42" s="20">
        <v>16</v>
      </c>
      <c r="AI42" s="21">
        <f t="shared" si="15"/>
        <v>273.68011538461536</v>
      </c>
    </row>
    <row r="43" spans="1:35" ht="9.75" customHeight="1" x14ac:dyDescent="0.25">
      <c r="A43" s="32" t="s">
        <v>204</v>
      </c>
      <c r="B43" s="18">
        <v>48.26</v>
      </c>
      <c r="C43" s="18">
        <v>26.33</v>
      </c>
      <c r="D43" s="18">
        <v>25.41</v>
      </c>
      <c r="E43" s="27">
        <v>26</v>
      </c>
      <c r="F43" s="19">
        <v>17</v>
      </c>
      <c r="G43" s="20">
        <v>18</v>
      </c>
      <c r="H43" s="21">
        <f t="shared" si="12"/>
        <v>298.41284162895926</v>
      </c>
      <c r="I43" s="16"/>
      <c r="J43" s="32" t="s">
        <v>204</v>
      </c>
      <c r="K43" s="18">
        <v>47.52</v>
      </c>
      <c r="L43" s="18">
        <v>27.46</v>
      </c>
      <c r="M43" s="18">
        <v>25.02</v>
      </c>
      <c r="N43" s="27">
        <v>26</v>
      </c>
      <c r="O43" s="19">
        <v>18</v>
      </c>
      <c r="P43" s="20">
        <v>18</v>
      </c>
      <c r="Q43" s="21">
        <f t="shared" si="13"/>
        <v>286.33701709401709</v>
      </c>
      <c r="R43" s="9"/>
      <c r="S43" s="32" t="s">
        <v>204</v>
      </c>
      <c r="T43" s="18">
        <v>46.81</v>
      </c>
      <c r="U43" s="18">
        <v>28.55</v>
      </c>
      <c r="V43" s="18">
        <v>24.64</v>
      </c>
      <c r="W43" s="27">
        <v>26</v>
      </c>
      <c r="X43" s="19">
        <v>19</v>
      </c>
      <c r="Y43" s="20">
        <v>18</v>
      </c>
      <c r="Z43" s="21">
        <f t="shared" si="14"/>
        <v>275.53233198380565</v>
      </c>
      <c r="AB43" s="32" t="s">
        <v>204</v>
      </c>
      <c r="AC43" s="18">
        <v>46.12</v>
      </c>
      <c r="AD43" s="18">
        <v>29.61</v>
      </c>
      <c r="AE43" s="18">
        <v>24.27</v>
      </c>
      <c r="AF43" s="27">
        <v>26</v>
      </c>
      <c r="AG43" s="19">
        <v>20</v>
      </c>
      <c r="AH43" s="20">
        <v>18</v>
      </c>
      <c r="AI43" s="21">
        <f t="shared" si="15"/>
        <v>265.80811538461535</v>
      </c>
    </row>
    <row r="44" spans="1:35" ht="9.75" customHeight="1" x14ac:dyDescent="0.25">
      <c r="A44" s="32" t="s">
        <v>205</v>
      </c>
      <c r="B44" s="18">
        <v>49.52</v>
      </c>
      <c r="C44" s="18">
        <v>27.02</v>
      </c>
      <c r="D44" s="18">
        <v>23.46</v>
      </c>
      <c r="E44" s="27">
        <v>26</v>
      </c>
      <c r="F44" s="19">
        <v>17</v>
      </c>
      <c r="G44" s="20">
        <v>20</v>
      </c>
      <c r="H44" s="21">
        <f t="shared" si="12"/>
        <v>291.00390045248866</v>
      </c>
      <c r="I44" s="16"/>
      <c r="J44" s="32" t="s">
        <v>205</v>
      </c>
      <c r="K44" s="18">
        <v>48.74</v>
      </c>
      <c r="L44" s="18">
        <v>28.17</v>
      </c>
      <c r="M44" s="18">
        <v>23.09</v>
      </c>
      <c r="N44" s="27">
        <v>26</v>
      </c>
      <c r="O44" s="19">
        <v>18</v>
      </c>
      <c r="P44" s="20">
        <v>20</v>
      </c>
      <c r="Q44" s="21">
        <f t="shared" si="13"/>
        <v>279.33968376068378</v>
      </c>
      <c r="R44" s="9"/>
      <c r="S44" s="32" t="s">
        <v>205</v>
      </c>
      <c r="T44" s="18">
        <v>47.99</v>
      </c>
      <c r="U44" s="18">
        <v>29.27</v>
      </c>
      <c r="V44" s="18">
        <v>22.74</v>
      </c>
      <c r="W44" s="27">
        <v>26</v>
      </c>
      <c r="X44" s="19">
        <v>19</v>
      </c>
      <c r="Y44" s="20">
        <v>20</v>
      </c>
      <c r="Z44" s="21">
        <f t="shared" si="14"/>
        <v>268.90327935222672</v>
      </c>
      <c r="AB44" s="32" t="s">
        <v>205</v>
      </c>
      <c r="AC44" s="18">
        <v>47.26</v>
      </c>
      <c r="AD44" s="18">
        <v>30.35</v>
      </c>
      <c r="AE44" s="18">
        <v>22.39</v>
      </c>
      <c r="AF44" s="27">
        <v>26</v>
      </c>
      <c r="AG44" s="19">
        <v>20</v>
      </c>
      <c r="AH44" s="20">
        <v>20</v>
      </c>
      <c r="AI44" s="21">
        <f t="shared" si="15"/>
        <v>259.51051538461536</v>
      </c>
    </row>
    <row r="45" spans="1:35" ht="9.75" customHeight="1" x14ac:dyDescent="0.25">
      <c r="A45" s="32" t="s">
        <v>206</v>
      </c>
      <c r="B45" s="18">
        <v>51.53</v>
      </c>
      <c r="C45" s="18">
        <v>28.12</v>
      </c>
      <c r="D45" s="18">
        <v>20.350000000000001</v>
      </c>
      <c r="E45" s="27">
        <v>26</v>
      </c>
      <c r="F45" s="19">
        <v>17</v>
      </c>
      <c r="G45" s="20">
        <v>24</v>
      </c>
      <c r="H45" s="21">
        <f t="shared" si="12"/>
        <v>279.89048868778275</v>
      </c>
      <c r="I45" s="16"/>
      <c r="J45" s="32" t="s">
        <v>206</v>
      </c>
      <c r="K45" s="18">
        <v>50.69</v>
      </c>
      <c r="L45" s="18">
        <v>29.29</v>
      </c>
      <c r="M45" s="18">
        <v>20.02</v>
      </c>
      <c r="N45" s="27">
        <v>26</v>
      </c>
      <c r="O45" s="19">
        <v>18</v>
      </c>
      <c r="P45" s="20">
        <v>24</v>
      </c>
      <c r="Q45" s="21">
        <f t="shared" si="13"/>
        <v>268.84368376068375</v>
      </c>
      <c r="R45" s="9"/>
      <c r="S45" s="32" t="s">
        <v>206</v>
      </c>
      <c r="T45" s="18">
        <v>49.88</v>
      </c>
      <c r="U45" s="18">
        <v>30.43</v>
      </c>
      <c r="V45" s="18">
        <v>19.690000000000001</v>
      </c>
      <c r="W45" s="27">
        <v>26</v>
      </c>
      <c r="X45" s="19">
        <v>19</v>
      </c>
      <c r="Y45" s="20">
        <v>24</v>
      </c>
      <c r="Z45" s="21">
        <f t="shared" si="14"/>
        <v>258.95970040485827</v>
      </c>
      <c r="AB45" s="32" t="s">
        <v>206</v>
      </c>
      <c r="AC45" s="18">
        <v>49.1</v>
      </c>
      <c r="AD45" s="18">
        <v>31.52</v>
      </c>
      <c r="AE45" s="18">
        <v>19.38</v>
      </c>
      <c r="AF45" s="27">
        <v>26</v>
      </c>
      <c r="AG45" s="19">
        <v>20</v>
      </c>
      <c r="AH45" s="20">
        <v>24</v>
      </c>
      <c r="AI45" s="21">
        <f t="shared" si="15"/>
        <v>250.06411538461538</v>
      </c>
    </row>
    <row r="46" spans="1:35" ht="9.75" customHeight="1" x14ac:dyDescent="0.25">
      <c r="A46" s="32" t="s">
        <v>207</v>
      </c>
      <c r="B46" s="18">
        <v>52.35</v>
      </c>
      <c r="C46" s="18">
        <v>28.57</v>
      </c>
      <c r="D46" s="18">
        <v>19.079999999999998</v>
      </c>
      <c r="E46" s="27">
        <v>26</v>
      </c>
      <c r="F46" s="19">
        <v>17</v>
      </c>
      <c r="G46" s="20">
        <v>26</v>
      </c>
      <c r="H46" s="21">
        <f t="shared" si="12"/>
        <v>275.61609954751128</v>
      </c>
      <c r="I46" s="16"/>
      <c r="J46" s="32" t="s">
        <v>207</v>
      </c>
      <c r="K46" s="18">
        <v>51.49</v>
      </c>
      <c r="L46" s="18">
        <v>29.75</v>
      </c>
      <c r="M46" s="18">
        <v>18.760000000000002</v>
      </c>
      <c r="N46" s="27">
        <v>26</v>
      </c>
      <c r="O46" s="19">
        <v>18</v>
      </c>
      <c r="P46" s="20">
        <v>26</v>
      </c>
      <c r="Q46" s="21">
        <f t="shared" si="13"/>
        <v>264.80676068376067</v>
      </c>
      <c r="R46" s="9"/>
      <c r="S46" s="32" t="s">
        <v>207</v>
      </c>
      <c r="T46" s="18">
        <v>50.65</v>
      </c>
      <c r="U46" s="18">
        <v>30.89</v>
      </c>
      <c r="V46" s="18">
        <v>18.46</v>
      </c>
      <c r="W46" s="27">
        <v>26</v>
      </c>
      <c r="X46" s="19">
        <v>19</v>
      </c>
      <c r="Y46" s="20">
        <v>26</v>
      </c>
      <c r="Z46" s="21">
        <f t="shared" si="14"/>
        <v>255.13524696356274</v>
      </c>
      <c r="AB46" s="32" t="s">
        <v>207</v>
      </c>
      <c r="AC46" s="18">
        <v>49.84</v>
      </c>
      <c r="AD46" s="18">
        <v>32</v>
      </c>
      <c r="AE46" s="18">
        <v>18.16</v>
      </c>
      <c r="AF46" s="27">
        <v>26</v>
      </c>
      <c r="AG46" s="19">
        <v>20</v>
      </c>
      <c r="AH46" s="20">
        <v>26</v>
      </c>
      <c r="AI46" s="21">
        <f t="shared" si="15"/>
        <v>246.43088461538463</v>
      </c>
    </row>
    <row r="47" spans="1:35" ht="9.75" customHeight="1" x14ac:dyDescent="0.25">
      <c r="A47" s="32" t="s">
        <v>208</v>
      </c>
      <c r="B47" s="18">
        <v>53.08</v>
      </c>
      <c r="C47" s="18">
        <v>28.96</v>
      </c>
      <c r="D47" s="18">
        <v>17.96</v>
      </c>
      <c r="E47" s="27">
        <v>26</v>
      </c>
      <c r="F47" s="19">
        <v>17</v>
      </c>
      <c r="G47" s="20">
        <v>28</v>
      </c>
      <c r="H47" s="21">
        <f t="shared" si="12"/>
        <v>271.95233742727856</v>
      </c>
      <c r="I47" s="16"/>
      <c r="J47" s="32" t="s">
        <v>208</v>
      </c>
      <c r="K47" s="18">
        <v>52.19</v>
      </c>
      <c r="L47" s="18">
        <v>30.15</v>
      </c>
      <c r="M47" s="18">
        <v>17.66</v>
      </c>
      <c r="N47" s="27">
        <v>26</v>
      </c>
      <c r="O47" s="19">
        <v>18</v>
      </c>
      <c r="P47" s="20">
        <v>28</v>
      </c>
      <c r="Q47" s="21">
        <f t="shared" si="13"/>
        <v>261.34654090354093</v>
      </c>
      <c r="R47" s="9"/>
      <c r="S47" s="32" t="s">
        <v>208</v>
      </c>
      <c r="T47" s="18">
        <v>51.33</v>
      </c>
      <c r="U47" s="18">
        <v>31.3</v>
      </c>
      <c r="V47" s="18">
        <v>17.37</v>
      </c>
      <c r="W47" s="27">
        <v>26</v>
      </c>
      <c r="X47" s="19">
        <v>19</v>
      </c>
      <c r="Y47" s="20">
        <v>28</v>
      </c>
      <c r="Z47" s="21">
        <f t="shared" si="14"/>
        <v>251.85714401388086</v>
      </c>
      <c r="AB47" s="32" t="s">
        <v>208</v>
      </c>
      <c r="AC47" s="18">
        <v>50.5</v>
      </c>
      <c r="AD47" s="18">
        <v>32.42</v>
      </c>
      <c r="AE47" s="18">
        <v>17.079999999999998</v>
      </c>
      <c r="AF47" s="27">
        <v>26</v>
      </c>
      <c r="AG47" s="19">
        <v>20</v>
      </c>
      <c r="AH47" s="20">
        <v>28</v>
      </c>
      <c r="AI47" s="21">
        <f t="shared" si="15"/>
        <v>243.31668681318681</v>
      </c>
    </row>
    <row r="48" spans="1:35" ht="9.75" customHeight="1" x14ac:dyDescent="0.25">
      <c r="A48" s="32" t="s">
        <v>209</v>
      </c>
      <c r="B48" s="18">
        <v>53.72</v>
      </c>
      <c r="C48" s="18">
        <v>29.31</v>
      </c>
      <c r="D48" s="18">
        <v>16.97</v>
      </c>
      <c r="E48" s="27">
        <v>26</v>
      </c>
      <c r="F48" s="19">
        <v>17</v>
      </c>
      <c r="G48" s="20">
        <v>30</v>
      </c>
      <c r="H48" s="21">
        <f t="shared" si="12"/>
        <v>268.77707692307689</v>
      </c>
      <c r="I48" s="16"/>
      <c r="J48" s="32" t="s">
        <v>209</v>
      </c>
      <c r="K48" s="18">
        <v>52.81</v>
      </c>
      <c r="L48" s="18">
        <v>30.51</v>
      </c>
      <c r="M48" s="18">
        <v>16.68</v>
      </c>
      <c r="N48" s="27">
        <v>26</v>
      </c>
      <c r="O48" s="19">
        <v>18</v>
      </c>
      <c r="P48" s="20">
        <v>30</v>
      </c>
      <c r="Q48" s="21">
        <f t="shared" si="13"/>
        <v>258.34768376068376</v>
      </c>
      <c r="R48" s="9"/>
      <c r="S48" s="32" t="s">
        <v>209</v>
      </c>
      <c r="T48" s="18">
        <v>51.93</v>
      </c>
      <c r="U48" s="18">
        <v>31.67</v>
      </c>
      <c r="V48" s="18">
        <v>16.399999999999999</v>
      </c>
      <c r="W48" s="27">
        <v>26</v>
      </c>
      <c r="X48" s="19">
        <v>19</v>
      </c>
      <c r="Y48" s="20">
        <v>30</v>
      </c>
      <c r="Z48" s="21">
        <f t="shared" si="14"/>
        <v>249.01612145748987</v>
      </c>
      <c r="AB48" s="32" t="s">
        <v>209</v>
      </c>
      <c r="AC48" s="18">
        <v>51.08</v>
      </c>
      <c r="AD48" s="18">
        <v>32.79</v>
      </c>
      <c r="AE48" s="18">
        <v>16.13</v>
      </c>
      <c r="AF48" s="27">
        <v>26</v>
      </c>
      <c r="AG48" s="19">
        <v>20</v>
      </c>
      <c r="AH48" s="20">
        <v>30</v>
      </c>
      <c r="AI48" s="21">
        <f t="shared" si="15"/>
        <v>240.61771538461539</v>
      </c>
    </row>
    <row r="49" spans="1:35" ht="10.5" customHeight="1" x14ac:dyDescent="0.25">
      <c r="A49" s="36"/>
      <c r="B49" s="23"/>
      <c r="C49" s="23"/>
      <c r="D49" s="23"/>
      <c r="E49" s="24"/>
      <c r="F49" s="24"/>
      <c r="G49" s="20"/>
      <c r="H49" s="23"/>
      <c r="I49" s="16"/>
      <c r="J49" s="36"/>
      <c r="K49" s="23"/>
      <c r="L49" s="23"/>
      <c r="M49" s="23"/>
      <c r="N49" s="24"/>
      <c r="O49" s="23"/>
      <c r="P49" s="20"/>
      <c r="Q49" s="23"/>
      <c r="R49" s="9"/>
      <c r="S49" s="36"/>
      <c r="T49" s="23"/>
      <c r="U49" s="23"/>
      <c r="V49" s="23"/>
      <c r="W49" s="24"/>
      <c r="X49" s="23"/>
      <c r="Y49" s="20"/>
      <c r="Z49" s="23"/>
      <c r="AB49" s="36"/>
      <c r="AC49" s="23"/>
      <c r="AD49" s="23"/>
      <c r="AE49" s="23"/>
      <c r="AF49" s="24"/>
      <c r="AG49" s="23"/>
      <c r="AH49" s="20"/>
      <c r="AI49" s="23"/>
    </row>
    <row r="50" spans="1:35" ht="9.75" customHeight="1" x14ac:dyDescent="0.25">
      <c r="A50" s="32" t="s">
        <v>210</v>
      </c>
      <c r="B50" s="18">
        <v>42.05</v>
      </c>
      <c r="C50" s="18">
        <v>21.18</v>
      </c>
      <c r="D50" s="18">
        <v>36.770000000000003</v>
      </c>
      <c r="E50" s="27">
        <v>24</v>
      </c>
      <c r="F50" s="19">
        <v>17</v>
      </c>
      <c r="G50" s="20">
        <v>10</v>
      </c>
      <c r="H50" s="21">
        <f t="shared" ref="H50:H59" si="16">63327.74/E50/F50+81.048+22671.36/G50/F50</f>
        <v>369.62399019607847</v>
      </c>
      <c r="I50" s="16"/>
      <c r="J50" s="32" t="s">
        <v>210</v>
      </c>
      <c r="K50" s="18">
        <v>41.53</v>
      </c>
      <c r="L50" s="18">
        <v>22.15</v>
      </c>
      <c r="M50" s="18">
        <v>36.32</v>
      </c>
      <c r="N50" s="27">
        <v>24</v>
      </c>
      <c r="O50" s="19">
        <v>18</v>
      </c>
      <c r="P50" s="20">
        <v>10</v>
      </c>
      <c r="Q50" s="21">
        <f t="shared" ref="Q50:Q59" si="17">63327.74/N50/O50+81.048+22671.36/P50/O50</f>
        <v>353.5919907407407</v>
      </c>
      <c r="R50" s="9"/>
      <c r="S50" s="32" t="s">
        <v>210</v>
      </c>
      <c r="T50" s="18">
        <v>41.02</v>
      </c>
      <c r="U50" s="18">
        <v>23.1</v>
      </c>
      <c r="V50" s="18">
        <v>35.880000000000003</v>
      </c>
      <c r="W50" s="27">
        <v>24</v>
      </c>
      <c r="X50" s="19">
        <v>19</v>
      </c>
      <c r="Y50" s="20">
        <v>10</v>
      </c>
      <c r="Z50" s="21">
        <f t="shared" ref="Z50:Z59" si="18">63327.74/W50/X50+81.048+22671.36/Y50/X50</f>
        <v>339.24757017543857</v>
      </c>
      <c r="AB50" s="32" t="s">
        <v>210</v>
      </c>
      <c r="AC50" s="18">
        <v>40.53</v>
      </c>
      <c r="AD50" s="18">
        <v>24.02</v>
      </c>
      <c r="AE50" s="18">
        <v>35.450000000000003</v>
      </c>
      <c r="AF50" s="27">
        <v>24</v>
      </c>
      <c r="AG50" s="19">
        <v>20</v>
      </c>
      <c r="AH50" s="20">
        <v>10</v>
      </c>
      <c r="AI50" s="21">
        <f t="shared" ref="AI50:AI59" si="19">63327.74/AF50/AG50+81.048+22671.36/AH50/AG50</f>
        <v>326.33759166666664</v>
      </c>
    </row>
    <row r="51" spans="1:35" ht="9.75" customHeight="1" x14ac:dyDescent="0.25">
      <c r="A51" s="32" t="s">
        <v>211</v>
      </c>
      <c r="B51" s="18">
        <v>44.79</v>
      </c>
      <c r="C51" s="18">
        <v>22.56</v>
      </c>
      <c r="D51" s="18">
        <v>32.65</v>
      </c>
      <c r="E51" s="27">
        <v>24</v>
      </c>
      <c r="F51" s="19">
        <v>17</v>
      </c>
      <c r="G51" s="20">
        <v>12</v>
      </c>
      <c r="H51" s="21">
        <f t="shared" si="16"/>
        <v>347.39716666666664</v>
      </c>
      <c r="I51" s="16"/>
      <c r="J51" s="32" t="s">
        <v>211</v>
      </c>
      <c r="K51" s="18">
        <v>44.2</v>
      </c>
      <c r="L51" s="18">
        <v>23.58</v>
      </c>
      <c r="M51" s="18">
        <v>32.22</v>
      </c>
      <c r="N51" s="27">
        <v>24</v>
      </c>
      <c r="O51" s="19">
        <v>18</v>
      </c>
      <c r="P51" s="20">
        <v>12</v>
      </c>
      <c r="Q51" s="21">
        <f t="shared" si="17"/>
        <v>332.59999074074074</v>
      </c>
      <c r="R51" s="9"/>
      <c r="S51" s="32" t="s">
        <v>211</v>
      </c>
      <c r="T51" s="18">
        <v>43.63</v>
      </c>
      <c r="U51" s="18">
        <v>24.57</v>
      </c>
      <c r="V51" s="18">
        <v>31.8</v>
      </c>
      <c r="W51" s="27">
        <v>24</v>
      </c>
      <c r="X51" s="19">
        <v>19</v>
      </c>
      <c r="Y51" s="20">
        <v>12</v>
      </c>
      <c r="Z51" s="21">
        <f t="shared" si="18"/>
        <v>319.36041228070172</v>
      </c>
      <c r="AB51" s="32" t="s">
        <v>211</v>
      </c>
      <c r="AC51" s="18">
        <v>43.07</v>
      </c>
      <c r="AD51" s="18">
        <v>25.53</v>
      </c>
      <c r="AE51" s="18">
        <v>31.4</v>
      </c>
      <c r="AF51" s="27">
        <v>24</v>
      </c>
      <c r="AG51" s="19">
        <v>20</v>
      </c>
      <c r="AH51" s="20">
        <v>12</v>
      </c>
      <c r="AI51" s="21">
        <f t="shared" si="19"/>
        <v>307.44479166666667</v>
      </c>
    </row>
    <row r="52" spans="1:35" ht="9.75" customHeight="1" x14ac:dyDescent="0.25">
      <c r="A52" s="32" t="s">
        <v>212</v>
      </c>
      <c r="B52" s="18">
        <v>46.98</v>
      </c>
      <c r="C52" s="18">
        <v>23.67</v>
      </c>
      <c r="D52" s="18">
        <v>29.35</v>
      </c>
      <c r="E52" s="27">
        <v>24</v>
      </c>
      <c r="F52" s="19">
        <v>17</v>
      </c>
      <c r="G52" s="20">
        <v>14</v>
      </c>
      <c r="H52" s="21">
        <f t="shared" si="16"/>
        <v>331.52086414565827</v>
      </c>
      <c r="I52" s="16"/>
      <c r="J52" s="32" t="s">
        <v>212</v>
      </c>
      <c r="K52" s="18">
        <v>46.34</v>
      </c>
      <c r="L52" s="18">
        <v>24.71</v>
      </c>
      <c r="M52" s="18">
        <v>28.95</v>
      </c>
      <c r="N52" s="27">
        <v>24</v>
      </c>
      <c r="O52" s="19">
        <v>18</v>
      </c>
      <c r="P52" s="20">
        <v>14</v>
      </c>
      <c r="Q52" s="21">
        <f t="shared" si="17"/>
        <v>317.60570502645498</v>
      </c>
      <c r="R52" s="9"/>
      <c r="S52" s="32" t="s">
        <v>212</v>
      </c>
      <c r="T52" s="18">
        <v>45.71</v>
      </c>
      <c r="U52" s="18">
        <v>25.73</v>
      </c>
      <c r="V52" s="18">
        <v>28.56</v>
      </c>
      <c r="W52" s="27">
        <v>24</v>
      </c>
      <c r="X52" s="19">
        <v>19</v>
      </c>
      <c r="Y52" s="20">
        <v>14</v>
      </c>
      <c r="Z52" s="21">
        <f t="shared" si="18"/>
        <v>305.15529949874684</v>
      </c>
      <c r="AB52" s="32" t="s">
        <v>212</v>
      </c>
      <c r="AC52" s="18">
        <v>45.1</v>
      </c>
      <c r="AD52" s="18">
        <v>26.73</v>
      </c>
      <c r="AE52" s="18">
        <v>28.17</v>
      </c>
      <c r="AF52" s="27">
        <v>24</v>
      </c>
      <c r="AG52" s="19">
        <v>20</v>
      </c>
      <c r="AH52" s="20">
        <v>14</v>
      </c>
      <c r="AI52" s="21">
        <f t="shared" si="19"/>
        <v>293.94993452380953</v>
      </c>
    </row>
    <row r="53" spans="1:35" ht="9.75" customHeight="1" x14ac:dyDescent="0.25">
      <c r="A53" s="32" t="s">
        <v>213</v>
      </c>
      <c r="B53" s="18">
        <v>48.77</v>
      </c>
      <c r="C53" s="18">
        <v>24.57</v>
      </c>
      <c r="D53" s="18">
        <v>26.66</v>
      </c>
      <c r="E53" s="27">
        <v>24</v>
      </c>
      <c r="F53" s="19">
        <v>17</v>
      </c>
      <c r="G53" s="20">
        <v>16</v>
      </c>
      <c r="H53" s="21">
        <f t="shared" si="16"/>
        <v>319.61363725490196</v>
      </c>
      <c r="I53" s="16"/>
      <c r="J53" s="32" t="s">
        <v>213</v>
      </c>
      <c r="K53" s="18">
        <v>48.08</v>
      </c>
      <c r="L53" s="18">
        <v>25.64</v>
      </c>
      <c r="M53" s="18">
        <v>26.28</v>
      </c>
      <c r="N53" s="27">
        <v>24</v>
      </c>
      <c r="O53" s="19">
        <v>18</v>
      </c>
      <c r="P53" s="20">
        <v>16</v>
      </c>
      <c r="Q53" s="21">
        <f t="shared" si="17"/>
        <v>306.35999074074073</v>
      </c>
      <c r="R53" s="9"/>
      <c r="S53" s="32" t="s">
        <v>213</v>
      </c>
      <c r="T53" s="18">
        <v>47.4</v>
      </c>
      <c r="U53" s="18">
        <v>26.69</v>
      </c>
      <c r="V53" s="18">
        <v>25.91</v>
      </c>
      <c r="W53" s="27">
        <v>24</v>
      </c>
      <c r="X53" s="19">
        <v>19</v>
      </c>
      <c r="Y53" s="20">
        <v>16</v>
      </c>
      <c r="Z53" s="21">
        <f t="shared" si="18"/>
        <v>294.50146491228065</v>
      </c>
      <c r="AB53" s="32" t="s">
        <v>213</v>
      </c>
      <c r="AC53" s="18">
        <v>46.75</v>
      </c>
      <c r="AD53" s="18">
        <v>27.7</v>
      </c>
      <c r="AE53" s="18">
        <v>25.55</v>
      </c>
      <c r="AF53" s="27">
        <v>24</v>
      </c>
      <c r="AG53" s="19">
        <v>20</v>
      </c>
      <c r="AH53" s="20">
        <v>16</v>
      </c>
      <c r="AI53" s="21">
        <f t="shared" si="19"/>
        <v>283.82879166666669</v>
      </c>
    </row>
    <row r="54" spans="1:35" ht="9.75" customHeight="1" x14ac:dyDescent="0.25">
      <c r="A54" s="32" t="s">
        <v>214</v>
      </c>
      <c r="B54" s="18">
        <v>50.26</v>
      </c>
      <c r="C54" s="18">
        <v>25.32</v>
      </c>
      <c r="D54" s="18">
        <v>24.42</v>
      </c>
      <c r="E54" s="27">
        <v>24</v>
      </c>
      <c r="F54" s="19">
        <v>17</v>
      </c>
      <c r="G54" s="20">
        <v>18</v>
      </c>
      <c r="H54" s="21">
        <f t="shared" si="16"/>
        <v>310.35246078431373</v>
      </c>
      <c r="I54" s="16"/>
      <c r="J54" s="32" t="s">
        <v>214</v>
      </c>
      <c r="K54" s="18">
        <v>49.52</v>
      </c>
      <c r="L54" s="18">
        <v>26.42</v>
      </c>
      <c r="M54" s="18">
        <v>24.06</v>
      </c>
      <c r="N54" s="27">
        <v>24</v>
      </c>
      <c r="O54" s="19">
        <v>18</v>
      </c>
      <c r="P54" s="20">
        <v>18</v>
      </c>
      <c r="Q54" s="21">
        <f t="shared" si="17"/>
        <v>297.61332407407406</v>
      </c>
      <c r="R54" s="9"/>
      <c r="S54" s="32" t="s">
        <v>214</v>
      </c>
      <c r="T54" s="18">
        <v>48.8</v>
      </c>
      <c r="U54" s="18">
        <v>27.48</v>
      </c>
      <c r="V54" s="18">
        <v>23.72</v>
      </c>
      <c r="W54" s="27">
        <v>24</v>
      </c>
      <c r="X54" s="19">
        <v>19</v>
      </c>
      <c r="Y54" s="20">
        <v>18</v>
      </c>
      <c r="Z54" s="21">
        <f t="shared" si="18"/>
        <v>286.21514912280702</v>
      </c>
      <c r="AB54" s="32" t="s">
        <v>214</v>
      </c>
      <c r="AC54" s="18">
        <v>48.11</v>
      </c>
      <c r="AD54" s="18">
        <v>28.51</v>
      </c>
      <c r="AE54" s="18">
        <v>23.38</v>
      </c>
      <c r="AF54" s="27">
        <v>24</v>
      </c>
      <c r="AG54" s="19">
        <v>20</v>
      </c>
      <c r="AH54" s="20">
        <v>18</v>
      </c>
      <c r="AI54" s="21">
        <f t="shared" si="19"/>
        <v>275.95679166666667</v>
      </c>
    </row>
    <row r="55" spans="1:35" ht="9.75" customHeight="1" x14ac:dyDescent="0.25">
      <c r="A55" s="32" t="s">
        <v>215</v>
      </c>
      <c r="B55" s="18">
        <v>51.52</v>
      </c>
      <c r="C55" s="18">
        <v>25.95</v>
      </c>
      <c r="D55" s="18">
        <v>22.53</v>
      </c>
      <c r="E55" s="27">
        <v>24</v>
      </c>
      <c r="F55" s="19">
        <v>17</v>
      </c>
      <c r="G55" s="20">
        <v>20</v>
      </c>
      <c r="H55" s="21">
        <f t="shared" si="16"/>
        <v>302.94351960784314</v>
      </c>
      <c r="I55" s="16"/>
      <c r="J55" s="32" t="s">
        <v>215</v>
      </c>
      <c r="K55" s="18">
        <v>50.74</v>
      </c>
      <c r="L55" s="18">
        <v>27.07</v>
      </c>
      <c r="M55" s="18">
        <v>22.19</v>
      </c>
      <c r="N55" s="27">
        <v>24</v>
      </c>
      <c r="O55" s="19">
        <v>18</v>
      </c>
      <c r="P55" s="20">
        <v>20</v>
      </c>
      <c r="Q55" s="21">
        <f t="shared" si="17"/>
        <v>290.6159907407407</v>
      </c>
      <c r="R55" s="9"/>
      <c r="S55" s="32" t="s">
        <v>215</v>
      </c>
      <c r="T55" s="18">
        <v>49.99</v>
      </c>
      <c r="U55" s="18">
        <v>28.15</v>
      </c>
      <c r="V55" s="18">
        <v>21.86</v>
      </c>
      <c r="W55" s="27">
        <v>24</v>
      </c>
      <c r="X55" s="19">
        <v>19</v>
      </c>
      <c r="Y55" s="20">
        <v>20</v>
      </c>
      <c r="Z55" s="21">
        <f t="shared" si="18"/>
        <v>279.58609649122803</v>
      </c>
      <c r="AB55" s="32" t="s">
        <v>215</v>
      </c>
      <c r="AC55" s="18">
        <v>49.26</v>
      </c>
      <c r="AD55" s="18">
        <v>29.2</v>
      </c>
      <c r="AE55" s="18">
        <v>21.54</v>
      </c>
      <c r="AF55" s="27">
        <v>24</v>
      </c>
      <c r="AG55" s="19">
        <v>20</v>
      </c>
      <c r="AH55" s="20">
        <v>20</v>
      </c>
      <c r="AI55" s="21">
        <f t="shared" si="19"/>
        <v>269.65919166666669</v>
      </c>
    </row>
    <row r="56" spans="1:35" ht="9.75" customHeight="1" x14ac:dyDescent="0.25">
      <c r="A56" s="32" t="s">
        <v>216</v>
      </c>
      <c r="B56" s="18">
        <v>53.53</v>
      </c>
      <c r="C56" s="18">
        <v>26.96</v>
      </c>
      <c r="D56" s="18">
        <v>19.510000000000002</v>
      </c>
      <c r="E56" s="27">
        <v>24</v>
      </c>
      <c r="F56" s="19">
        <v>17</v>
      </c>
      <c r="G56" s="20">
        <v>24</v>
      </c>
      <c r="H56" s="21">
        <f t="shared" si="16"/>
        <v>291.83010784313728</v>
      </c>
      <c r="I56" s="16"/>
      <c r="J56" s="32" t="s">
        <v>216</v>
      </c>
      <c r="K56" s="18">
        <v>52.69</v>
      </c>
      <c r="L56" s="18">
        <v>28.11</v>
      </c>
      <c r="M56" s="18">
        <v>19.2</v>
      </c>
      <c r="N56" s="27">
        <v>24</v>
      </c>
      <c r="O56" s="19">
        <v>18</v>
      </c>
      <c r="P56" s="20">
        <v>24</v>
      </c>
      <c r="Q56" s="21">
        <f t="shared" si="17"/>
        <v>280.11999074074072</v>
      </c>
      <c r="R56" s="9"/>
      <c r="S56" s="32" t="s">
        <v>216</v>
      </c>
      <c r="T56" s="18">
        <v>51.88</v>
      </c>
      <c r="U56" s="18">
        <v>29.21</v>
      </c>
      <c r="V56" s="18">
        <v>18.91</v>
      </c>
      <c r="W56" s="27">
        <v>24</v>
      </c>
      <c r="X56" s="19">
        <v>19</v>
      </c>
      <c r="Y56" s="20">
        <v>24</v>
      </c>
      <c r="Z56" s="21">
        <f t="shared" si="18"/>
        <v>269.64251754385964</v>
      </c>
      <c r="AB56" s="32" t="s">
        <v>216</v>
      </c>
      <c r="AC56" s="18">
        <v>51.1</v>
      </c>
      <c r="AD56" s="18">
        <v>30.28</v>
      </c>
      <c r="AE56" s="18">
        <v>18.62</v>
      </c>
      <c r="AF56" s="27">
        <v>24</v>
      </c>
      <c r="AG56" s="19">
        <v>20</v>
      </c>
      <c r="AH56" s="20">
        <v>24</v>
      </c>
      <c r="AI56" s="21">
        <f t="shared" si="19"/>
        <v>260.2127916666667</v>
      </c>
    </row>
    <row r="57" spans="1:35" ht="9.75" customHeight="1" x14ac:dyDescent="0.25">
      <c r="A57" s="32" t="s">
        <v>217</v>
      </c>
      <c r="B57" s="18">
        <v>54.34</v>
      </c>
      <c r="C57" s="18">
        <v>27.38</v>
      </c>
      <c r="D57" s="18">
        <v>18.28</v>
      </c>
      <c r="E57" s="27">
        <v>24</v>
      </c>
      <c r="F57" s="19">
        <v>17</v>
      </c>
      <c r="G57" s="20">
        <v>26</v>
      </c>
      <c r="H57" s="21">
        <f t="shared" si="16"/>
        <v>287.55571870286576</v>
      </c>
      <c r="I57" s="16"/>
      <c r="J57" s="32" t="s">
        <v>217</v>
      </c>
      <c r="K57" s="18">
        <v>53.48</v>
      </c>
      <c r="L57" s="18">
        <v>28.53</v>
      </c>
      <c r="M57" s="18">
        <v>17.989999999999998</v>
      </c>
      <c r="N57" s="27">
        <v>24</v>
      </c>
      <c r="O57" s="19">
        <v>18</v>
      </c>
      <c r="P57" s="20">
        <v>26</v>
      </c>
      <c r="Q57" s="21">
        <f t="shared" si="17"/>
        <v>276.08306766381764</v>
      </c>
      <c r="R57" s="9"/>
      <c r="S57" s="32" t="s">
        <v>217</v>
      </c>
      <c r="T57" s="18">
        <v>52.65</v>
      </c>
      <c r="U57" s="18">
        <v>29.64</v>
      </c>
      <c r="V57" s="18">
        <v>17.71</v>
      </c>
      <c r="W57" s="27">
        <v>24</v>
      </c>
      <c r="X57" s="19">
        <v>19</v>
      </c>
      <c r="Y57" s="20">
        <v>26</v>
      </c>
      <c r="Z57" s="21">
        <f t="shared" si="18"/>
        <v>265.81806410256411</v>
      </c>
      <c r="AB57" s="32" t="s">
        <v>217</v>
      </c>
      <c r="AC57" s="18">
        <v>51.84</v>
      </c>
      <c r="AD57" s="18">
        <v>30.72</v>
      </c>
      <c r="AE57" s="18">
        <v>17.440000000000001</v>
      </c>
      <c r="AF57" s="27">
        <v>24</v>
      </c>
      <c r="AG57" s="19">
        <v>20</v>
      </c>
      <c r="AH57" s="20">
        <v>26</v>
      </c>
      <c r="AI57" s="21">
        <f t="shared" si="19"/>
        <v>256.5795608974359</v>
      </c>
    </row>
    <row r="58" spans="1:35" ht="9.75" customHeight="1" x14ac:dyDescent="0.25">
      <c r="A58" s="32" t="s">
        <v>218</v>
      </c>
      <c r="B58" s="18">
        <v>55.06</v>
      </c>
      <c r="C58" s="18">
        <v>27.74</v>
      </c>
      <c r="D58" s="18">
        <v>17.2</v>
      </c>
      <c r="E58" s="27">
        <v>24</v>
      </c>
      <c r="F58" s="19">
        <v>17</v>
      </c>
      <c r="G58" s="20">
        <v>28</v>
      </c>
      <c r="H58" s="21">
        <f t="shared" si="16"/>
        <v>283.89195658263304</v>
      </c>
      <c r="I58" s="16"/>
      <c r="J58" s="32" t="s">
        <v>218</v>
      </c>
      <c r="K58" s="18">
        <v>54.18</v>
      </c>
      <c r="L58" s="18">
        <v>28.9</v>
      </c>
      <c r="M58" s="18">
        <v>16.920000000000002</v>
      </c>
      <c r="N58" s="27">
        <v>24</v>
      </c>
      <c r="O58" s="19">
        <v>18</v>
      </c>
      <c r="P58" s="20">
        <v>28</v>
      </c>
      <c r="Q58" s="21">
        <f t="shared" si="17"/>
        <v>272.62284788359784</v>
      </c>
      <c r="R58" s="9"/>
      <c r="S58" s="32" t="s">
        <v>218</v>
      </c>
      <c r="T58" s="18">
        <v>53.32</v>
      </c>
      <c r="U58" s="18">
        <v>30.02</v>
      </c>
      <c r="V58" s="18">
        <v>16.66</v>
      </c>
      <c r="W58" s="27">
        <v>24</v>
      </c>
      <c r="X58" s="19">
        <v>19</v>
      </c>
      <c r="Y58" s="20">
        <v>28</v>
      </c>
      <c r="Z58" s="21">
        <f t="shared" si="18"/>
        <v>262.5399611528822</v>
      </c>
      <c r="AB58" s="32" t="s">
        <v>218</v>
      </c>
      <c r="AC58" s="18">
        <v>52.49</v>
      </c>
      <c r="AD58" s="18">
        <v>31.11</v>
      </c>
      <c r="AE58" s="18">
        <v>16.399999999999999</v>
      </c>
      <c r="AF58" s="27">
        <v>24</v>
      </c>
      <c r="AG58" s="19">
        <v>20</v>
      </c>
      <c r="AH58" s="20">
        <v>28</v>
      </c>
      <c r="AI58" s="21">
        <f t="shared" si="19"/>
        <v>253.4653630952381</v>
      </c>
    </row>
    <row r="59" spans="1:35" ht="9.75" customHeight="1" x14ac:dyDescent="0.25">
      <c r="A59" s="32" t="s">
        <v>219</v>
      </c>
      <c r="B59" s="18">
        <v>55.7</v>
      </c>
      <c r="C59" s="18">
        <v>28.06</v>
      </c>
      <c r="D59" s="18">
        <v>16.239999999999998</v>
      </c>
      <c r="E59" s="27">
        <v>24</v>
      </c>
      <c r="F59" s="19">
        <v>17</v>
      </c>
      <c r="G59" s="20">
        <v>30</v>
      </c>
      <c r="H59" s="21">
        <f t="shared" si="16"/>
        <v>280.71669607843137</v>
      </c>
      <c r="I59" s="16"/>
      <c r="J59" s="32" t="s">
        <v>219</v>
      </c>
      <c r="K59" s="18">
        <v>54.8</v>
      </c>
      <c r="L59" s="18">
        <v>29.23</v>
      </c>
      <c r="M59" s="18">
        <v>15.97</v>
      </c>
      <c r="N59" s="27">
        <v>24</v>
      </c>
      <c r="O59" s="19">
        <v>18</v>
      </c>
      <c r="P59" s="20">
        <v>30</v>
      </c>
      <c r="Q59" s="21">
        <f t="shared" si="17"/>
        <v>269.62399074074074</v>
      </c>
      <c r="R59" s="9"/>
      <c r="S59" s="32" t="s">
        <v>219</v>
      </c>
      <c r="T59" s="18">
        <v>53.92</v>
      </c>
      <c r="U59" s="18">
        <v>30.36</v>
      </c>
      <c r="V59" s="18">
        <v>15.72</v>
      </c>
      <c r="W59" s="27">
        <v>24</v>
      </c>
      <c r="X59" s="19">
        <v>19</v>
      </c>
      <c r="Y59" s="20">
        <v>30</v>
      </c>
      <c r="Z59" s="21">
        <f t="shared" si="18"/>
        <v>259.69893859649119</v>
      </c>
      <c r="AB59" s="32" t="s">
        <v>219</v>
      </c>
      <c r="AC59" s="18">
        <v>53.07</v>
      </c>
      <c r="AD59" s="18">
        <v>31.46</v>
      </c>
      <c r="AE59" s="18">
        <v>15.47</v>
      </c>
      <c r="AF59" s="27">
        <v>24</v>
      </c>
      <c r="AG59" s="19">
        <v>20</v>
      </c>
      <c r="AH59" s="20">
        <v>30</v>
      </c>
      <c r="AI59" s="21">
        <f t="shared" si="19"/>
        <v>250.76639166666666</v>
      </c>
    </row>
    <row r="60" spans="1:35" x14ac:dyDescent="0.25">
      <c r="B60" s="4"/>
      <c r="C60" s="4"/>
      <c r="D60" s="4"/>
      <c r="E60" s="4"/>
      <c r="F60" s="4"/>
      <c r="G60" s="4"/>
      <c r="H60" s="4"/>
      <c r="I60" s="4"/>
      <c r="K60" s="4"/>
      <c r="L60" s="4"/>
      <c r="M60" s="4"/>
      <c r="N60" s="4"/>
      <c r="O60" s="4"/>
      <c r="P60" s="4"/>
      <c r="Q60" s="4"/>
      <c r="R60" s="4"/>
      <c r="T60" s="4"/>
      <c r="U60" s="4"/>
      <c r="V60" s="4"/>
      <c r="W60" s="4"/>
      <c r="X60" s="4"/>
      <c r="Y60" s="4"/>
      <c r="Z60" s="4"/>
      <c r="AC60" s="4"/>
      <c r="AD60" s="4"/>
      <c r="AE60" s="4"/>
      <c r="AF60" s="4"/>
      <c r="AG60" s="4"/>
      <c r="AH60" s="4"/>
      <c r="AI60" s="4"/>
    </row>
    <row r="61" spans="1:35" x14ac:dyDescent="0.25">
      <c r="B61" s="4"/>
      <c r="C61" s="4"/>
      <c r="D61" s="4"/>
      <c r="E61" s="4"/>
      <c r="F61" s="4"/>
      <c r="G61" s="4"/>
      <c r="H61" s="4"/>
      <c r="I61" s="4"/>
      <c r="K61" s="4"/>
      <c r="L61" s="4"/>
      <c r="M61" s="4"/>
      <c r="N61" s="4"/>
      <c r="O61" s="4"/>
      <c r="P61" s="4"/>
      <c r="Q61" s="4"/>
      <c r="R61" s="4"/>
      <c r="T61" s="4"/>
      <c r="U61" s="4"/>
      <c r="V61" s="4"/>
      <c r="W61" s="4"/>
      <c r="X61" s="4"/>
      <c r="Y61" s="4"/>
      <c r="Z61" s="4"/>
      <c r="AC61" s="4"/>
      <c r="AD61" s="4"/>
      <c r="AE61" s="4"/>
      <c r="AF61" s="4"/>
      <c r="AG61" s="4"/>
      <c r="AH61" s="4"/>
      <c r="AI61" s="4"/>
    </row>
    <row r="62" spans="1:35" x14ac:dyDescent="0.25">
      <c r="B62" s="4"/>
      <c r="C62" s="4"/>
      <c r="D62" s="4"/>
      <c r="E62" s="4"/>
      <c r="F62" s="4"/>
      <c r="G62" s="4"/>
      <c r="H62" s="4"/>
      <c r="I62" s="4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  <c r="AC62" s="4"/>
      <c r="AD62" s="4"/>
      <c r="AE62" s="4"/>
      <c r="AF62" s="4"/>
      <c r="AG62" s="4"/>
      <c r="AH62" s="4"/>
      <c r="AI62" s="4"/>
    </row>
    <row r="63" spans="1:35" x14ac:dyDescent="0.25">
      <c r="B63" s="4"/>
      <c r="C63" s="4"/>
      <c r="D63" s="4"/>
      <c r="E63" s="4"/>
      <c r="F63" s="4"/>
      <c r="G63" s="4"/>
      <c r="H63" s="4"/>
      <c r="I63" s="4"/>
      <c r="K63" s="4"/>
      <c r="L63" s="4"/>
      <c r="M63" s="4"/>
      <c r="N63" s="4"/>
      <c r="O63" s="4"/>
      <c r="P63" s="4"/>
      <c r="Q63" s="4"/>
      <c r="R63" s="4"/>
      <c r="T63" s="4"/>
      <c r="U63" s="4"/>
      <c r="V63" s="4"/>
      <c r="W63" s="4"/>
      <c r="X63" s="4"/>
      <c r="Y63" s="4"/>
      <c r="Z63" s="4"/>
      <c r="AC63" s="4"/>
      <c r="AD63" s="4"/>
      <c r="AE63" s="4"/>
      <c r="AF63" s="4"/>
      <c r="AG63" s="4"/>
      <c r="AH63" s="4"/>
      <c r="AI63" s="4"/>
    </row>
    <row r="64" spans="1:35" x14ac:dyDescent="0.25">
      <c r="B64" s="4"/>
      <c r="C64" s="4"/>
      <c r="D64" s="4"/>
      <c r="E64" s="4"/>
      <c r="F64" s="4"/>
      <c r="G64" s="4"/>
      <c r="H64" s="4"/>
      <c r="I64" s="4"/>
      <c r="K64" s="4"/>
      <c r="L64" s="4"/>
      <c r="M64" s="4"/>
      <c r="N64" s="4"/>
      <c r="O64" s="4"/>
      <c r="P64" s="4"/>
      <c r="Q64" s="4"/>
      <c r="R64" s="4"/>
      <c r="T64" s="4"/>
      <c r="U64" s="4"/>
      <c r="V64" s="4"/>
      <c r="W64" s="4"/>
      <c r="X64" s="4"/>
      <c r="Y64" s="4"/>
      <c r="Z64" s="4"/>
      <c r="AC64" s="4"/>
      <c r="AD64" s="4"/>
      <c r="AE64" s="4"/>
      <c r="AF64" s="4"/>
      <c r="AG64" s="4"/>
      <c r="AH64" s="4"/>
      <c r="AI64" s="4"/>
    </row>
    <row r="65" spans="2:35" x14ac:dyDescent="0.25">
      <c r="B65" s="4"/>
      <c r="C65" s="4"/>
      <c r="D65" s="4"/>
      <c r="E65" s="4"/>
      <c r="F65" s="4"/>
      <c r="G65" s="4"/>
      <c r="H65" s="4"/>
      <c r="I65" s="4"/>
      <c r="K65" s="4"/>
      <c r="L65" s="4"/>
      <c r="M65" s="4"/>
      <c r="N65" s="4"/>
      <c r="O65" s="4"/>
      <c r="P65" s="4"/>
      <c r="Q65" s="4"/>
      <c r="R65" s="4"/>
      <c r="T65" s="4"/>
      <c r="U65" s="4"/>
      <c r="V65" s="4"/>
      <c r="W65" s="4"/>
      <c r="X65" s="4"/>
      <c r="Y65" s="4"/>
      <c r="Z65" s="4"/>
      <c r="AC65" s="4"/>
      <c r="AD65" s="4"/>
      <c r="AE65" s="4"/>
      <c r="AF65" s="4"/>
      <c r="AG65" s="4"/>
      <c r="AH65" s="4"/>
      <c r="AI65" s="4"/>
    </row>
    <row r="66" spans="2:35" x14ac:dyDescent="0.25">
      <c r="B66" s="4"/>
      <c r="C66" s="4"/>
      <c r="D66" s="4"/>
      <c r="E66" s="4"/>
      <c r="F66" s="4"/>
      <c r="G66" s="4"/>
      <c r="H66" s="4"/>
      <c r="I66" s="4"/>
      <c r="K66" s="4"/>
      <c r="L66" s="4"/>
      <c r="M66" s="4"/>
      <c r="N66" s="4"/>
      <c r="O66" s="4"/>
      <c r="P66" s="4"/>
      <c r="Q66" s="4"/>
      <c r="R66" s="4"/>
      <c r="T66" s="4"/>
      <c r="U66" s="4"/>
      <c r="V66" s="4"/>
      <c r="W66" s="4"/>
      <c r="X66" s="4"/>
      <c r="Y66" s="4"/>
      <c r="Z66" s="4"/>
      <c r="AC66" s="4"/>
      <c r="AD66" s="4"/>
      <c r="AE66" s="4"/>
      <c r="AF66" s="4"/>
      <c r="AG66" s="4"/>
      <c r="AH66" s="4"/>
      <c r="AI66" s="4"/>
    </row>
    <row r="67" spans="2:35" x14ac:dyDescent="0.25">
      <c r="B67" s="4"/>
      <c r="C67" s="4"/>
      <c r="D67" s="4"/>
      <c r="E67" s="4"/>
      <c r="F67" s="4"/>
      <c r="G67" s="4"/>
      <c r="H67" s="4"/>
      <c r="I67" s="4"/>
      <c r="K67" s="4"/>
      <c r="L67" s="4"/>
      <c r="M67" s="4"/>
      <c r="N67" s="4"/>
      <c r="O67" s="4"/>
      <c r="P67" s="4"/>
      <c r="Q67" s="4"/>
      <c r="R67" s="4"/>
      <c r="T67" s="4"/>
      <c r="U67" s="4"/>
      <c r="V67" s="4"/>
      <c r="W67" s="4"/>
      <c r="X67" s="4"/>
      <c r="Y67" s="4"/>
      <c r="Z67" s="4"/>
      <c r="AC67" s="4"/>
      <c r="AD67" s="4"/>
      <c r="AE67" s="4"/>
      <c r="AF67" s="4"/>
      <c r="AG67" s="4"/>
      <c r="AH67" s="4"/>
      <c r="AI67" s="4"/>
    </row>
    <row r="68" spans="2:35" x14ac:dyDescent="0.25">
      <c r="B68" s="4"/>
      <c r="C68" s="4"/>
      <c r="D68" s="4"/>
      <c r="E68" s="4"/>
      <c r="F68" s="4"/>
      <c r="G68" s="4"/>
      <c r="H68" s="4"/>
      <c r="I68" s="4"/>
      <c r="K68" s="4"/>
      <c r="L68" s="4"/>
      <c r="M68" s="4"/>
      <c r="N68" s="4"/>
      <c r="O68" s="4"/>
      <c r="P68" s="4"/>
      <c r="Q68" s="4"/>
      <c r="R68" s="4"/>
      <c r="T68" s="4"/>
      <c r="U68" s="4"/>
      <c r="V68" s="4"/>
      <c r="W68" s="4"/>
      <c r="X68" s="4"/>
      <c r="Y68" s="4"/>
      <c r="Z68" s="4"/>
      <c r="AC68" s="4"/>
      <c r="AD68" s="4"/>
      <c r="AE68" s="4"/>
      <c r="AF68" s="4"/>
      <c r="AG68" s="4"/>
      <c r="AH68" s="4"/>
      <c r="AI68" s="4"/>
    </row>
    <row r="69" spans="2:35" x14ac:dyDescent="0.25">
      <c r="B69" s="4"/>
      <c r="C69" s="4"/>
      <c r="D69" s="4"/>
      <c r="E69" s="4"/>
      <c r="F69" s="4"/>
      <c r="G69" s="4"/>
      <c r="H69" s="4"/>
      <c r="I69" s="4"/>
      <c r="K69" s="4"/>
      <c r="L69" s="4"/>
      <c r="M69" s="4"/>
      <c r="N69" s="4"/>
      <c r="O69" s="4"/>
      <c r="P69" s="4"/>
      <c r="Q69" s="4"/>
      <c r="R69" s="4"/>
      <c r="T69" s="4"/>
      <c r="U69" s="4"/>
      <c r="V69" s="4"/>
      <c r="W69" s="4"/>
      <c r="X69" s="4"/>
      <c r="Y69" s="4"/>
      <c r="Z69" s="4"/>
      <c r="AC69" s="4"/>
      <c r="AD69" s="4"/>
      <c r="AE69" s="4"/>
      <c r="AF69" s="4"/>
      <c r="AG69" s="4"/>
      <c r="AH69" s="4"/>
      <c r="AI69" s="4"/>
    </row>
    <row r="70" spans="2:35" x14ac:dyDescent="0.25">
      <c r="B70" s="4"/>
      <c r="C70" s="4"/>
      <c r="D70" s="4"/>
      <c r="E70" s="4"/>
      <c r="F70" s="4"/>
      <c r="G70" s="4"/>
      <c r="H70" s="4"/>
      <c r="I70" s="4"/>
      <c r="K70" s="4"/>
      <c r="L70" s="4"/>
      <c r="M70" s="4"/>
      <c r="N70" s="4"/>
      <c r="O70" s="4"/>
      <c r="P70" s="4"/>
      <c r="Q70" s="4"/>
      <c r="R70" s="4"/>
      <c r="T70" s="4"/>
      <c r="U70" s="4"/>
      <c r="V70" s="4"/>
      <c r="W70" s="4"/>
      <c r="X70" s="4"/>
      <c r="Y70" s="4"/>
      <c r="Z70" s="4"/>
      <c r="AC70" s="4"/>
      <c r="AD70" s="4"/>
      <c r="AE70" s="4"/>
      <c r="AF70" s="4"/>
      <c r="AG70" s="4"/>
      <c r="AH70" s="4"/>
      <c r="AI70" s="4"/>
    </row>
    <row r="71" spans="2:35" x14ac:dyDescent="0.25">
      <c r="B71" s="4"/>
      <c r="C71" s="4"/>
      <c r="D71" s="4"/>
      <c r="E71" s="4"/>
      <c r="F71" s="4"/>
      <c r="G71" s="4"/>
      <c r="H71" s="4"/>
      <c r="I71" s="4"/>
      <c r="K71" s="4"/>
      <c r="L71" s="4"/>
      <c r="M71" s="4"/>
      <c r="N71" s="4"/>
      <c r="O71" s="4"/>
      <c r="P71" s="4"/>
      <c r="Q71" s="4"/>
      <c r="R71" s="4"/>
      <c r="T71" s="4"/>
      <c r="U71" s="4"/>
      <c r="V71" s="4"/>
      <c r="W71" s="4"/>
      <c r="X71" s="4"/>
      <c r="Y71" s="4"/>
      <c r="Z71" s="4"/>
      <c r="AC71" s="4"/>
      <c r="AD71" s="4"/>
      <c r="AE71" s="4"/>
      <c r="AF71" s="4"/>
      <c r="AG71" s="4"/>
      <c r="AH71" s="4"/>
      <c r="AI71" s="4"/>
    </row>
    <row r="72" spans="2:35" x14ac:dyDescent="0.25">
      <c r="B72" s="4"/>
      <c r="C72" s="4"/>
      <c r="D72" s="4"/>
      <c r="E72" s="4"/>
      <c r="F72" s="4"/>
      <c r="G72" s="4"/>
      <c r="H72" s="4"/>
      <c r="I72" s="4"/>
      <c r="K72" s="4"/>
      <c r="L72" s="4"/>
      <c r="M72" s="4"/>
      <c r="N72" s="4"/>
      <c r="O72" s="4"/>
      <c r="P72" s="4"/>
      <c r="Q72" s="4"/>
      <c r="R72" s="4"/>
      <c r="T72" s="4"/>
      <c r="U72" s="4"/>
      <c r="V72" s="4"/>
      <c r="W72" s="4"/>
      <c r="X72" s="4"/>
      <c r="Y72" s="4"/>
      <c r="Z72" s="4"/>
      <c r="AC72" s="4"/>
      <c r="AD72" s="4"/>
      <c r="AE72" s="4"/>
      <c r="AF72" s="4"/>
      <c r="AG72" s="4"/>
      <c r="AH72" s="4"/>
      <c r="AI72" s="4"/>
    </row>
    <row r="73" spans="2:35" x14ac:dyDescent="0.25">
      <c r="B73" s="4"/>
      <c r="C73" s="4"/>
      <c r="D73" s="4"/>
      <c r="E73" s="4"/>
      <c r="F73" s="4"/>
      <c r="G73" s="4"/>
      <c r="H73" s="4"/>
      <c r="I73" s="4"/>
      <c r="K73" s="4"/>
      <c r="L73" s="4"/>
      <c r="M73" s="4"/>
      <c r="N73" s="4"/>
      <c r="O73" s="4"/>
      <c r="P73" s="4"/>
      <c r="Q73" s="4"/>
      <c r="R73" s="4"/>
      <c r="T73" s="4"/>
      <c r="U73" s="4"/>
      <c r="V73" s="4"/>
      <c r="W73" s="4"/>
      <c r="X73" s="4"/>
      <c r="Y73" s="4"/>
      <c r="Z73" s="4"/>
      <c r="AC73" s="4"/>
      <c r="AD73" s="4"/>
      <c r="AE73" s="4"/>
      <c r="AF73" s="4"/>
      <c r="AG73" s="4"/>
      <c r="AH73" s="4"/>
      <c r="AI73" s="4"/>
    </row>
    <row r="74" spans="2:35" x14ac:dyDescent="0.25">
      <c r="B74" s="4"/>
      <c r="C74" s="4"/>
      <c r="D74" s="4"/>
      <c r="E74" s="4"/>
      <c r="F74" s="4"/>
      <c r="G74" s="4"/>
      <c r="H74" s="4"/>
      <c r="I74" s="4"/>
      <c r="K74" s="4"/>
      <c r="L74" s="4"/>
      <c r="M74" s="4"/>
      <c r="N74" s="4"/>
      <c r="O74" s="4"/>
      <c r="P74" s="4"/>
      <c r="Q74" s="4"/>
      <c r="R74" s="4"/>
      <c r="T74" s="4"/>
      <c r="U74" s="4"/>
      <c r="V74" s="4"/>
      <c r="W74" s="4"/>
      <c r="X74" s="4"/>
      <c r="Y74" s="4"/>
      <c r="Z74" s="4"/>
      <c r="AC74" s="4"/>
      <c r="AD74" s="4"/>
      <c r="AE74" s="4"/>
      <c r="AF74" s="4"/>
      <c r="AG74" s="4"/>
      <c r="AH74" s="4"/>
      <c r="AI74" s="4"/>
    </row>
    <row r="75" spans="2:35" x14ac:dyDescent="0.25">
      <c r="B75" s="4"/>
      <c r="C75" s="4"/>
      <c r="D75" s="4"/>
      <c r="E75" s="4"/>
      <c r="F75" s="4"/>
      <c r="G75" s="4"/>
      <c r="H75" s="4"/>
      <c r="I75" s="4"/>
      <c r="K75" s="4"/>
      <c r="L75" s="4"/>
      <c r="M75" s="4"/>
      <c r="N75" s="4"/>
      <c r="O75" s="4"/>
      <c r="P75" s="4"/>
      <c r="Q75" s="4"/>
      <c r="R75" s="4"/>
      <c r="T75" s="4"/>
      <c r="U75" s="4"/>
      <c r="V75" s="4"/>
      <c r="W75" s="4"/>
      <c r="X75" s="4"/>
      <c r="Y75" s="4"/>
      <c r="Z75" s="4"/>
      <c r="AC75" s="4"/>
      <c r="AD75" s="4"/>
      <c r="AE75" s="4"/>
      <c r="AF75" s="4"/>
      <c r="AG75" s="4"/>
      <c r="AH75" s="4"/>
      <c r="AI75" s="4"/>
    </row>
    <row r="76" spans="2:35" x14ac:dyDescent="0.25">
      <c r="B76" s="4"/>
      <c r="C76" s="4"/>
      <c r="D76" s="4"/>
      <c r="E76" s="4"/>
      <c r="F76" s="4"/>
      <c r="G76" s="4"/>
      <c r="H76" s="4"/>
      <c r="I76" s="4"/>
      <c r="K76" s="4"/>
      <c r="L76" s="4"/>
      <c r="M76" s="4"/>
      <c r="N76" s="4"/>
      <c r="O76" s="4"/>
      <c r="P76" s="4"/>
      <c r="Q76" s="4"/>
      <c r="R76" s="4"/>
      <c r="T76" s="4"/>
      <c r="U76" s="4"/>
      <c r="V76" s="4"/>
      <c r="W76" s="4"/>
      <c r="X76" s="4"/>
      <c r="Y76" s="4"/>
      <c r="Z76" s="4"/>
      <c r="AC76" s="4"/>
      <c r="AD76" s="4"/>
      <c r="AE76" s="4"/>
      <c r="AF76" s="4"/>
      <c r="AG76" s="4"/>
      <c r="AH76" s="4"/>
      <c r="AI76" s="4"/>
    </row>
    <row r="77" spans="2:35" x14ac:dyDescent="0.25">
      <c r="B77" s="4"/>
      <c r="C77" s="4"/>
      <c r="D77" s="4"/>
      <c r="E77" s="4"/>
      <c r="F77" s="4"/>
      <c r="G77" s="4"/>
      <c r="H77" s="4"/>
      <c r="I77" s="4"/>
      <c r="K77" s="4"/>
      <c r="L77" s="4"/>
      <c r="M77" s="4"/>
      <c r="N77" s="4"/>
      <c r="O77" s="4"/>
      <c r="P77" s="4"/>
      <c r="Q77" s="4"/>
      <c r="R77" s="4"/>
      <c r="T77" s="4"/>
      <c r="U77" s="4"/>
      <c r="V77" s="4"/>
      <c r="W77" s="4"/>
      <c r="X77" s="4"/>
      <c r="Y77" s="4"/>
      <c r="Z77" s="4"/>
      <c r="AC77" s="4"/>
      <c r="AD77" s="4"/>
      <c r="AE77" s="4"/>
      <c r="AF77" s="4"/>
      <c r="AG77" s="4"/>
      <c r="AH77" s="4"/>
      <c r="AI77" s="4"/>
    </row>
    <row r="78" spans="2:35" x14ac:dyDescent="0.25">
      <c r="B78" s="4"/>
      <c r="C78" s="4"/>
      <c r="D78" s="4"/>
      <c r="E78" s="4"/>
      <c r="F78" s="4"/>
      <c r="G78" s="4"/>
      <c r="H78" s="4"/>
      <c r="I78" s="4"/>
      <c r="K78" s="4"/>
      <c r="L78" s="4"/>
      <c r="M78" s="4"/>
      <c r="N78" s="4"/>
      <c r="O78" s="4"/>
      <c r="P78" s="4"/>
      <c r="Q78" s="4"/>
      <c r="R78" s="4"/>
      <c r="T78" s="4"/>
      <c r="U78" s="4"/>
      <c r="V78" s="4"/>
      <c r="W78" s="4"/>
      <c r="X78" s="4"/>
      <c r="Y78" s="4"/>
      <c r="Z78" s="4"/>
      <c r="AC78" s="4"/>
      <c r="AD78" s="4"/>
      <c r="AE78" s="4"/>
      <c r="AF78" s="4"/>
      <c r="AG78" s="4"/>
      <c r="AH78" s="4"/>
      <c r="AI78" s="4"/>
    </row>
    <row r="79" spans="2:35" x14ac:dyDescent="0.25">
      <c r="B79" s="4"/>
      <c r="C79" s="4"/>
      <c r="D79" s="4"/>
      <c r="E79" s="4"/>
      <c r="F79" s="4"/>
      <c r="G79" s="4"/>
      <c r="H79" s="4"/>
      <c r="I79" s="4"/>
      <c r="K79" s="4"/>
      <c r="L79" s="4"/>
      <c r="M79" s="4"/>
      <c r="N79" s="4"/>
      <c r="O79" s="4"/>
      <c r="P79" s="4"/>
      <c r="Q79" s="4"/>
      <c r="R79" s="4"/>
      <c r="T79" s="4"/>
      <c r="U79" s="4"/>
      <c r="V79" s="4"/>
      <c r="W79" s="4"/>
      <c r="X79" s="4"/>
      <c r="Y79" s="4"/>
      <c r="Z79" s="4"/>
      <c r="AC79" s="4"/>
      <c r="AD79" s="4"/>
      <c r="AE79" s="4"/>
      <c r="AF79" s="4"/>
      <c r="AG79" s="4"/>
      <c r="AH79" s="4"/>
      <c r="AI79" s="4"/>
    </row>
    <row r="80" spans="2:35" x14ac:dyDescent="0.25">
      <c r="B80" s="4"/>
      <c r="C80" s="4"/>
      <c r="D80" s="4"/>
      <c r="E80" s="4"/>
      <c r="F80" s="4"/>
      <c r="G80" s="4"/>
      <c r="H80" s="4"/>
      <c r="I80" s="4"/>
      <c r="K80" s="4"/>
      <c r="L80" s="4"/>
      <c r="M80" s="4"/>
      <c r="N80" s="4"/>
      <c r="O80" s="4"/>
      <c r="P80" s="4"/>
      <c r="Q80" s="4"/>
      <c r="R80" s="4"/>
      <c r="T80" s="4"/>
      <c r="U80" s="4"/>
      <c r="V80" s="4"/>
      <c r="W80" s="4"/>
      <c r="X80" s="4"/>
      <c r="Y80" s="4"/>
      <c r="Z80" s="4"/>
      <c r="AC80" s="4"/>
      <c r="AD80" s="4"/>
      <c r="AE80" s="4"/>
      <c r="AF80" s="4"/>
      <c r="AG80" s="4"/>
      <c r="AH80" s="4"/>
      <c r="AI80" s="4"/>
    </row>
    <row r="81" spans="2:35" x14ac:dyDescent="0.25">
      <c r="B81" s="4"/>
      <c r="C81" s="4"/>
      <c r="D81" s="4"/>
      <c r="E81" s="4"/>
      <c r="F81" s="4"/>
      <c r="G81" s="4"/>
      <c r="H81" s="4"/>
      <c r="I81" s="4"/>
      <c r="K81" s="4"/>
      <c r="L81" s="4"/>
      <c r="M81" s="4"/>
      <c r="N81" s="4"/>
      <c r="O81" s="4"/>
      <c r="P81" s="4"/>
      <c r="Q81" s="4"/>
      <c r="R81" s="4"/>
      <c r="T81" s="4"/>
      <c r="U81" s="4"/>
      <c r="V81" s="4"/>
      <c r="W81" s="4"/>
      <c r="X81" s="4"/>
      <c r="Y81" s="4"/>
      <c r="Z81" s="4"/>
      <c r="AC81" s="4"/>
      <c r="AD81" s="4"/>
      <c r="AE81" s="4"/>
      <c r="AF81" s="4"/>
      <c r="AG81" s="4"/>
      <c r="AH81" s="4"/>
      <c r="AI81" s="4"/>
    </row>
    <row r="82" spans="2:35" x14ac:dyDescent="0.25">
      <c r="B82" s="4"/>
      <c r="C82" s="4"/>
      <c r="D82" s="4"/>
      <c r="E82" s="4"/>
      <c r="F82" s="4"/>
      <c r="G82" s="4"/>
      <c r="H82" s="4"/>
      <c r="I82" s="4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  <c r="AC82" s="4"/>
      <c r="AD82" s="4"/>
      <c r="AE82" s="4"/>
      <c r="AF82" s="4"/>
      <c r="AG82" s="4"/>
      <c r="AH82" s="4"/>
      <c r="AI82" s="4"/>
    </row>
    <row r="83" spans="2:35" x14ac:dyDescent="0.25">
      <c r="B83" s="4"/>
      <c r="C83" s="4"/>
      <c r="D83" s="4"/>
      <c r="E83" s="4"/>
      <c r="F83" s="4"/>
      <c r="G83" s="4"/>
      <c r="H83" s="4"/>
      <c r="I83" s="4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  <c r="AC83" s="4"/>
      <c r="AD83" s="4"/>
      <c r="AE83" s="4"/>
      <c r="AF83" s="4"/>
      <c r="AG83" s="4"/>
      <c r="AH83" s="4"/>
      <c r="AI83" s="4"/>
    </row>
    <row r="84" spans="2:35" x14ac:dyDescent="0.25">
      <c r="B84" s="4"/>
      <c r="C84" s="4"/>
      <c r="D84" s="4"/>
      <c r="E84" s="4"/>
      <c r="F84" s="4"/>
      <c r="G84" s="4"/>
      <c r="H84" s="4"/>
      <c r="I84" s="4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  <c r="AC84" s="4"/>
      <c r="AD84" s="4"/>
      <c r="AE84" s="4"/>
      <c r="AF84" s="4"/>
      <c r="AG84" s="4"/>
      <c r="AH84" s="4"/>
      <c r="AI84" s="4"/>
    </row>
    <row r="85" spans="2:35" x14ac:dyDescent="0.25">
      <c r="B85" s="4"/>
      <c r="C85" s="4"/>
      <c r="D85" s="4"/>
      <c r="E85" s="4"/>
      <c r="F85" s="4"/>
      <c r="G85" s="4"/>
      <c r="H85" s="4"/>
      <c r="I85" s="4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  <c r="AC85" s="4"/>
      <c r="AD85" s="4"/>
      <c r="AE85" s="4"/>
      <c r="AF85" s="4"/>
      <c r="AG85" s="4"/>
      <c r="AH85" s="4"/>
      <c r="AI85" s="4"/>
    </row>
    <row r="86" spans="2:35" x14ac:dyDescent="0.25">
      <c r="B86" s="4"/>
      <c r="C86" s="4"/>
      <c r="D86" s="4"/>
      <c r="E86" s="4"/>
      <c r="F86" s="4"/>
      <c r="G86" s="4"/>
      <c r="H86" s="4"/>
      <c r="I86" s="4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  <c r="AC86" s="4"/>
      <c r="AD86" s="4"/>
      <c r="AE86" s="4"/>
      <c r="AF86" s="4"/>
      <c r="AG86" s="4"/>
      <c r="AH86" s="4"/>
      <c r="AI86" s="4"/>
    </row>
    <row r="87" spans="2:35" x14ac:dyDescent="0.25">
      <c r="B87" s="4"/>
      <c r="C87" s="4"/>
      <c r="D87" s="4"/>
      <c r="E87" s="4"/>
      <c r="F87" s="4"/>
      <c r="G87" s="4"/>
      <c r="H87" s="4"/>
      <c r="I87" s="4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  <c r="AC87" s="4"/>
      <c r="AD87" s="4"/>
      <c r="AE87" s="4"/>
      <c r="AF87" s="4"/>
      <c r="AG87" s="4"/>
      <c r="AH87" s="4"/>
      <c r="AI87" s="4"/>
    </row>
    <row r="88" spans="2:35" x14ac:dyDescent="0.25">
      <c r="B88" s="4"/>
      <c r="C88" s="4"/>
      <c r="D88" s="4"/>
      <c r="E88" s="4"/>
      <c r="F88" s="4"/>
      <c r="G88" s="4"/>
      <c r="H88" s="4"/>
      <c r="I88" s="4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  <c r="AC88" s="4"/>
      <c r="AD88" s="4"/>
      <c r="AE88" s="4"/>
      <c r="AF88" s="4"/>
      <c r="AG88" s="4"/>
      <c r="AH88" s="4"/>
      <c r="AI88" s="4"/>
    </row>
    <row r="89" spans="2:35" x14ac:dyDescent="0.25">
      <c r="B89" s="4"/>
      <c r="C89" s="4"/>
      <c r="D89" s="4"/>
      <c r="E89" s="4"/>
      <c r="F89" s="4"/>
      <c r="G89" s="4"/>
      <c r="H89" s="4"/>
      <c r="I89" s="4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  <c r="AC89" s="4"/>
      <c r="AD89" s="4"/>
      <c r="AE89" s="4"/>
      <c r="AF89" s="4"/>
      <c r="AG89" s="4"/>
      <c r="AH89" s="4"/>
      <c r="AI89" s="4"/>
    </row>
    <row r="90" spans="2:35" x14ac:dyDescent="0.25">
      <c r="B90" s="4"/>
      <c r="C90" s="4"/>
      <c r="D90" s="4"/>
      <c r="E90" s="4"/>
      <c r="F90" s="4"/>
      <c r="G90" s="4"/>
      <c r="H90" s="4"/>
      <c r="I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  <c r="AC90" s="4"/>
      <c r="AD90" s="4"/>
      <c r="AE90" s="4"/>
      <c r="AF90" s="4"/>
      <c r="AG90" s="4"/>
      <c r="AH90" s="4"/>
      <c r="AI90" s="4"/>
    </row>
    <row r="91" spans="2:35" x14ac:dyDescent="0.25">
      <c r="B91" s="4"/>
      <c r="C91" s="4"/>
      <c r="D91" s="4"/>
      <c r="E91" s="4"/>
      <c r="F91" s="4"/>
      <c r="G91" s="4"/>
      <c r="H91" s="4"/>
      <c r="I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  <c r="AC91" s="4"/>
      <c r="AD91" s="4"/>
      <c r="AE91" s="4"/>
      <c r="AF91" s="4"/>
      <c r="AG91" s="4"/>
      <c r="AH91" s="4"/>
      <c r="AI91" s="4"/>
    </row>
    <row r="92" spans="2:35" x14ac:dyDescent="0.25">
      <c r="B92" s="4"/>
      <c r="C92" s="4"/>
      <c r="D92" s="4"/>
      <c r="E92" s="4"/>
      <c r="F92" s="4"/>
      <c r="G92" s="4"/>
      <c r="H92" s="4"/>
      <c r="I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  <c r="AC92" s="4"/>
      <c r="AD92" s="4"/>
      <c r="AE92" s="4"/>
      <c r="AF92" s="4"/>
      <c r="AG92" s="4"/>
      <c r="AH92" s="4"/>
      <c r="AI92" s="4"/>
    </row>
    <row r="93" spans="2:35" x14ac:dyDescent="0.25">
      <c r="B93" s="4"/>
      <c r="C93" s="4"/>
      <c r="D93" s="4"/>
      <c r="E93" s="4"/>
      <c r="F93" s="4"/>
      <c r="G93" s="4"/>
      <c r="H93" s="4"/>
      <c r="I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  <c r="AC93" s="4"/>
      <c r="AD93" s="4"/>
      <c r="AE93" s="4"/>
      <c r="AF93" s="4"/>
      <c r="AG93" s="4"/>
      <c r="AH93" s="4"/>
      <c r="AI93" s="4"/>
    </row>
    <row r="94" spans="2:35" x14ac:dyDescent="0.25">
      <c r="B94" s="4"/>
      <c r="C94" s="4"/>
      <c r="D94" s="4"/>
      <c r="E94" s="4"/>
      <c r="F94" s="4"/>
      <c r="G94" s="4"/>
      <c r="H94" s="4"/>
      <c r="I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  <c r="AC94" s="4"/>
      <c r="AD94" s="4"/>
      <c r="AE94" s="4"/>
      <c r="AF94" s="4"/>
      <c r="AG94" s="4"/>
      <c r="AH94" s="4"/>
      <c r="AI94" s="4"/>
    </row>
    <row r="95" spans="2:35" x14ac:dyDescent="0.25"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  <c r="AC95" s="4"/>
      <c r="AD95" s="4"/>
      <c r="AE95" s="4"/>
      <c r="AF95" s="4"/>
      <c r="AG95" s="4"/>
      <c r="AH95" s="4"/>
      <c r="AI95" s="4"/>
    </row>
    <row r="96" spans="2:35" x14ac:dyDescent="0.25"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  <c r="AC96" s="4"/>
      <c r="AD96" s="4"/>
      <c r="AE96" s="4"/>
      <c r="AF96" s="4"/>
      <c r="AG96" s="4"/>
      <c r="AH96" s="4"/>
      <c r="AI96" s="4"/>
    </row>
    <row r="97" spans="2:35" x14ac:dyDescent="0.25"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  <c r="AC97" s="4"/>
      <c r="AD97" s="4"/>
      <c r="AE97" s="4"/>
      <c r="AF97" s="4"/>
      <c r="AG97" s="4"/>
      <c r="AH97" s="4"/>
      <c r="AI97" s="4"/>
    </row>
    <row r="98" spans="2:35" x14ac:dyDescent="0.25"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  <c r="AC98" s="4"/>
      <c r="AD98" s="4"/>
      <c r="AE98" s="4"/>
      <c r="AF98" s="4"/>
      <c r="AG98" s="4"/>
      <c r="AH98" s="4"/>
      <c r="AI98" s="4"/>
    </row>
    <row r="99" spans="2:35" x14ac:dyDescent="0.25"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  <c r="AC99" s="4"/>
      <c r="AD99" s="4"/>
      <c r="AE99" s="4"/>
      <c r="AF99" s="4"/>
      <c r="AG99" s="4"/>
      <c r="AH99" s="4"/>
      <c r="AI99" s="4"/>
    </row>
    <row r="100" spans="2:35" x14ac:dyDescent="0.25"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  <c r="AC100" s="4"/>
      <c r="AD100" s="4"/>
      <c r="AE100" s="4"/>
      <c r="AF100" s="4"/>
      <c r="AG100" s="4"/>
      <c r="AH100" s="4"/>
      <c r="AI100" s="4"/>
    </row>
  </sheetData>
  <mergeCells count="5">
    <mergeCell ref="A1:AI1"/>
    <mergeCell ref="B2:D2"/>
    <mergeCell ref="K2:M2"/>
    <mergeCell ref="T2:V2"/>
    <mergeCell ref="AC2:A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"/>
  <sheetViews>
    <sheetView workbookViewId="0">
      <selection activeCell="L31" sqref="A1:XFD1048576"/>
    </sheetView>
  </sheetViews>
  <sheetFormatPr defaultRowHeight="15" x14ac:dyDescent="0.25"/>
  <cols>
    <col min="1" max="1" width="10.7109375" style="2" customWidth="1"/>
    <col min="2" max="4" width="7.42578125" style="2" customWidth="1"/>
    <col min="5" max="7" width="7.42578125" style="30" hidden="1" customWidth="1"/>
    <col min="8" max="8" width="7.42578125" style="2" customWidth="1"/>
    <col min="9" max="9" width="3.140625" style="2" customWidth="1"/>
    <col min="10" max="10" width="10" style="2" customWidth="1"/>
    <col min="11" max="13" width="7.42578125" style="2" customWidth="1"/>
    <col min="14" max="16" width="7.42578125" style="2" hidden="1" customWidth="1"/>
    <col min="17" max="17" width="7.42578125" style="2" customWidth="1"/>
    <col min="18" max="18" width="3.140625" style="2" customWidth="1"/>
    <col min="19" max="19" width="10.140625" style="2" customWidth="1"/>
    <col min="20" max="22" width="7.42578125" style="2" customWidth="1"/>
    <col min="23" max="25" width="7.42578125" style="2" hidden="1" customWidth="1"/>
    <col min="26" max="26" width="7.42578125" style="2" customWidth="1"/>
    <col min="27" max="27" width="3.140625" style="2" customWidth="1"/>
    <col min="28" max="28" width="10.140625" style="2" customWidth="1"/>
    <col min="29" max="31" width="7.42578125" style="2" customWidth="1"/>
    <col min="32" max="34" width="7.42578125" style="2" hidden="1" customWidth="1"/>
    <col min="35" max="35" width="7.42578125" style="2" customWidth="1"/>
    <col min="36" max="1024" width="10" style="2" customWidth="1"/>
    <col min="1025" max="1025" width="10.28515625" customWidth="1"/>
  </cols>
  <sheetData>
    <row r="1" spans="1:35" x14ac:dyDescent="0.25">
      <c r="A1" s="31" t="s">
        <v>220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12.6" customHeight="1" x14ac:dyDescent="0.25">
      <c r="B2" s="31" t="s">
        <v>162</v>
      </c>
      <c r="C2" s="31"/>
      <c r="D2" s="31"/>
      <c r="E2" s="4"/>
      <c r="F2" s="4"/>
      <c r="G2" s="4"/>
      <c r="H2" s="5"/>
      <c r="I2" s="5"/>
      <c r="K2" s="31" t="s">
        <v>163</v>
      </c>
      <c r="L2" s="31"/>
      <c r="M2" s="31"/>
      <c r="N2" s="5"/>
      <c r="O2" s="5"/>
      <c r="P2" s="5"/>
      <c r="Q2" s="5"/>
      <c r="R2" s="5"/>
      <c r="T2" s="31" t="s">
        <v>2</v>
      </c>
      <c r="U2" s="31"/>
      <c r="V2" s="31"/>
      <c r="W2" s="5"/>
      <c r="X2" s="5"/>
      <c r="Y2" s="5"/>
      <c r="Z2" s="5"/>
      <c r="AC2" s="31" t="s">
        <v>164</v>
      </c>
      <c r="AD2" s="31"/>
      <c r="AE2" s="31"/>
      <c r="AF2" s="5"/>
      <c r="AG2" s="5"/>
      <c r="AH2" s="5"/>
      <c r="AI2" s="5"/>
    </row>
    <row r="3" spans="1:35" ht="12.6" customHeight="1" x14ac:dyDescent="0.25">
      <c r="B3" s="6" t="s">
        <v>4</v>
      </c>
      <c r="C3" s="7" t="s">
        <v>165</v>
      </c>
      <c r="D3" s="6" t="s">
        <v>6</v>
      </c>
      <c r="E3" s="8"/>
      <c r="F3" s="8"/>
      <c r="G3" s="8"/>
      <c r="H3" s="9"/>
      <c r="I3" s="9"/>
      <c r="K3" s="6" t="s">
        <v>4</v>
      </c>
      <c r="L3" s="7" t="s">
        <v>165</v>
      </c>
      <c r="M3" s="6" t="s">
        <v>6</v>
      </c>
      <c r="N3" s="9"/>
      <c r="O3" s="9"/>
      <c r="P3" s="9"/>
      <c r="Q3" s="9"/>
      <c r="R3" s="9"/>
      <c r="T3" s="6" t="s">
        <v>4</v>
      </c>
      <c r="U3" s="7" t="s">
        <v>165</v>
      </c>
      <c r="V3" s="6" t="s">
        <v>6</v>
      </c>
      <c r="W3" s="9"/>
      <c r="X3" s="9"/>
      <c r="Y3" s="9"/>
      <c r="Z3" s="9"/>
      <c r="AC3" s="6" t="s">
        <v>4</v>
      </c>
      <c r="AD3" s="7" t="s">
        <v>165</v>
      </c>
      <c r="AE3" s="6" t="s">
        <v>6</v>
      </c>
      <c r="AF3" s="9"/>
      <c r="AG3" s="9"/>
      <c r="AH3" s="9"/>
      <c r="AI3" s="9"/>
    </row>
    <row r="4" spans="1:35" ht="12.6" customHeight="1" x14ac:dyDescent="0.25">
      <c r="A4" s="10" t="s">
        <v>7</v>
      </c>
      <c r="B4" s="6" t="s">
        <v>8</v>
      </c>
      <c r="C4" s="6" t="s">
        <v>8</v>
      </c>
      <c r="D4" s="6" t="s">
        <v>8</v>
      </c>
      <c r="E4" s="8"/>
      <c r="F4" s="8"/>
      <c r="G4" s="8"/>
      <c r="H4" s="11" t="s">
        <v>9</v>
      </c>
      <c r="I4" s="9"/>
      <c r="J4" s="10" t="s">
        <v>7</v>
      </c>
      <c r="K4" s="6" t="s">
        <v>8</v>
      </c>
      <c r="L4" s="6" t="s">
        <v>8</v>
      </c>
      <c r="M4" s="6" t="s">
        <v>8</v>
      </c>
      <c r="N4" s="9"/>
      <c r="O4" s="9"/>
      <c r="P4" s="9"/>
      <c r="Q4" s="11" t="s">
        <v>9</v>
      </c>
      <c r="R4" s="9"/>
      <c r="S4" s="10" t="s">
        <v>7</v>
      </c>
      <c r="T4" s="6" t="s">
        <v>8</v>
      </c>
      <c r="U4" s="6" t="s">
        <v>8</v>
      </c>
      <c r="V4" s="6" t="s">
        <v>8</v>
      </c>
      <c r="W4" s="9"/>
      <c r="X4" s="9"/>
      <c r="Y4" s="9"/>
      <c r="Z4" s="11" t="s">
        <v>9</v>
      </c>
      <c r="AB4" s="10" t="s">
        <v>7</v>
      </c>
      <c r="AC4" s="6" t="s">
        <v>8</v>
      </c>
      <c r="AD4" s="6" t="s">
        <v>8</v>
      </c>
      <c r="AE4" s="6" t="s">
        <v>8</v>
      </c>
      <c r="AF4" s="9"/>
      <c r="AG4" s="9"/>
      <c r="AH4" s="9"/>
      <c r="AI4" s="11" t="s">
        <v>9</v>
      </c>
    </row>
    <row r="5" spans="1:35" ht="12.6" customHeight="1" x14ac:dyDescent="0.25">
      <c r="A5" s="12" t="s">
        <v>10</v>
      </c>
      <c r="B5" s="13" t="s">
        <v>11</v>
      </c>
      <c r="C5" s="13" t="s">
        <v>166</v>
      </c>
      <c r="D5" s="13" t="s">
        <v>13</v>
      </c>
      <c r="E5" s="14"/>
      <c r="F5" s="14"/>
      <c r="G5" s="14"/>
      <c r="H5" s="15" t="s">
        <v>14</v>
      </c>
      <c r="I5" s="16"/>
      <c r="J5" s="12" t="s">
        <v>10</v>
      </c>
      <c r="K5" s="13" t="s">
        <v>11</v>
      </c>
      <c r="L5" s="13" t="s">
        <v>167</v>
      </c>
      <c r="M5" s="13" t="s">
        <v>13</v>
      </c>
      <c r="N5" s="16"/>
      <c r="O5" s="16"/>
      <c r="P5" s="16"/>
      <c r="Q5" s="15" t="s">
        <v>14</v>
      </c>
      <c r="R5" s="16"/>
      <c r="S5" s="12" t="s">
        <v>10</v>
      </c>
      <c r="T5" s="13" t="s">
        <v>11</v>
      </c>
      <c r="U5" s="13" t="s">
        <v>168</v>
      </c>
      <c r="V5" s="13" t="s">
        <v>13</v>
      </c>
      <c r="W5" s="16"/>
      <c r="X5" s="16"/>
      <c r="Y5" s="16"/>
      <c r="Z5" s="15" t="s">
        <v>14</v>
      </c>
      <c r="AB5" s="12" t="s">
        <v>10</v>
      </c>
      <c r="AC5" s="13" t="s">
        <v>11</v>
      </c>
      <c r="AD5" s="13" t="s">
        <v>169</v>
      </c>
      <c r="AE5" s="13" t="s">
        <v>13</v>
      </c>
      <c r="AF5" s="16"/>
      <c r="AG5" s="16"/>
      <c r="AH5" s="16"/>
      <c r="AI5" s="15" t="s">
        <v>14</v>
      </c>
    </row>
    <row r="6" spans="1:35" ht="9.75" customHeight="1" x14ac:dyDescent="0.25">
      <c r="A6" s="32" t="s">
        <v>221</v>
      </c>
      <c r="B6" s="17">
        <v>31.07</v>
      </c>
      <c r="C6" s="17">
        <v>28.17</v>
      </c>
      <c r="D6" s="17">
        <v>40.76</v>
      </c>
      <c r="E6" s="27">
        <v>36</v>
      </c>
      <c r="F6" s="19">
        <v>17</v>
      </c>
      <c r="G6" s="20">
        <v>10</v>
      </c>
      <c r="H6" s="21">
        <f t="shared" ref="H6:H15" si="0">74309.76/E6/F6+47.104+27080.32/G6/F6</f>
        <v>327.82117647058828</v>
      </c>
      <c r="I6" s="16"/>
      <c r="J6" s="32" t="s">
        <v>221</v>
      </c>
      <c r="K6" s="18">
        <v>30.56</v>
      </c>
      <c r="L6" s="18">
        <v>29.34</v>
      </c>
      <c r="M6" s="18">
        <v>40.1</v>
      </c>
      <c r="N6" s="27">
        <v>36</v>
      </c>
      <c r="O6" s="19">
        <v>18</v>
      </c>
      <c r="P6" s="20">
        <v>10</v>
      </c>
      <c r="Q6" s="21">
        <f t="shared" ref="Q6:Q15" si="1">74309.76/N6/O6+47.104+27080.32/P6/O6</f>
        <v>312.22577777777775</v>
      </c>
      <c r="R6" s="16"/>
      <c r="S6" s="32" t="s">
        <v>221</v>
      </c>
      <c r="T6" s="18">
        <v>30.08</v>
      </c>
      <c r="U6" s="18">
        <v>30.47</v>
      </c>
      <c r="V6" s="18">
        <v>39.450000000000003</v>
      </c>
      <c r="W6" s="27">
        <v>36</v>
      </c>
      <c r="X6" s="19">
        <v>19</v>
      </c>
      <c r="Y6" s="20">
        <v>10</v>
      </c>
      <c r="Z6" s="21">
        <f t="shared" ref="Z6:Z15" si="2">74309.76/W6/X6+47.104+27080.32/Y6/X6</f>
        <v>298.27199999999999</v>
      </c>
      <c r="AB6" s="32" t="s">
        <v>221</v>
      </c>
      <c r="AC6" s="33">
        <v>29.6</v>
      </c>
      <c r="AD6" s="33">
        <v>31.57</v>
      </c>
      <c r="AE6" s="33">
        <v>38.83</v>
      </c>
      <c r="AF6" s="27">
        <v>36</v>
      </c>
      <c r="AG6" s="19">
        <v>20</v>
      </c>
      <c r="AH6" s="20">
        <v>10</v>
      </c>
      <c r="AI6" s="21">
        <f t="shared" ref="AI6:AI15" si="3">74309.76/AF6/AG6+47.104+27080.32/AH6/AG6</f>
        <v>285.71360000000004</v>
      </c>
    </row>
    <row r="7" spans="1:35" ht="9.75" customHeight="1" x14ac:dyDescent="0.25">
      <c r="A7" s="32" t="s">
        <v>222</v>
      </c>
      <c r="B7" s="17">
        <v>33.340000000000003</v>
      </c>
      <c r="C7" s="17">
        <v>30.22</v>
      </c>
      <c r="D7" s="17">
        <v>36.44</v>
      </c>
      <c r="E7" s="27">
        <v>36</v>
      </c>
      <c r="F7" s="19">
        <v>17</v>
      </c>
      <c r="G7" s="20">
        <v>12</v>
      </c>
      <c r="H7" s="21">
        <f t="shared" si="0"/>
        <v>301.2718431372549</v>
      </c>
      <c r="I7" s="16"/>
      <c r="J7" s="32" t="s">
        <v>222</v>
      </c>
      <c r="K7" s="18">
        <v>32.75</v>
      </c>
      <c r="L7" s="18">
        <v>31.44</v>
      </c>
      <c r="M7" s="18">
        <v>35.81</v>
      </c>
      <c r="N7" s="27">
        <v>36</v>
      </c>
      <c r="O7" s="19">
        <v>18</v>
      </c>
      <c r="P7" s="20">
        <v>12</v>
      </c>
      <c r="Q7" s="21">
        <f t="shared" si="1"/>
        <v>287.15140740740736</v>
      </c>
      <c r="R7" s="16"/>
      <c r="S7" s="32" t="s">
        <v>222</v>
      </c>
      <c r="T7" s="18">
        <v>32.19</v>
      </c>
      <c r="U7" s="18">
        <v>32.619999999999997</v>
      </c>
      <c r="V7" s="18">
        <v>35.19</v>
      </c>
      <c r="W7" s="27">
        <v>36</v>
      </c>
      <c r="X7" s="19">
        <v>19</v>
      </c>
      <c r="Y7" s="20">
        <v>12</v>
      </c>
      <c r="Z7" s="21">
        <f t="shared" si="2"/>
        <v>274.51733333333328</v>
      </c>
      <c r="AB7" s="32" t="s">
        <v>222</v>
      </c>
      <c r="AC7" s="33">
        <v>31.65</v>
      </c>
      <c r="AD7" s="33">
        <v>33.75</v>
      </c>
      <c r="AE7" s="33">
        <v>34.6</v>
      </c>
      <c r="AF7" s="27">
        <v>36</v>
      </c>
      <c r="AG7" s="19">
        <v>20</v>
      </c>
      <c r="AH7" s="20">
        <v>12</v>
      </c>
      <c r="AI7" s="21">
        <f t="shared" si="3"/>
        <v>263.14666666666665</v>
      </c>
    </row>
    <row r="8" spans="1:35" ht="9.75" customHeight="1" x14ac:dyDescent="0.25">
      <c r="A8" s="32" t="s">
        <v>223</v>
      </c>
      <c r="B8" s="17">
        <v>35.17</v>
      </c>
      <c r="C8" s="17">
        <v>31.88</v>
      </c>
      <c r="D8" s="17">
        <v>32.950000000000003</v>
      </c>
      <c r="E8" s="27">
        <v>36</v>
      </c>
      <c r="F8" s="19">
        <v>17</v>
      </c>
      <c r="G8" s="20">
        <v>14</v>
      </c>
      <c r="H8" s="21">
        <f t="shared" si="0"/>
        <v>282.30803361344539</v>
      </c>
      <c r="I8" s="16"/>
      <c r="J8" s="32" t="s">
        <v>223</v>
      </c>
      <c r="K8" s="18">
        <v>34.520000000000003</v>
      </c>
      <c r="L8" s="18">
        <v>33.14</v>
      </c>
      <c r="M8" s="18">
        <v>32.340000000000003</v>
      </c>
      <c r="N8" s="27">
        <v>36</v>
      </c>
      <c r="O8" s="19">
        <v>18</v>
      </c>
      <c r="P8" s="20">
        <v>14</v>
      </c>
      <c r="Q8" s="21">
        <f t="shared" si="1"/>
        <v>269.24114285714285</v>
      </c>
      <c r="R8" s="16"/>
      <c r="S8" s="32" t="s">
        <v>223</v>
      </c>
      <c r="T8" s="18">
        <v>33.89</v>
      </c>
      <c r="U8" s="18">
        <v>34.35</v>
      </c>
      <c r="V8" s="18">
        <v>31.76</v>
      </c>
      <c r="W8" s="27">
        <v>36</v>
      </c>
      <c r="X8" s="19">
        <v>19</v>
      </c>
      <c r="Y8" s="20">
        <v>14</v>
      </c>
      <c r="Z8" s="21">
        <f t="shared" si="2"/>
        <v>257.54971428571423</v>
      </c>
      <c r="AB8" s="32" t="s">
        <v>223</v>
      </c>
      <c r="AC8" s="33">
        <v>33.29</v>
      </c>
      <c r="AD8" s="33">
        <v>35.51</v>
      </c>
      <c r="AE8" s="33">
        <v>31.2</v>
      </c>
      <c r="AF8" s="27">
        <v>36</v>
      </c>
      <c r="AG8" s="19">
        <v>20</v>
      </c>
      <c r="AH8" s="20">
        <v>14</v>
      </c>
      <c r="AI8" s="21">
        <f t="shared" si="3"/>
        <v>247.02742857142857</v>
      </c>
    </row>
    <row r="9" spans="1:35" ht="9.75" customHeight="1" x14ac:dyDescent="0.25">
      <c r="A9" s="32" t="s">
        <v>224</v>
      </c>
      <c r="B9" s="17">
        <v>36.68</v>
      </c>
      <c r="C9" s="17">
        <v>33.25</v>
      </c>
      <c r="D9" s="17">
        <v>30.07</v>
      </c>
      <c r="E9" s="27">
        <v>36</v>
      </c>
      <c r="F9" s="19">
        <v>17</v>
      </c>
      <c r="G9" s="20">
        <v>16</v>
      </c>
      <c r="H9" s="21">
        <f t="shared" si="0"/>
        <v>268.08517647058824</v>
      </c>
      <c r="I9" s="16"/>
      <c r="J9" s="32" t="s">
        <v>224</v>
      </c>
      <c r="K9" s="18">
        <v>35.97</v>
      </c>
      <c r="L9" s="18">
        <v>34.53</v>
      </c>
      <c r="M9" s="18">
        <v>29.5</v>
      </c>
      <c r="N9" s="27">
        <v>36</v>
      </c>
      <c r="O9" s="19">
        <v>18</v>
      </c>
      <c r="P9" s="20">
        <v>16</v>
      </c>
      <c r="Q9" s="21">
        <f t="shared" si="1"/>
        <v>255.80844444444443</v>
      </c>
      <c r="R9" s="16"/>
      <c r="S9" s="32" t="s">
        <v>224</v>
      </c>
      <c r="T9" s="18">
        <v>35.29</v>
      </c>
      <c r="U9" s="18">
        <v>35.76</v>
      </c>
      <c r="V9" s="18">
        <v>28.95</v>
      </c>
      <c r="W9" s="27">
        <v>36</v>
      </c>
      <c r="X9" s="19">
        <v>19</v>
      </c>
      <c r="Y9" s="20">
        <v>16</v>
      </c>
      <c r="Z9" s="21">
        <f t="shared" si="2"/>
        <v>244.82399999999996</v>
      </c>
      <c r="AB9" s="32" t="s">
        <v>224</v>
      </c>
      <c r="AC9" s="33">
        <v>34.64</v>
      </c>
      <c r="AD9" s="33">
        <v>36.950000000000003</v>
      </c>
      <c r="AE9" s="33">
        <v>28.41</v>
      </c>
      <c r="AF9" s="27">
        <v>36</v>
      </c>
      <c r="AG9" s="19">
        <v>20</v>
      </c>
      <c r="AH9" s="20">
        <v>16</v>
      </c>
      <c r="AI9" s="21">
        <f t="shared" si="3"/>
        <v>234.93800000000002</v>
      </c>
    </row>
    <row r="10" spans="1:35" ht="9.75" customHeight="1" x14ac:dyDescent="0.25">
      <c r="A10" s="32" t="s">
        <v>225</v>
      </c>
      <c r="B10" s="17">
        <v>37.94</v>
      </c>
      <c r="C10" s="17">
        <v>34.4</v>
      </c>
      <c r="D10" s="17">
        <v>27.66</v>
      </c>
      <c r="E10" s="27">
        <v>36</v>
      </c>
      <c r="F10" s="19">
        <v>17</v>
      </c>
      <c r="G10" s="20">
        <v>18</v>
      </c>
      <c r="H10" s="21">
        <f t="shared" si="0"/>
        <v>257.02295424836598</v>
      </c>
      <c r="I10" s="16"/>
      <c r="J10" s="32" t="s">
        <v>225</v>
      </c>
      <c r="K10" s="18">
        <v>37.19</v>
      </c>
      <c r="L10" s="18">
        <v>35.700000000000003</v>
      </c>
      <c r="M10" s="18">
        <v>27.11</v>
      </c>
      <c r="N10" s="27">
        <v>36</v>
      </c>
      <c r="O10" s="19">
        <v>18</v>
      </c>
      <c r="P10" s="20">
        <v>18</v>
      </c>
      <c r="Q10" s="21">
        <f t="shared" si="1"/>
        <v>245.36079012345675</v>
      </c>
      <c r="R10" s="16"/>
      <c r="S10" s="32" t="s">
        <v>225</v>
      </c>
      <c r="T10" s="18">
        <v>36.47</v>
      </c>
      <c r="U10" s="18">
        <v>36.950000000000003</v>
      </c>
      <c r="V10" s="18">
        <v>26.58</v>
      </c>
      <c r="W10" s="27">
        <v>36</v>
      </c>
      <c r="X10" s="19">
        <v>19</v>
      </c>
      <c r="Y10" s="20">
        <v>18</v>
      </c>
      <c r="Z10" s="21">
        <f t="shared" si="2"/>
        <v>234.92622222222218</v>
      </c>
      <c r="AB10" s="32" t="s">
        <v>225</v>
      </c>
      <c r="AC10" s="33">
        <v>35.770000000000003</v>
      </c>
      <c r="AD10" s="33">
        <v>38.159999999999997</v>
      </c>
      <c r="AE10" s="33">
        <v>26.07</v>
      </c>
      <c r="AF10" s="27">
        <v>36</v>
      </c>
      <c r="AG10" s="19">
        <v>20</v>
      </c>
      <c r="AH10" s="20">
        <v>18</v>
      </c>
      <c r="AI10" s="21">
        <f t="shared" si="3"/>
        <v>225.53511111111112</v>
      </c>
    </row>
    <row r="11" spans="1:35" ht="9.75" customHeight="1" x14ac:dyDescent="0.25">
      <c r="A11" s="32" t="s">
        <v>226</v>
      </c>
      <c r="B11" s="17">
        <v>39.020000000000003</v>
      </c>
      <c r="C11" s="17">
        <v>35.380000000000003</v>
      </c>
      <c r="D11" s="17">
        <v>25.6</v>
      </c>
      <c r="E11" s="27">
        <v>36</v>
      </c>
      <c r="F11" s="19">
        <v>17</v>
      </c>
      <c r="G11" s="20">
        <v>20</v>
      </c>
      <c r="H11" s="21">
        <f t="shared" si="0"/>
        <v>248.17317647058826</v>
      </c>
      <c r="I11" s="16"/>
      <c r="J11" s="32" t="s">
        <v>226</v>
      </c>
      <c r="K11" s="18">
        <v>38.229999999999997</v>
      </c>
      <c r="L11" s="18">
        <v>36.700000000000003</v>
      </c>
      <c r="M11" s="18">
        <v>25.07</v>
      </c>
      <c r="N11" s="27">
        <v>36</v>
      </c>
      <c r="O11" s="19">
        <v>18</v>
      </c>
      <c r="P11" s="20">
        <v>20</v>
      </c>
      <c r="Q11" s="21">
        <f t="shared" si="1"/>
        <v>237.00266666666664</v>
      </c>
      <c r="R11" s="16"/>
      <c r="S11" s="32" t="s">
        <v>226</v>
      </c>
      <c r="T11" s="18">
        <v>37.46</v>
      </c>
      <c r="U11" s="18">
        <v>37.96</v>
      </c>
      <c r="V11" s="18">
        <v>24.58</v>
      </c>
      <c r="W11" s="27">
        <v>36</v>
      </c>
      <c r="X11" s="19">
        <v>19</v>
      </c>
      <c r="Y11" s="20">
        <v>20</v>
      </c>
      <c r="Z11" s="21">
        <f t="shared" si="2"/>
        <v>227.00799999999998</v>
      </c>
      <c r="AB11" s="32" t="s">
        <v>226</v>
      </c>
      <c r="AC11" s="33">
        <v>36.729999999999997</v>
      </c>
      <c r="AD11" s="33">
        <v>39.18</v>
      </c>
      <c r="AE11" s="33">
        <v>24.09</v>
      </c>
      <c r="AF11" s="27">
        <v>36</v>
      </c>
      <c r="AG11" s="19">
        <v>20</v>
      </c>
      <c r="AH11" s="20">
        <v>20</v>
      </c>
      <c r="AI11" s="21">
        <f t="shared" si="3"/>
        <v>218.01280000000003</v>
      </c>
    </row>
    <row r="12" spans="1:35" ht="9.75" customHeight="1" x14ac:dyDescent="0.25">
      <c r="A12" s="32" t="s">
        <v>227</v>
      </c>
      <c r="B12" s="17">
        <v>40.76</v>
      </c>
      <c r="C12" s="17">
        <v>36.96</v>
      </c>
      <c r="D12" s="17">
        <v>22.28</v>
      </c>
      <c r="E12" s="27">
        <v>36</v>
      </c>
      <c r="F12" s="19">
        <v>17</v>
      </c>
      <c r="G12" s="20">
        <v>24</v>
      </c>
      <c r="H12" s="21">
        <f t="shared" si="0"/>
        <v>234.89850980392157</v>
      </c>
      <c r="I12" s="16"/>
      <c r="J12" s="32" t="s">
        <v>227</v>
      </c>
      <c r="K12" s="18">
        <v>39.89</v>
      </c>
      <c r="L12" s="18">
        <v>38.299999999999997</v>
      </c>
      <c r="M12" s="18">
        <v>21.81</v>
      </c>
      <c r="N12" s="27">
        <v>36</v>
      </c>
      <c r="O12" s="19">
        <v>18</v>
      </c>
      <c r="P12" s="20">
        <v>24</v>
      </c>
      <c r="Q12" s="21">
        <f t="shared" si="1"/>
        <v>224.46548148148145</v>
      </c>
      <c r="R12" s="16"/>
      <c r="S12" s="32" t="s">
        <v>227</v>
      </c>
      <c r="T12" s="18">
        <v>39.07</v>
      </c>
      <c r="U12" s="18">
        <v>39.58</v>
      </c>
      <c r="V12" s="18">
        <v>21.35</v>
      </c>
      <c r="W12" s="27">
        <v>36</v>
      </c>
      <c r="X12" s="19">
        <v>19</v>
      </c>
      <c r="Y12" s="20">
        <v>24</v>
      </c>
      <c r="Z12" s="21">
        <f t="shared" si="2"/>
        <v>215.13066666666663</v>
      </c>
      <c r="AB12" s="32" t="s">
        <v>227</v>
      </c>
      <c r="AC12" s="33">
        <v>38.270000000000003</v>
      </c>
      <c r="AD12" s="33">
        <v>40.82</v>
      </c>
      <c r="AE12" s="33">
        <v>20.91</v>
      </c>
      <c r="AF12" s="27">
        <v>36</v>
      </c>
      <c r="AG12" s="19">
        <v>20</v>
      </c>
      <c r="AH12" s="20">
        <v>24</v>
      </c>
      <c r="AI12" s="21">
        <f t="shared" si="3"/>
        <v>206.72933333333333</v>
      </c>
    </row>
    <row r="13" spans="1:35" ht="9.75" customHeight="1" x14ac:dyDescent="0.25">
      <c r="A13" s="32" t="s">
        <v>228</v>
      </c>
      <c r="B13" s="17">
        <v>41.47</v>
      </c>
      <c r="C13" s="17">
        <v>37.6</v>
      </c>
      <c r="D13" s="17">
        <v>20.93</v>
      </c>
      <c r="E13" s="27">
        <v>36</v>
      </c>
      <c r="F13" s="19">
        <v>17</v>
      </c>
      <c r="G13" s="20">
        <v>26</v>
      </c>
      <c r="H13" s="21">
        <f t="shared" si="0"/>
        <v>229.79286877828054</v>
      </c>
      <c r="I13" s="16"/>
      <c r="J13" s="32" t="s">
        <v>228</v>
      </c>
      <c r="K13" s="18">
        <v>40.57</v>
      </c>
      <c r="L13" s="18">
        <v>38.96</v>
      </c>
      <c r="M13" s="18">
        <v>20.47</v>
      </c>
      <c r="N13" s="27">
        <v>36</v>
      </c>
      <c r="O13" s="19">
        <v>18</v>
      </c>
      <c r="P13" s="20">
        <v>26</v>
      </c>
      <c r="Q13" s="21">
        <f t="shared" si="1"/>
        <v>219.64348717948715</v>
      </c>
      <c r="R13" s="16"/>
      <c r="S13" s="32" t="s">
        <v>228</v>
      </c>
      <c r="T13" s="18">
        <v>39.71</v>
      </c>
      <c r="U13" s="18">
        <v>40.25</v>
      </c>
      <c r="V13" s="18">
        <v>20.04</v>
      </c>
      <c r="W13" s="27">
        <v>36</v>
      </c>
      <c r="X13" s="19">
        <v>19</v>
      </c>
      <c r="Y13" s="20">
        <v>26</v>
      </c>
      <c r="Z13" s="21">
        <f t="shared" si="2"/>
        <v>210.56246153846152</v>
      </c>
      <c r="AB13" s="32" t="s">
        <v>228</v>
      </c>
      <c r="AC13" s="33">
        <v>38.89</v>
      </c>
      <c r="AD13" s="33">
        <v>41.48</v>
      </c>
      <c r="AE13" s="33">
        <v>19.63</v>
      </c>
      <c r="AF13" s="27">
        <v>36</v>
      </c>
      <c r="AG13" s="19">
        <v>20</v>
      </c>
      <c r="AH13" s="20">
        <v>26</v>
      </c>
      <c r="AI13" s="21">
        <f t="shared" si="3"/>
        <v>202.38953846153848</v>
      </c>
    </row>
    <row r="14" spans="1:35" ht="9.75" customHeight="1" x14ac:dyDescent="0.25">
      <c r="A14" s="32" t="s">
        <v>229</v>
      </c>
      <c r="B14" s="17">
        <v>42.1</v>
      </c>
      <c r="C14" s="17">
        <v>38.17</v>
      </c>
      <c r="D14" s="17">
        <v>19.73</v>
      </c>
      <c r="E14" s="27">
        <v>36</v>
      </c>
      <c r="F14" s="19">
        <v>17</v>
      </c>
      <c r="G14" s="20">
        <v>28</v>
      </c>
      <c r="H14" s="21">
        <f t="shared" si="0"/>
        <v>225.41660504201681</v>
      </c>
      <c r="I14" s="16"/>
      <c r="J14" s="32" t="s">
        <v>229</v>
      </c>
      <c r="K14" s="18">
        <v>41.18</v>
      </c>
      <c r="L14" s="18">
        <v>39.53</v>
      </c>
      <c r="M14" s="18">
        <v>19.29</v>
      </c>
      <c r="N14" s="27">
        <v>36</v>
      </c>
      <c r="O14" s="19">
        <v>18</v>
      </c>
      <c r="P14" s="20">
        <v>28</v>
      </c>
      <c r="Q14" s="21">
        <f t="shared" si="1"/>
        <v>215.51034920634919</v>
      </c>
      <c r="R14" s="16"/>
      <c r="S14" s="32" t="s">
        <v>229</v>
      </c>
      <c r="T14" s="18">
        <v>40.29</v>
      </c>
      <c r="U14" s="18">
        <v>40.83</v>
      </c>
      <c r="V14" s="18">
        <v>18.88</v>
      </c>
      <c r="W14" s="27">
        <v>36</v>
      </c>
      <c r="X14" s="19">
        <v>19</v>
      </c>
      <c r="Y14" s="20">
        <v>28</v>
      </c>
      <c r="Z14" s="21">
        <f t="shared" si="2"/>
        <v>206.64685714285713</v>
      </c>
      <c r="AB14" s="32" t="s">
        <v>229</v>
      </c>
      <c r="AC14" s="33">
        <v>39.450000000000003</v>
      </c>
      <c r="AD14" s="33">
        <v>42.07</v>
      </c>
      <c r="AE14" s="33">
        <v>18.48</v>
      </c>
      <c r="AF14" s="27">
        <v>36</v>
      </c>
      <c r="AG14" s="19">
        <v>20</v>
      </c>
      <c r="AH14" s="20">
        <v>28</v>
      </c>
      <c r="AI14" s="21">
        <f t="shared" si="3"/>
        <v>198.66971428571429</v>
      </c>
    </row>
    <row r="15" spans="1:35" ht="9.75" customHeight="1" x14ac:dyDescent="0.25">
      <c r="A15" s="32" t="s">
        <v>230</v>
      </c>
      <c r="B15" s="17">
        <v>42.66</v>
      </c>
      <c r="C15" s="17">
        <v>38.68</v>
      </c>
      <c r="D15" s="17">
        <v>18.66</v>
      </c>
      <c r="E15" s="27">
        <v>36</v>
      </c>
      <c r="F15" s="19">
        <v>17</v>
      </c>
      <c r="G15" s="20">
        <v>30</v>
      </c>
      <c r="H15" s="21">
        <f t="shared" si="0"/>
        <v>221.62384313725491</v>
      </c>
      <c r="I15" s="16"/>
      <c r="J15" s="32" t="s">
        <v>230</v>
      </c>
      <c r="K15" s="18">
        <v>41.72</v>
      </c>
      <c r="L15" s="18">
        <v>40.04</v>
      </c>
      <c r="M15" s="18">
        <v>18.239999999999998</v>
      </c>
      <c r="N15" s="27">
        <v>36</v>
      </c>
      <c r="O15" s="19">
        <v>18</v>
      </c>
      <c r="P15" s="20">
        <v>30</v>
      </c>
      <c r="Q15" s="21">
        <f t="shared" si="1"/>
        <v>211.92829629629628</v>
      </c>
      <c r="R15" s="16"/>
      <c r="S15" s="32" t="s">
        <v>230</v>
      </c>
      <c r="T15" s="18">
        <v>40.799999999999997</v>
      </c>
      <c r="U15" s="18">
        <v>41.35</v>
      </c>
      <c r="V15" s="18">
        <v>17.850000000000001</v>
      </c>
      <c r="W15" s="27">
        <v>36</v>
      </c>
      <c r="X15" s="19">
        <v>19</v>
      </c>
      <c r="Y15" s="20">
        <v>30</v>
      </c>
      <c r="Z15" s="21">
        <f t="shared" si="2"/>
        <v>203.2533333333333</v>
      </c>
      <c r="AB15" s="32" t="s">
        <v>230</v>
      </c>
      <c r="AC15" s="33">
        <v>39.94</v>
      </c>
      <c r="AD15" s="33">
        <v>42.6</v>
      </c>
      <c r="AE15" s="33">
        <v>17.46</v>
      </c>
      <c r="AF15" s="27">
        <v>36</v>
      </c>
      <c r="AG15" s="19">
        <v>20</v>
      </c>
      <c r="AH15" s="20">
        <v>30</v>
      </c>
      <c r="AI15" s="21">
        <f t="shared" si="3"/>
        <v>195.44586666666669</v>
      </c>
    </row>
    <row r="16" spans="1:35" ht="10.5" customHeight="1" x14ac:dyDescent="0.25">
      <c r="A16" s="34"/>
      <c r="B16" s="23"/>
      <c r="C16" s="23"/>
      <c r="D16" s="23"/>
      <c r="E16" s="24"/>
      <c r="F16" s="24"/>
      <c r="G16" s="24"/>
      <c r="H16" s="23"/>
      <c r="I16" s="16"/>
      <c r="J16" s="34"/>
      <c r="K16" s="23"/>
      <c r="L16" s="23"/>
      <c r="M16" s="23"/>
      <c r="N16" s="23"/>
      <c r="O16" s="23"/>
      <c r="P16" s="23"/>
      <c r="Q16" s="23"/>
      <c r="R16" s="9"/>
      <c r="S16" s="34"/>
      <c r="T16" s="23"/>
      <c r="U16" s="23"/>
      <c r="V16" s="23"/>
      <c r="W16" s="23"/>
      <c r="X16" s="23"/>
      <c r="Y16" s="23"/>
      <c r="Z16" s="23"/>
      <c r="AB16" s="34"/>
      <c r="AC16" s="23"/>
      <c r="AD16" s="23"/>
      <c r="AE16" s="23"/>
      <c r="AF16" s="23"/>
      <c r="AG16" s="23"/>
      <c r="AH16" s="23"/>
      <c r="AI16" s="23"/>
    </row>
    <row r="17" spans="1:35" ht="10.5" customHeight="1" x14ac:dyDescent="0.25">
      <c r="A17" s="32" t="s">
        <v>231</v>
      </c>
      <c r="B17" s="18">
        <v>35.1</v>
      </c>
      <c r="C17" s="18">
        <v>26.52</v>
      </c>
      <c r="D17" s="18">
        <v>38.380000000000003</v>
      </c>
      <c r="E17" s="27">
        <v>30</v>
      </c>
      <c r="F17" s="19">
        <v>17</v>
      </c>
      <c r="G17" s="20">
        <v>10</v>
      </c>
      <c r="H17" s="21">
        <f t="shared" ref="H17:H26" si="4">74309.76/E17/F17+47.104+27080.32/G17/F17</f>
        <v>352.10541176470588</v>
      </c>
      <c r="I17" s="16"/>
      <c r="J17" s="32" t="s">
        <v>231</v>
      </c>
      <c r="K17" s="18">
        <v>34.56</v>
      </c>
      <c r="L17" s="18">
        <v>27.65</v>
      </c>
      <c r="M17" s="18">
        <v>37.79</v>
      </c>
      <c r="N17" s="27">
        <v>30</v>
      </c>
      <c r="O17" s="19">
        <v>18</v>
      </c>
      <c r="P17" s="24">
        <v>10</v>
      </c>
      <c r="Q17" s="21">
        <f t="shared" ref="Q17:Q26" si="5">74309.76/N17/O17+47.104+27080.32/P17/O17</f>
        <v>335.16088888888885</v>
      </c>
      <c r="R17" s="9"/>
      <c r="S17" s="32" t="s">
        <v>231</v>
      </c>
      <c r="T17" s="18">
        <v>34.04</v>
      </c>
      <c r="U17" s="18">
        <v>28.74</v>
      </c>
      <c r="V17" s="18">
        <v>37.22</v>
      </c>
      <c r="W17" s="27">
        <v>30</v>
      </c>
      <c r="X17" s="19">
        <v>19</v>
      </c>
      <c r="Y17" s="24">
        <v>10</v>
      </c>
      <c r="Z17" s="21">
        <f t="shared" ref="Z17:Z26" si="6">74309.76/W17/X17+47.104+27080.32/Y17/X17</f>
        <v>320</v>
      </c>
      <c r="AB17" s="32" t="s">
        <v>231</v>
      </c>
      <c r="AC17" s="18">
        <v>33.53</v>
      </c>
      <c r="AD17" s="18">
        <v>29.81</v>
      </c>
      <c r="AE17" s="18">
        <v>36.659999999999997</v>
      </c>
      <c r="AF17" s="27">
        <v>30</v>
      </c>
      <c r="AG17" s="19">
        <v>20</v>
      </c>
      <c r="AH17" s="24">
        <v>10</v>
      </c>
      <c r="AI17" s="21">
        <f t="shared" ref="AI17:AI26" si="7">74309.76/AF17/AG17+47.104+27080.32/AH17/AG17</f>
        <v>306.35519999999997</v>
      </c>
    </row>
    <row r="18" spans="1:35" ht="10.5" customHeight="1" x14ac:dyDescent="0.25">
      <c r="A18" s="32" t="s">
        <v>232</v>
      </c>
      <c r="B18" s="18">
        <v>37.5</v>
      </c>
      <c r="C18" s="18">
        <v>28.33</v>
      </c>
      <c r="D18" s="18">
        <v>34.17</v>
      </c>
      <c r="E18" s="27">
        <v>30</v>
      </c>
      <c r="F18" s="19">
        <v>17</v>
      </c>
      <c r="G18" s="20">
        <v>12</v>
      </c>
      <c r="H18" s="21">
        <f t="shared" si="4"/>
        <v>325.55607843137255</v>
      </c>
      <c r="I18" s="16"/>
      <c r="J18" s="32" t="s">
        <v>232</v>
      </c>
      <c r="K18" s="18">
        <v>36.89</v>
      </c>
      <c r="L18" s="18">
        <v>29.51</v>
      </c>
      <c r="M18" s="18">
        <v>33.6</v>
      </c>
      <c r="N18" s="27">
        <v>30</v>
      </c>
      <c r="O18" s="19">
        <v>18</v>
      </c>
      <c r="P18" s="24">
        <v>12</v>
      </c>
      <c r="Q18" s="21">
        <f t="shared" si="5"/>
        <v>310.08651851851846</v>
      </c>
      <c r="R18" s="9"/>
      <c r="S18" s="32" t="s">
        <v>232</v>
      </c>
      <c r="T18" s="18">
        <v>36.29</v>
      </c>
      <c r="U18" s="18">
        <v>30.65</v>
      </c>
      <c r="V18" s="18">
        <v>33.06</v>
      </c>
      <c r="W18" s="27">
        <v>30</v>
      </c>
      <c r="X18" s="19">
        <v>19</v>
      </c>
      <c r="Y18" s="24">
        <v>12</v>
      </c>
      <c r="Z18" s="21">
        <f t="shared" si="6"/>
        <v>296.24533333333329</v>
      </c>
      <c r="AB18" s="32" t="s">
        <v>232</v>
      </c>
      <c r="AC18" s="18">
        <v>35.71</v>
      </c>
      <c r="AD18" s="18">
        <v>31.75</v>
      </c>
      <c r="AE18" s="18">
        <v>32.54</v>
      </c>
      <c r="AF18" s="27">
        <v>30</v>
      </c>
      <c r="AG18" s="19">
        <v>20</v>
      </c>
      <c r="AH18" s="24">
        <v>12</v>
      </c>
      <c r="AI18" s="21">
        <f t="shared" si="7"/>
        <v>283.78826666666669</v>
      </c>
    </row>
    <row r="19" spans="1:35" ht="10.5" customHeight="1" x14ac:dyDescent="0.25">
      <c r="A19" s="32" t="s">
        <v>233</v>
      </c>
      <c r="B19" s="18">
        <v>39.42</v>
      </c>
      <c r="C19" s="18">
        <v>29.79</v>
      </c>
      <c r="D19" s="18">
        <v>30.79</v>
      </c>
      <c r="E19" s="27">
        <v>30</v>
      </c>
      <c r="F19" s="19">
        <v>17</v>
      </c>
      <c r="G19" s="20">
        <v>14</v>
      </c>
      <c r="H19" s="21">
        <f t="shared" si="4"/>
        <v>306.59226890756304</v>
      </c>
      <c r="I19" s="16"/>
      <c r="J19" s="32" t="s">
        <v>233</v>
      </c>
      <c r="K19" s="18">
        <v>38.75</v>
      </c>
      <c r="L19" s="18">
        <v>31</v>
      </c>
      <c r="M19" s="18">
        <v>30.25</v>
      </c>
      <c r="N19" s="27">
        <v>30</v>
      </c>
      <c r="O19" s="19">
        <v>18</v>
      </c>
      <c r="P19" s="24">
        <v>14</v>
      </c>
      <c r="Q19" s="21">
        <f t="shared" si="5"/>
        <v>292.17625396825395</v>
      </c>
      <c r="R19" s="9"/>
      <c r="S19" s="32" t="s">
        <v>233</v>
      </c>
      <c r="T19" s="18">
        <v>38.090000000000003</v>
      </c>
      <c r="U19" s="18">
        <v>32.159999999999997</v>
      </c>
      <c r="V19" s="18">
        <v>29.75</v>
      </c>
      <c r="W19" s="27">
        <v>30</v>
      </c>
      <c r="X19" s="19">
        <v>19</v>
      </c>
      <c r="Y19" s="24">
        <v>14</v>
      </c>
      <c r="Z19" s="21">
        <f t="shared" si="6"/>
        <v>279.2777142857143</v>
      </c>
      <c r="AB19" s="32" t="s">
        <v>233</v>
      </c>
      <c r="AC19" s="18">
        <v>37.46</v>
      </c>
      <c r="AD19" s="18">
        <v>33.29</v>
      </c>
      <c r="AE19" s="18">
        <v>29.25</v>
      </c>
      <c r="AF19" s="27">
        <v>30</v>
      </c>
      <c r="AG19" s="19">
        <v>20</v>
      </c>
      <c r="AH19" s="24">
        <v>14</v>
      </c>
      <c r="AI19" s="21">
        <f t="shared" si="7"/>
        <v>267.66902857142856</v>
      </c>
    </row>
    <row r="20" spans="1:35" ht="10.5" customHeight="1" x14ac:dyDescent="0.25">
      <c r="A20" s="32" t="s">
        <v>234</v>
      </c>
      <c r="B20" s="18">
        <v>41</v>
      </c>
      <c r="C20" s="18">
        <v>30.98</v>
      </c>
      <c r="D20" s="18">
        <v>28.02</v>
      </c>
      <c r="E20" s="27">
        <v>30</v>
      </c>
      <c r="F20" s="19">
        <v>17</v>
      </c>
      <c r="G20" s="20">
        <v>16</v>
      </c>
      <c r="H20" s="21">
        <f t="shared" si="4"/>
        <v>292.36941176470589</v>
      </c>
      <c r="I20" s="16"/>
      <c r="J20" s="32" t="s">
        <v>234</v>
      </c>
      <c r="K20" s="18">
        <v>40.270000000000003</v>
      </c>
      <c r="L20" s="18">
        <v>32.21</v>
      </c>
      <c r="M20" s="18">
        <v>27.52</v>
      </c>
      <c r="N20" s="27">
        <v>30</v>
      </c>
      <c r="O20" s="19">
        <v>18</v>
      </c>
      <c r="P20" s="24">
        <v>16</v>
      </c>
      <c r="Q20" s="21">
        <f t="shared" si="5"/>
        <v>278.74355555555553</v>
      </c>
      <c r="R20" s="9"/>
      <c r="S20" s="32" t="s">
        <v>234</v>
      </c>
      <c r="T20" s="18">
        <v>39.56</v>
      </c>
      <c r="U20" s="18">
        <v>33.409999999999997</v>
      </c>
      <c r="V20" s="18">
        <v>27.03</v>
      </c>
      <c r="W20" s="27">
        <v>30</v>
      </c>
      <c r="X20" s="19">
        <v>19</v>
      </c>
      <c r="Y20" s="24">
        <v>16</v>
      </c>
      <c r="Z20" s="21">
        <f t="shared" si="6"/>
        <v>266.55199999999996</v>
      </c>
      <c r="AB20" s="32" t="s">
        <v>234</v>
      </c>
      <c r="AC20" s="18">
        <v>38.880000000000003</v>
      </c>
      <c r="AD20" s="18">
        <v>34.56</v>
      </c>
      <c r="AE20" s="18">
        <v>26.56</v>
      </c>
      <c r="AF20" s="27">
        <v>30</v>
      </c>
      <c r="AG20" s="19">
        <v>20</v>
      </c>
      <c r="AH20" s="24">
        <v>16</v>
      </c>
      <c r="AI20" s="21">
        <f t="shared" si="7"/>
        <v>255.5796</v>
      </c>
    </row>
    <row r="21" spans="1:35" ht="10.5" customHeight="1" x14ac:dyDescent="0.25">
      <c r="A21" s="32" t="s">
        <v>235</v>
      </c>
      <c r="B21" s="18">
        <v>42.32</v>
      </c>
      <c r="C21" s="18">
        <v>31.97</v>
      </c>
      <c r="D21" s="18">
        <v>25.71</v>
      </c>
      <c r="E21" s="27">
        <v>30</v>
      </c>
      <c r="F21" s="19">
        <v>17</v>
      </c>
      <c r="G21" s="20">
        <v>18</v>
      </c>
      <c r="H21" s="21">
        <f t="shared" si="4"/>
        <v>281.30718954248368</v>
      </c>
      <c r="I21" s="16"/>
      <c r="J21" s="32" t="s">
        <v>235</v>
      </c>
      <c r="K21" s="18">
        <v>41.54</v>
      </c>
      <c r="L21" s="18">
        <v>33.229999999999997</v>
      </c>
      <c r="M21" s="18">
        <v>25.23</v>
      </c>
      <c r="N21" s="27">
        <v>30</v>
      </c>
      <c r="O21" s="19">
        <v>18</v>
      </c>
      <c r="P21" s="24">
        <v>18</v>
      </c>
      <c r="Q21" s="21">
        <f t="shared" si="5"/>
        <v>268.29590123456785</v>
      </c>
      <c r="R21" s="9"/>
      <c r="S21" s="32" t="s">
        <v>235</v>
      </c>
      <c r="T21" s="18">
        <v>40.79</v>
      </c>
      <c r="U21" s="18">
        <v>34.44</v>
      </c>
      <c r="V21" s="18">
        <v>24.77</v>
      </c>
      <c r="W21" s="27">
        <v>30</v>
      </c>
      <c r="X21" s="19">
        <v>19</v>
      </c>
      <c r="Y21" s="24">
        <v>18</v>
      </c>
      <c r="Z21" s="21">
        <f t="shared" si="6"/>
        <v>256.65422222222219</v>
      </c>
      <c r="AB21" s="32" t="s">
        <v>235</v>
      </c>
      <c r="AC21" s="18">
        <v>40.06</v>
      </c>
      <c r="AD21" s="18">
        <v>35.61</v>
      </c>
      <c r="AE21" s="18">
        <v>24.33</v>
      </c>
      <c r="AF21" s="27">
        <v>30</v>
      </c>
      <c r="AG21" s="19">
        <v>20</v>
      </c>
      <c r="AH21" s="24">
        <v>18</v>
      </c>
      <c r="AI21" s="21">
        <f t="shared" si="7"/>
        <v>246.1767111111111</v>
      </c>
    </row>
    <row r="22" spans="1:35" ht="10.5" customHeight="1" x14ac:dyDescent="0.25">
      <c r="A22" s="32" t="s">
        <v>236</v>
      </c>
      <c r="B22" s="18">
        <v>43.43</v>
      </c>
      <c r="C22" s="18">
        <v>32.82</v>
      </c>
      <c r="D22" s="18">
        <v>23.75</v>
      </c>
      <c r="E22" s="27">
        <v>30</v>
      </c>
      <c r="F22" s="19">
        <v>17</v>
      </c>
      <c r="G22" s="20">
        <v>20</v>
      </c>
      <c r="H22" s="21">
        <f t="shared" si="4"/>
        <v>272.45741176470591</v>
      </c>
      <c r="I22" s="16"/>
      <c r="J22" s="32" t="s">
        <v>236</v>
      </c>
      <c r="K22" s="18">
        <v>42.61</v>
      </c>
      <c r="L22" s="18">
        <v>34.090000000000003</v>
      </c>
      <c r="M22" s="18">
        <v>23.3</v>
      </c>
      <c r="N22" s="27">
        <v>30</v>
      </c>
      <c r="O22" s="19">
        <v>18</v>
      </c>
      <c r="P22" s="24">
        <v>20</v>
      </c>
      <c r="Q22" s="21">
        <f t="shared" si="5"/>
        <v>259.93777777777774</v>
      </c>
      <c r="R22" s="9"/>
      <c r="S22" s="32" t="s">
        <v>236</v>
      </c>
      <c r="T22" s="18">
        <v>41.82</v>
      </c>
      <c r="U22" s="18">
        <v>35.32</v>
      </c>
      <c r="V22" s="18">
        <v>22.86</v>
      </c>
      <c r="W22" s="27">
        <v>30</v>
      </c>
      <c r="X22" s="19">
        <v>19</v>
      </c>
      <c r="Y22" s="24">
        <v>20</v>
      </c>
      <c r="Z22" s="21">
        <f t="shared" si="6"/>
        <v>248.73599999999999</v>
      </c>
      <c r="AB22" s="32" t="s">
        <v>236</v>
      </c>
      <c r="AC22" s="18">
        <v>41.05</v>
      </c>
      <c r="AD22" s="18">
        <v>36.5</v>
      </c>
      <c r="AE22" s="18">
        <v>22.45</v>
      </c>
      <c r="AF22" s="27">
        <v>30</v>
      </c>
      <c r="AG22" s="19">
        <v>20</v>
      </c>
      <c r="AH22" s="24">
        <v>20</v>
      </c>
      <c r="AI22" s="21">
        <f t="shared" si="7"/>
        <v>238.65440000000001</v>
      </c>
    </row>
    <row r="23" spans="1:35" ht="10.5" customHeight="1" x14ac:dyDescent="0.25">
      <c r="A23" s="32" t="s">
        <v>237</v>
      </c>
      <c r="B23" s="18">
        <v>45.23</v>
      </c>
      <c r="C23" s="18">
        <v>34.17</v>
      </c>
      <c r="D23" s="18">
        <v>20.6</v>
      </c>
      <c r="E23" s="27">
        <v>30</v>
      </c>
      <c r="F23" s="19">
        <v>17</v>
      </c>
      <c r="G23" s="20">
        <v>24</v>
      </c>
      <c r="H23" s="21">
        <f t="shared" si="4"/>
        <v>259.18274509803922</v>
      </c>
      <c r="I23" s="16"/>
      <c r="J23" s="32" t="s">
        <v>237</v>
      </c>
      <c r="K23" s="18">
        <v>44.33</v>
      </c>
      <c r="L23" s="18">
        <v>35.47</v>
      </c>
      <c r="M23" s="18">
        <v>20.2</v>
      </c>
      <c r="N23" s="27">
        <v>30</v>
      </c>
      <c r="O23" s="19">
        <v>18</v>
      </c>
      <c r="P23" s="24">
        <v>24</v>
      </c>
      <c r="Q23" s="21">
        <f t="shared" si="5"/>
        <v>247.40059259259255</v>
      </c>
      <c r="R23" s="9"/>
      <c r="S23" s="32" t="s">
        <v>237</v>
      </c>
      <c r="T23" s="18">
        <v>43.48</v>
      </c>
      <c r="U23" s="18">
        <v>36.71</v>
      </c>
      <c r="V23" s="18">
        <v>19.809999999999999</v>
      </c>
      <c r="W23" s="27">
        <v>30</v>
      </c>
      <c r="X23" s="19">
        <v>19</v>
      </c>
      <c r="Y23" s="24">
        <v>24</v>
      </c>
      <c r="Z23" s="21">
        <f t="shared" si="6"/>
        <v>236.85866666666664</v>
      </c>
      <c r="AB23" s="32" t="s">
        <v>237</v>
      </c>
      <c r="AC23" s="18">
        <v>42.65</v>
      </c>
      <c r="AD23" s="18">
        <v>37.92</v>
      </c>
      <c r="AE23" s="18">
        <v>19.43</v>
      </c>
      <c r="AF23" s="27">
        <v>30</v>
      </c>
      <c r="AG23" s="19">
        <v>20</v>
      </c>
      <c r="AH23" s="24">
        <v>24</v>
      </c>
      <c r="AI23" s="21">
        <f t="shared" si="7"/>
        <v>227.37093333333331</v>
      </c>
    </row>
    <row r="24" spans="1:35" ht="10.5" customHeight="1" x14ac:dyDescent="0.25">
      <c r="A24" s="32" t="s">
        <v>238</v>
      </c>
      <c r="B24" s="18">
        <v>45.95</v>
      </c>
      <c r="C24" s="18">
        <v>34.729999999999997</v>
      </c>
      <c r="D24" s="18">
        <v>19.32</v>
      </c>
      <c r="E24" s="27">
        <v>30</v>
      </c>
      <c r="F24" s="19">
        <v>17</v>
      </c>
      <c r="G24" s="20">
        <v>26</v>
      </c>
      <c r="H24" s="21">
        <f t="shared" si="4"/>
        <v>254.07710407239819</v>
      </c>
      <c r="I24" s="16"/>
      <c r="J24" s="32" t="s">
        <v>238</v>
      </c>
      <c r="K24" s="18">
        <v>45.03</v>
      </c>
      <c r="L24" s="18">
        <v>36.03</v>
      </c>
      <c r="M24" s="18">
        <v>18.940000000000001</v>
      </c>
      <c r="N24" s="27">
        <v>30</v>
      </c>
      <c r="O24" s="19">
        <v>18</v>
      </c>
      <c r="P24" s="24">
        <v>26</v>
      </c>
      <c r="Q24" s="21">
        <f t="shared" si="5"/>
        <v>242.57859829059825</v>
      </c>
      <c r="R24" s="9"/>
      <c r="S24" s="32" t="s">
        <v>238</v>
      </c>
      <c r="T24" s="18">
        <v>44.15</v>
      </c>
      <c r="U24" s="18">
        <v>37.28</v>
      </c>
      <c r="V24" s="18">
        <v>18.57</v>
      </c>
      <c r="W24" s="27">
        <v>30</v>
      </c>
      <c r="X24" s="19">
        <v>19</v>
      </c>
      <c r="Y24" s="24">
        <v>26</v>
      </c>
      <c r="Z24" s="21">
        <f t="shared" si="6"/>
        <v>232.29046153846153</v>
      </c>
      <c r="AB24" s="32" t="s">
        <v>238</v>
      </c>
      <c r="AC24" s="18">
        <v>43.3</v>
      </c>
      <c r="AD24" s="18">
        <v>38.49</v>
      </c>
      <c r="AE24" s="18">
        <v>18.21</v>
      </c>
      <c r="AF24" s="27">
        <v>30</v>
      </c>
      <c r="AG24" s="19">
        <v>20</v>
      </c>
      <c r="AH24" s="24">
        <v>26</v>
      </c>
      <c r="AI24" s="21">
        <f t="shared" si="7"/>
        <v>223.03113846153846</v>
      </c>
    </row>
    <row r="25" spans="1:35" ht="10.5" customHeight="1" x14ac:dyDescent="0.25">
      <c r="A25" s="32" t="s">
        <v>239</v>
      </c>
      <c r="B25" s="18">
        <v>46.6</v>
      </c>
      <c r="C25" s="18">
        <v>35.200000000000003</v>
      </c>
      <c r="D25" s="18">
        <v>18.2</v>
      </c>
      <c r="E25" s="27">
        <v>30</v>
      </c>
      <c r="F25" s="19">
        <v>17</v>
      </c>
      <c r="G25" s="20">
        <v>28</v>
      </c>
      <c r="H25" s="21">
        <f t="shared" si="4"/>
        <v>249.70084033613446</v>
      </c>
      <c r="I25" s="16"/>
      <c r="J25" s="32" t="s">
        <v>239</v>
      </c>
      <c r="K25" s="18">
        <v>45.65</v>
      </c>
      <c r="L25" s="18">
        <v>36.520000000000003</v>
      </c>
      <c r="M25" s="18">
        <v>17.829999999999998</v>
      </c>
      <c r="N25" s="27">
        <v>30</v>
      </c>
      <c r="O25" s="19">
        <v>18</v>
      </c>
      <c r="P25" s="24">
        <v>28</v>
      </c>
      <c r="Q25" s="21">
        <f t="shared" si="5"/>
        <v>238.44546031746029</v>
      </c>
      <c r="R25" s="9"/>
      <c r="S25" s="32" t="s">
        <v>239</v>
      </c>
      <c r="T25" s="18">
        <v>44.75</v>
      </c>
      <c r="U25" s="18">
        <v>37.78</v>
      </c>
      <c r="V25" s="18">
        <v>17.47</v>
      </c>
      <c r="W25" s="27">
        <v>30</v>
      </c>
      <c r="X25" s="19">
        <v>19</v>
      </c>
      <c r="Y25" s="24">
        <v>28</v>
      </c>
      <c r="Z25" s="21">
        <f t="shared" si="6"/>
        <v>228.37485714285714</v>
      </c>
      <c r="AB25" s="32" t="s">
        <v>239</v>
      </c>
      <c r="AC25" s="18">
        <v>43.87</v>
      </c>
      <c r="AD25" s="18">
        <v>39</v>
      </c>
      <c r="AE25" s="18">
        <v>17.13</v>
      </c>
      <c r="AF25" s="27">
        <v>30</v>
      </c>
      <c r="AG25" s="19">
        <v>20</v>
      </c>
      <c r="AH25" s="24">
        <v>28</v>
      </c>
      <c r="AI25" s="21">
        <f t="shared" si="7"/>
        <v>219.31131428571427</v>
      </c>
    </row>
    <row r="26" spans="1:35" ht="10.5" customHeight="1" x14ac:dyDescent="0.25">
      <c r="A26" s="32" t="s">
        <v>240</v>
      </c>
      <c r="B26" s="18">
        <v>47.17</v>
      </c>
      <c r="C26" s="18">
        <v>35.64</v>
      </c>
      <c r="D26" s="18">
        <v>17.190000000000001</v>
      </c>
      <c r="E26" s="27">
        <v>30</v>
      </c>
      <c r="F26" s="19">
        <v>17</v>
      </c>
      <c r="G26" s="20">
        <v>30</v>
      </c>
      <c r="H26" s="21">
        <f t="shared" si="4"/>
        <v>245.90807843137256</v>
      </c>
      <c r="I26" s="16"/>
      <c r="J26" s="32" t="s">
        <v>240</v>
      </c>
      <c r="K26" s="18">
        <v>46.2</v>
      </c>
      <c r="L26" s="18">
        <v>36.96</v>
      </c>
      <c r="M26" s="18">
        <v>16.84</v>
      </c>
      <c r="N26" s="27">
        <v>30</v>
      </c>
      <c r="O26" s="19">
        <v>18</v>
      </c>
      <c r="P26" s="24">
        <v>30</v>
      </c>
      <c r="Q26" s="21">
        <f t="shared" si="5"/>
        <v>234.86340740740738</v>
      </c>
      <c r="R26" s="9"/>
      <c r="S26" s="32" t="s">
        <v>240</v>
      </c>
      <c r="T26" s="18">
        <v>45.27</v>
      </c>
      <c r="U26" s="18">
        <v>38.229999999999997</v>
      </c>
      <c r="V26" s="18">
        <v>16.5</v>
      </c>
      <c r="W26" s="27">
        <v>30</v>
      </c>
      <c r="X26" s="19">
        <v>19</v>
      </c>
      <c r="Y26" s="24">
        <v>30</v>
      </c>
      <c r="Z26" s="21">
        <f t="shared" si="6"/>
        <v>224.98133333333331</v>
      </c>
      <c r="AB26" s="32" t="s">
        <v>240</v>
      </c>
      <c r="AC26" s="18">
        <v>44.38</v>
      </c>
      <c r="AD26" s="18">
        <v>39.450000000000003</v>
      </c>
      <c r="AE26" s="18">
        <v>16.170000000000002</v>
      </c>
      <c r="AF26" s="27">
        <v>30</v>
      </c>
      <c r="AG26" s="19">
        <v>20</v>
      </c>
      <c r="AH26" s="24">
        <v>30</v>
      </c>
      <c r="AI26" s="21">
        <f t="shared" si="7"/>
        <v>216.08746666666667</v>
      </c>
    </row>
    <row r="27" spans="1:35" ht="10.5" customHeight="1" x14ac:dyDescent="0.25">
      <c r="A27" s="34"/>
      <c r="B27" s="23"/>
      <c r="C27" s="23"/>
      <c r="D27" s="23"/>
      <c r="E27" s="24"/>
      <c r="F27" s="24"/>
      <c r="G27" s="24"/>
      <c r="H27" s="23"/>
      <c r="I27" s="16"/>
      <c r="J27" s="34"/>
      <c r="K27" s="23"/>
      <c r="L27" s="23"/>
      <c r="M27" s="23"/>
      <c r="N27" s="23"/>
      <c r="O27" s="23"/>
      <c r="P27" s="23"/>
      <c r="Q27" s="23"/>
      <c r="R27" s="9"/>
      <c r="S27" s="34"/>
      <c r="T27" s="23"/>
      <c r="U27" s="23"/>
      <c r="V27" s="23"/>
      <c r="W27" s="23"/>
      <c r="X27" s="23"/>
      <c r="Y27" s="23"/>
      <c r="Z27" s="23"/>
      <c r="AB27" s="34"/>
      <c r="AC27" s="23"/>
      <c r="AD27" s="23"/>
      <c r="AE27" s="23"/>
      <c r="AF27" s="23"/>
      <c r="AG27" s="23"/>
      <c r="AH27" s="23"/>
      <c r="AI27" s="23"/>
    </row>
    <row r="28" spans="1:35" ht="10.5" customHeight="1" x14ac:dyDescent="0.25">
      <c r="A28" s="32" t="s">
        <v>241</v>
      </c>
      <c r="B28" s="18">
        <v>36.69</v>
      </c>
      <c r="C28" s="18">
        <v>25.87</v>
      </c>
      <c r="D28" s="18">
        <v>37.44</v>
      </c>
      <c r="E28" s="27">
        <v>28</v>
      </c>
      <c r="F28" s="19">
        <v>17</v>
      </c>
      <c r="G28" s="20">
        <v>10</v>
      </c>
      <c r="H28" s="21">
        <f t="shared" ref="H28:H37" si="8">74309.76/E28/F28+47.104+27080.32/G28/F28</f>
        <v>362.51294117647058</v>
      </c>
      <c r="I28" s="16"/>
      <c r="J28" s="32" t="s">
        <v>241</v>
      </c>
      <c r="K28" s="18">
        <v>36.14</v>
      </c>
      <c r="L28" s="18">
        <v>26.98</v>
      </c>
      <c r="M28" s="18">
        <v>36.880000000000003</v>
      </c>
      <c r="N28" s="27">
        <v>28</v>
      </c>
      <c r="O28" s="19">
        <v>18</v>
      </c>
      <c r="P28" s="20">
        <v>10</v>
      </c>
      <c r="Q28" s="21">
        <f t="shared" ref="Q28:Q37" si="9">74309.76/N28/O28+47.104+27080.32/P28/O28</f>
        <v>344.9902222222222</v>
      </c>
      <c r="R28" s="9"/>
      <c r="S28" s="32" t="s">
        <v>241</v>
      </c>
      <c r="T28" s="18">
        <v>35.61</v>
      </c>
      <c r="U28" s="18">
        <v>28.06</v>
      </c>
      <c r="V28" s="18">
        <v>36.33</v>
      </c>
      <c r="W28" s="27">
        <v>28</v>
      </c>
      <c r="X28" s="19">
        <v>19</v>
      </c>
      <c r="Y28" s="20">
        <v>10</v>
      </c>
      <c r="Z28" s="21">
        <f t="shared" ref="Z28:Z37" si="10">74309.76/W28/X28+47.104+27080.32/Y28/X28</f>
        <v>329.31200000000001</v>
      </c>
      <c r="AB28" s="32" t="s">
        <v>241</v>
      </c>
      <c r="AC28" s="18">
        <v>35.090000000000003</v>
      </c>
      <c r="AD28" s="18">
        <v>29.11</v>
      </c>
      <c r="AE28" s="18">
        <v>35.799999999999997</v>
      </c>
      <c r="AF28" s="27">
        <v>28</v>
      </c>
      <c r="AG28" s="19">
        <v>20</v>
      </c>
      <c r="AH28" s="20">
        <v>10</v>
      </c>
      <c r="AI28" s="21">
        <f t="shared" ref="AI28:AI37" si="11">74309.76/AF28/AG28+47.104+27080.32/AH28/AG28</f>
        <v>315.20159999999998</v>
      </c>
    </row>
    <row r="29" spans="1:35" ht="10.5" customHeight="1" x14ac:dyDescent="0.25">
      <c r="A29" s="32" t="s">
        <v>242</v>
      </c>
      <c r="B29" s="18">
        <v>39.130000000000003</v>
      </c>
      <c r="C29" s="18">
        <v>27.59</v>
      </c>
      <c r="D29" s="18">
        <v>33.28</v>
      </c>
      <c r="E29" s="27">
        <v>28</v>
      </c>
      <c r="F29" s="19">
        <v>17</v>
      </c>
      <c r="G29" s="20">
        <v>12</v>
      </c>
      <c r="H29" s="21">
        <f t="shared" si="8"/>
        <v>335.96360784313725</v>
      </c>
      <c r="I29" s="16"/>
      <c r="J29" s="32" t="s">
        <v>242</v>
      </c>
      <c r="K29" s="18">
        <v>38.51</v>
      </c>
      <c r="L29" s="18">
        <v>28.75</v>
      </c>
      <c r="M29" s="18">
        <v>32.74</v>
      </c>
      <c r="N29" s="27">
        <v>28</v>
      </c>
      <c r="O29" s="19">
        <v>18</v>
      </c>
      <c r="P29" s="20">
        <v>12</v>
      </c>
      <c r="Q29" s="21">
        <f t="shared" si="9"/>
        <v>319.91585185185181</v>
      </c>
      <c r="R29" s="9"/>
      <c r="S29" s="32" t="s">
        <v>242</v>
      </c>
      <c r="T29" s="18">
        <v>37.9</v>
      </c>
      <c r="U29" s="18">
        <v>29.87</v>
      </c>
      <c r="V29" s="18">
        <v>32.229999999999997</v>
      </c>
      <c r="W29" s="27">
        <v>28</v>
      </c>
      <c r="X29" s="19">
        <v>19</v>
      </c>
      <c r="Y29" s="20">
        <v>12</v>
      </c>
      <c r="Z29" s="21">
        <f t="shared" si="10"/>
        <v>305.5573333333333</v>
      </c>
      <c r="AB29" s="32" t="s">
        <v>242</v>
      </c>
      <c r="AC29" s="18">
        <v>37.31</v>
      </c>
      <c r="AD29" s="18">
        <v>30.96</v>
      </c>
      <c r="AE29" s="18">
        <v>31.73</v>
      </c>
      <c r="AF29" s="27">
        <v>28</v>
      </c>
      <c r="AG29" s="19">
        <v>20</v>
      </c>
      <c r="AH29" s="20">
        <v>12</v>
      </c>
      <c r="AI29" s="21">
        <f t="shared" si="11"/>
        <v>292.63466666666659</v>
      </c>
    </row>
    <row r="30" spans="1:35" ht="10.5" customHeight="1" x14ac:dyDescent="0.25">
      <c r="A30" s="32" t="s">
        <v>243</v>
      </c>
      <c r="B30" s="18">
        <v>41.08</v>
      </c>
      <c r="C30" s="18">
        <v>28.97</v>
      </c>
      <c r="D30" s="18">
        <v>29.95</v>
      </c>
      <c r="E30" s="27">
        <v>28</v>
      </c>
      <c r="F30" s="19">
        <v>17</v>
      </c>
      <c r="G30" s="20">
        <v>14</v>
      </c>
      <c r="H30" s="21">
        <f t="shared" si="8"/>
        <v>316.99979831932774</v>
      </c>
      <c r="I30" s="16"/>
      <c r="J30" s="32" t="s">
        <v>243</v>
      </c>
      <c r="K30" s="18">
        <v>40.39</v>
      </c>
      <c r="L30" s="18">
        <v>30.16</v>
      </c>
      <c r="M30" s="18">
        <v>29.45</v>
      </c>
      <c r="N30" s="27">
        <v>28</v>
      </c>
      <c r="O30" s="19">
        <v>18</v>
      </c>
      <c r="P30" s="20">
        <v>14</v>
      </c>
      <c r="Q30" s="21">
        <f t="shared" si="9"/>
        <v>302.0055873015873</v>
      </c>
      <c r="R30" s="9"/>
      <c r="S30" s="32" t="s">
        <v>243</v>
      </c>
      <c r="T30" s="18">
        <v>39.729999999999997</v>
      </c>
      <c r="U30" s="18">
        <v>31.31</v>
      </c>
      <c r="V30" s="18">
        <v>28.96</v>
      </c>
      <c r="W30" s="27">
        <v>28</v>
      </c>
      <c r="X30" s="19">
        <v>19</v>
      </c>
      <c r="Y30" s="20">
        <v>14</v>
      </c>
      <c r="Z30" s="21">
        <f t="shared" si="10"/>
        <v>288.58971428571431</v>
      </c>
      <c r="AB30" s="32" t="s">
        <v>243</v>
      </c>
      <c r="AC30" s="18">
        <v>39.090000000000003</v>
      </c>
      <c r="AD30" s="18">
        <v>32.42</v>
      </c>
      <c r="AE30" s="18">
        <v>28.49</v>
      </c>
      <c r="AF30" s="27">
        <v>28</v>
      </c>
      <c r="AG30" s="19">
        <v>20</v>
      </c>
      <c r="AH30" s="20">
        <v>14</v>
      </c>
      <c r="AI30" s="21">
        <f t="shared" si="11"/>
        <v>276.51542857142852</v>
      </c>
    </row>
    <row r="31" spans="1:35" ht="10.5" customHeight="1" x14ac:dyDescent="0.25">
      <c r="A31" s="32" t="s">
        <v>244</v>
      </c>
      <c r="B31" s="18">
        <v>42.68</v>
      </c>
      <c r="C31" s="18">
        <v>30.1</v>
      </c>
      <c r="D31" s="18">
        <v>27.22</v>
      </c>
      <c r="E31" s="27">
        <v>28</v>
      </c>
      <c r="F31" s="19">
        <v>17</v>
      </c>
      <c r="G31" s="20">
        <v>16</v>
      </c>
      <c r="H31" s="21">
        <f t="shared" si="8"/>
        <v>302.77694117647059</v>
      </c>
      <c r="I31" s="16"/>
      <c r="J31" s="32" t="s">
        <v>244</v>
      </c>
      <c r="K31" s="18">
        <v>41.94</v>
      </c>
      <c r="L31" s="18">
        <v>31.31</v>
      </c>
      <c r="M31" s="18">
        <v>26.75</v>
      </c>
      <c r="N31" s="27">
        <v>28</v>
      </c>
      <c r="O31" s="19">
        <v>18</v>
      </c>
      <c r="P31" s="20">
        <v>16</v>
      </c>
      <c r="Q31" s="21">
        <f t="shared" si="9"/>
        <v>288.57288888888888</v>
      </c>
      <c r="R31" s="9"/>
      <c r="S31" s="32" t="s">
        <v>244</v>
      </c>
      <c r="T31" s="18">
        <v>41.22</v>
      </c>
      <c r="U31" s="18">
        <v>32.49</v>
      </c>
      <c r="V31" s="18">
        <v>26.29</v>
      </c>
      <c r="W31" s="27">
        <v>28</v>
      </c>
      <c r="X31" s="19">
        <v>19</v>
      </c>
      <c r="Y31" s="20">
        <v>16</v>
      </c>
      <c r="Z31" s="21">
        <f t="shared" si="10"/>
        <v>275.86399999999998</v>
      </c>
      <c r="AB31" s="32" t="s">
        <v>244</v>
      </c>
      <c r="AC31" s="18">
        <v>40.53</v>
      </c>
      <c r="AD31" s="18">
        <v>33.619999999999997</v>
      </c>
      <c r="AE31" s="18">
        <v>25.85</v>
      </c>
      <c r="AF31" s="27">
        <v>28</v>
      </c>
      <c r="AG31" s="19">
        <v>20</v>
      </c>
      <c r="AH31" s="20">
        <v>16</v>
      </c>
      <c r="AI31" s="21">
        <f t="shared" si="11"/>
        <v>264.42599999999993</v>
      </c>
    </row>
    <row r="32" spans="1:35" ht="10.5" customHeight="1" x14ac:dyDescent="0.25">
      <c r="A32" s="32" t="s">
        <v>245</v>
      </c>
      <c r="B32" s="18">
        <v>44.01</v>
      </c>
      <c r="C32" s="18">
        <v>31.04</v>
      </c>
      <c r="D32" s="18">
        <v>24.95</v>
      </c>
      <c r="E32" s="27">
        <v>28</v>
      </c>
      <c r="F32" s="19">
        <v>17</v>
      </c>
      <c r="G32" s="20">
        <v>18</v>
      </c>
      <c r="H32" s="21">
        <f t="shared" si="8"/>
        <v>291.71471895424838</v>
      </c>
      <c r="I32" s="16"/>
      <c r="J32" s="32" t="s">
        <v>245</v>
      </c>
      <c r="K32" s="18">
        <v>43.23</v>
      </c>
      <c r="L32" s="18">
        <v>32.270000000000003</v>
      </c>
      <c r="M32" s="18">
        <v>24.5</v>
      </c>
      <c r="N32" s="27">
        <v>28</v>
      </c>
      <c r="O32" s="19">
        <v>18</v>
      </c>
      <c r="P32" s="20">
        <v>18</v>
      </c>
      <c r="Q32" s="21">
        <f t="shared" si="9"/>
        <v>278.1252345679012</v>
      </c>
      <c r="R32" s="9"/>
      <c r="S32" s="32" t="s">
        <v>245</v>
      </c>
      <c r="T32" s="18">
        <v>42.46</v>
      </c>
      <c r="U32" s="18">
        <v>33.47</v>
      </c>
      <c r="V32" s="18">
        <v>24.07</v>
      </c>
      <c r="W32" s="27">
        <v>28</v>
      </c>
      <c r="X32" s="19">
        <v>19</v>
      </c>
      <c r="Y32" s="20">
        <v>18</v>
      </c>
      <c r="Z32" s="21">
        <f t="shared" si="10"/>
        <v>265.9662222222222</v>
      </c>
      <c r="AB32" s="32" t="s">
        <v>245</v>
      </c>
      <c r="AC32" s="18">
        <v>41.73</v>
      </c>
      <c r="AD32" s="18">
        <v>34.619999999999997</v>
      </c>
      <c r="AE32" s="18">
        <v>23.65</v>
      </c>
      <c r="AF32" s="27">
        <v>28</v>
      </c>
      <c r="AG32" s="19">
        <v>20</v>
      </c>
      <c r="AH32" s="20">
        <v>18</v>
      </c>
      <c r="AI32" s="21">
        <f t="shared" si="11"/>
        <v>255.02311111111106</v>
      </c>
    </row>
    <row r="33" spans="1:35" ht="10.5" customHeight="1" x14ac:dyDescent="0.25">
      <c r="A33" s="32" t="s">
        <v>246</v>
      </c>
      <c r="B33" s="18">
        <v>45.14</v>
      </c>
      <c r="C33" s="18">
        <v>31.83</v>
      </c>
      <c r="D33" s="18">
        <v>23.03</v>
      </c>
      <c r="E33" s="27">
        <v>28</v>
      </c>
      <c r="F33" s="19">
        <v>17</v>
      </c>
      <c r="G33" s="20">
        <v>20</v>
      </c>
      <c r="H33" s="21">
        <f t="shared" si="8"/>
        <v>282.86494117647061</v>
      </c>
      <c r="I33" s="16"/>
      <c r="J33" s="32" t="s">
        <v>246</v>
      </c>
      <c r="K33" s="18">
        <v>44.31</v>
      </c>
      <c r="L33" s="18">
        <v>33.08</v>
      </c>
      <c r="M33" s="18">
        <v>22.61</v>
      </c>
      <c r="N33" s="27">
        <v>28</v>
      </c>
      <c r="O33" s="19">
        <v>18</v>
      </c>
      <c r="P33" s="20">
        <v>20</v>
      </c>
      <c r="Q33" s="21">
        <f t="shared" si="9"/>
        <v>269.76711111111109</v>
      </c>
      <c r="R33" s="9"/>
      <c r="S33" s="32" t="s">
        <v>246</v>
      </c>
      <c r="T33" s="18">
        <v>43.51</v>
      </c>
      <c r="U33" s="18">
        <v>34.29</v>
      </c>
      <c r="V33" s="18">
        <v>22.2</v>
      </c>
      <c r="W33" s="27">
        <v>28</v>
      </c>
      <c r="X33" s="19">
        <v>19</v>
      </c>
      <c r="Y33" s="20">
        <v>20</v>
      </c>
      <c r="Z33" s="21">
        <f t="shared" si="10"/>
        <v>258.048</v>
      </c>
      <c r="AB33" s="32" t="s">
        <v>246</v>
      </c>
      <c r="AC33" s="18">
        <v>42.74</v>
      </c>
      <c r="AD33" s="18">
        <v>35.46</v>
      </c>
      <c r="AE33" s="18">
        <v>21.8</v>
      </c>
      <c r="AF33" s="27">
        <v>28</v>
      </c>
      <c r="AG33" s="19">
        <v>20</v>
      </c>
      <c r="AH33" s="20">
        <v>20</v>
      </c>
      <c r="AI33" s="21">
        <f t="shared" si="11"/>
        <v>247.50079999999997</v>
      </c>
    </row>
    <row r="34" spans="1:35" ht="10.5" customHeight="1" x14ac:dyDescent="0.25">
      <c r="A34" s="32" t="s">
        <v>247</v>
      </c>
      <c r="B34" s="18">
        <v>46.94</v>
      </c>
      <c r="C34" s="18">
        <v>33.1</v>
      </c>
      <c r="D34" s="18">
        <v>19.96</v>
      </c>
      <c r="E34" s="27">
        <v>28</v>
      </c>
      <c r="F34" s="19">
        <v>17</v>
      </c>
      <c r="G34" s="20">
        <v>24</v>
      </c>
      <c r="H34" s="21">
        <f t="shared" si="8"/>
        <v>269.59027450980392</v>
      </c>
      <c r="I34" s="16"/>
      <c r="J34" s="32" t="s">
        <v>247</v>
      </c>
      <c r="K34" s="18">
        <v>46.04</v>
      </c>
      <c r="L34" s="18">
        <v>34.380000000000003</v>
      </c>
      <c r="M34" s="18">
        <v>19.579999999999998</v>
      </c>
      <c r="N34" s="27">
        <v>28</v>
      </c>
      <c r="O34" s="19">
        <v>18</v>
      </c>
      <c r="P34" s="20">
        <v>24</v>
      </c>
      <c r="Q34" s="21">
        <f t="shared" si="9"/>
        <v>257.2299259259259</v>
      </c>
      <c r="R34" s="9"/>
      <c r="S34" s="32" t="s">
        <v>247</v>
      </c>
      <c r="T34" s="18">
        <v>45.18</v>
      </c>
      <c r="U34" s="18">
        <v>35.61</v>
      </c>
      <c r="V34" s="18">
        <v>19.21</v>
      </c>
      <c r="W34" s="27">
        <v>28</v>
      </c>
      <c r="X34" s="19">
        <v>19</v>
      </c>
      <c r="Y34" s="20">
        <v>24</v>
      </c>
      <c r="Z34" s="21">
        <f t="shared" si="10"/>
        <v>246.17066666666665</v>
      </c>
      <c r="AB34" s="32" t="s">
        <v>247</v>
      </c>
      <c r="AC34" s="18">
        <v>44.35</v>
      </c>
      <c r="AD34" s="18">
        <v>36.79</v>
      </c>
      <c r="AE34" s="18">
        <v>18.86</v>
      </c>
      <c r="AF34" s="27">
        <v>28</v>
      </c>
      <c r="AG34" s="19">
        <v>20</v>
      </c>
      <c r="AH34" s="20">
        <v>24</v>
      </c>
      <c r="AI34" s="21">
        <f t="shared" si="11"/>
        <v>236.21733333333327</v>
      </c>
    </row>
    <row r="35" spans="1:35" ht="10.5" customHeight="1" x14ac:dyDescent="0.25">
      <c r="A35" s="32" t="s">
        <v>248</v>
      </c>
      <c r="B35" s="18">
        <v>47.67</v>
      </c>
      <c r="C35" s="18">
        <v>33.619999999999997</v>
      </c>
      <c r="D35" s="18">
        <v>18.71</v>
      </c>
      <c r="E35" s="27">
        <v>28</v>
      </c>
      <c r="F35" s="19">
        <v>17</v>
      </c>
      <c r="G35" s="20">
        <v>26</v>
      </c>
      <c r="H35" s="21">
        <f t="shared" si="8"/>
        <v>264.48463348416288</v>
      </c>
      <c r="I35" s="16"/>
      <c r="J35" s="32" t="s">
        <v>248</v>
      </c>
      <c r="K35" s="18">
        <v>46.75</v>
      </c>
      <c r="L35" s="18">
        <v>34.9</v>
      </c>
      <c r="M35" s="18">
        <v>18.350000000000001</v>
      </c>
      <c r="N35" s="27">
        <v>28</v>
      </c>
      <c r="O35" s="19">
        <v>18</v>
      </c>
      <c r="P35" s="20">
        <v>26</v>
      </c>
      <c r="Q35" s="21">
        <f t="shared" si="9"/>
        <v>252.4079316239316</v>
      </c>
      <c r="R35" s="9"/>
      <c r="S35" s="32" t="s">
        <v>248</v>
      </c>
      <c r="T35" s="18">
        <v>45.86</v>
      </c>
      <c r="U35" s="18">
        <v>36.14</v>
      </c>
      <c r="V35" s="18">
        <v>18</v>
      </c>
      <c r="W35" s="27">
        <v>28</v>
      </c>
      <c r="X35" s="19">
        <v>19</v>
      </c>
      <c r="Y35" s="20">
        <v>26</v>
      </c>
      <c r="Z35" s="21">
        <f t="shared" si="10"/>
        <v>241.60246153846154</v>
      </c>
      <c r="AB35" s="32" t="s">
        <v>248</v>
      </c>
      <c r="AC35" s="18">
        <v>45</v>
      </c>
      <c r="AD35" s="18">
        <v>37.340000000000003</v>
      </c>
      <c r="AE35" s="18">
        <v>17.66</v>
      </c>
      <c r="AF35" s="27">
        <v>28</v>
      </c>
      <c r="AG35" s="19">
        <v>20</v>
      </c>
      <c r="AH35" s="20">
        <v>26</v>
      </c>
      <c r="AI35" s="21">
        <f t="shared" si="11"/>
        <v>231.87753846153842</v>
      </c>
    </row>
    <row r="36" spans="1:35" ht="10.5" customHeight="1" x14ac:dyDescent="0.25">
      <c r="A36" s="32" t="s">
        <v>249</v>
      </c>
      <c r="B36" s="18">
        <v>48.32</v>
      </c>
      <c r="C36" s="18">
        <v>34.07</v>
      </c>
      <c r="D36" s="18">
        <v>17.61</v>
      </c>
      <c r="E36" s="27">
        <v>28</v>
      </c>
      <c r="F36" s="19">
        <v>17</v>
      </c>
      <c r="G36" s="20">
        <v>28</v>
      </c>
      <c r="H36" s="21">
        <f t="shared" si="8"/>
        <v>260.10836974789913</v>
      </c>
      <c r="I36" s="16"/>
      <c r="J36" s="32" t="s">
        <v>249</v>
      </c>
      <c r="K36" s="18">
        <v>47.37</v>
      </c>
      <c r="L36" s="18">
        <v>35.369999999999997</v>
      </c>
      <c r="M36" s="18">
        <v>17.260000000000002</v>
      </c>
      <c r="N36" s="27">
        <v>28</v>
      </c>
      <c r="O36" s="19">
        <v>18</v>
      </c>
      <c r="P36" s="20">
        <v>28</v>
      </c>
      <c r="Q36" s="21">
        <f t="shared" si="9"/>
        <v>248.27479365079364</v>
      </c>
      <c r="R36" s="9"/>
      <c r="S36" s="32" t="s">
        <v>249</v>
      </c>
      <c r="T36" s="18">
        <v>46.46</v>
      </c>
      <c r="U36" s="18">
        <v>36.61</v>
      </c>
      <c r="V36" s="18">
        <v>16.93</v>
      </c>
      <c r="W36" s="27">
        <v>28</v>
      </c>
      <c r="X36" s="19">
        <v>19</v>
      </c>
      <c r="Y36" s="20">
        <v>28</v>
      </c>
      <c r="Z36" s="21">
        <f t="shared" si="10"/>
        <v>237.68685714285715</v>
      </c>
      <c r="AB36" s="32" t="s">
        <v>249</v>
      </c>
      <c r="AC36" s="18">
        <v>45.58</v>
      </c>
      <c r="AD36" s="18">
        <v>37.81</v>
      </c>
      <c r="AE36" s="18">
        <v>16.61</v>
      </c>
      <c r="AF36" s="27">
        <v>28</v>
      </c>
      <c r="AG36" s="19">
        <v>20</v>
      </c>
      <c r="AH36" s="20">
        <v>28</v>
      </c>
      <c r="AI36" s="21">
        <f t="shared" si="11"/>
        <v>228.15771428571423</v>
      </c>
    </row>
    <row r="37" spans="1:35" ht="10.5" customHeight="1" x14ac:dyDescent="0.25">
      <c r="A37" s="32" t="s">
        <v>250</v>
      </c>
      <c r="B37" s="18">
        <v>48.89</v>
      </c>
      <c r="C37" s="18">
        <v>34.479999999999997</v>
      </c>
      <c r="D37" s="18">
        <v>16.63</v>
      </c>
      <c r="E37" s="27">
        <v>28</v>
      </c>
      <c r="F37" s="19">
        <v>17</v>
      </c>
      <c r="G37" s="20">
        <v>30</v>
      </c>
      <c r="H37" s="21">
        <f t="shared" si="8"/>
        <v>256.31560784313723</v>
      </c>
      <c r="I37" s="16"/>
      <c r="J37" s="32" t="s">
        <v>250</v>
      </c>
      <c r="K37" s="18">
        <v>47.92</v>
      </c>
      <c r="L37" s="18">
        <v>35.78</v>
      </c>
      <c r="M37" s="18">
        <v>16.3</v>
      </c>
      <c r="N37" s="27">
        <v>28</v>
      </c>
      <c r="O37" s="19">
        <v>18</v>
      </c>
      <c r="P37" s="20">
        <v>30</v>
      </c>
      <c r="Q37" s="21">
        <f t="shared" si="9"/>
        <v>244.69274074074073</v>
      </c>
      <c r="R37" s="9"/>
      <c r="S37" s="32" t="s">
        <v>250</v>
      </c>
      <c r="T37" s="18">
        <v>46.99</v>
      </c>
      <c r="U37" s="18">
        <v>37.03</v>
      </c>
      <c r="V37" s="18">
        <v>15.98</v>
      </c>
      <c r="W37" s="27">
        <v>28</v>
      </c>
      <c r="X37" s="19">
        <v>19</v>
      </c>
      <c r="Y37" s="20">
        <v>30</v>
      </c>
      <c r="Z37" s="21">
        <f t="shared" si="10"/>
        <v>234.29333333333332</v>
      </c>
      <c r="AB37" s="32" t="s">
        <v>250</v>
      </c>
      <c r="AC37" s="18">
        <v>46.09</v>
      </c>
      <c r="AD37" s="18">
        <v>38.24</v>
      </c>
      <c r="AE37" s="18">
        <v>15.67</v>
      </c>
      <c r="AF37" s="27">
        <v>28</v>
      </c>
      <c r="AG37" s="19">
        <v>20</v>
      </c>
      <c r="AH37" s="20">
        <v>30</v>
      </c>
      <c r="AI37" s="21">
        <f t="shared" si="11"/>
        <v>224.93386666666663</v>
      </c>
    </row>
    <row r="38" spans="1:35" ht="10.5" customHeight="1" x14ac:dyDescent="0.25">
      <c r="A38" s="35"/>
      <c r="B38" s="23"/>
      <c r="C38" s="23"/>
      <c r="D38" s="23"/>
      <c r="E38" s="24"/>
      <c r="F38" s="24"/>
      <c r="G38" s="20"/>
      <c r="H38" s="23"/>
      <c r="I38" s="16"/>
      <c r="J38" s="35"/>
      <c r="K38" s="23"/>
      <c r="L38" s="23"/>
      <c r="M38" s="23"/>
      <c r="N38" s="24"/>
      <c r="O38" s="23"/>
      <c r="P38" s="20"/>
      <c r="Q38" s="23"/>
      <c r="R38" s="9"/>
      <c r="S38" s="35"/>
      <c r="T38" s="23"/>
      <c r="U38" s="23"/>
      <c r="V38" s="23"/>
      <c r="W38" s="24"/>
      <c r="X38" s="23"/>
      <c r="Y38" s="20"/>
      <c r="Z38" s="23"/>
      <c r="AB38" s="35"/>
      <c r="AC38" s="23"/>
      <c r="AD38" s="23"/>
      <c r="AE38" s="23"/>
      <c r="AF38" s="24"/>
      <c r="AG38" s="23"/>
      <c r="AH38" s="20"/>
      <c r="AI38" s="23"/>
    </row>
    <row r="39" spans="1:35" ht="10.5" customHeight="1" x14ac:dyDescent="0.25">
      <c r="A39" s="32" t="s">
        <v>251</v>
      </c>
      <c r="B39" s="18">
        <v>38.43</v>
      </c>
      <c r="C39" s="18">
        <v>25.16</v>
      </c>
      <c r="D39" s="18">
        <v>36.409999999999997</v>
      </c>
      <c r="E39" s="27">
        <v>26</v>
      </c>
      <c r="F39" s="19">
        <v>17</v>
      </c>
      <c r="G39" s="20">
        <v>10</v>
      </c>
      <c r="H39" s="21">
        <f t="shared" ref="H39:H48" si="12">74309.76/E39/F39+47.104+27080.32/G39/F39</f>
        <v>374.52162895927597</v>
      </c>
      <c r="I39" s="16"/>
      <c r="J39" s="32" t="s">
        <v>251</v>
      </c>
      <c r="K39" s="18">
        <v>37.869999999999997</v>
      </c>
      <c r="L39" s="18">
        <v>26.25</v>
      </c>
      <c r="M39" s="18">
        <v>35.880000000000003</v>
      </c>
      <c r="N39" s="27">
        <v>26</v>
      </c>
      <c r="O39" s="19">
        <v>18</v>
      </c>
      <c r="P39" s="20">
        <v>10</v>
      </c>
      <c r="Q39" s="21">
        <f t="shared" ref="Q39:Q48" si="13">74309.76/N39/O39+47.104+27080.32/P39/O39</f>
        <v>356.33176068376065</v>
      </c>
      <c r="R39" s="9"/>
      <c r="S39" s="32" t="s">
        <v>251</v>
      </c>
      <c r="T39" s="18">
        <v>37.32</v>
      </c>
      <c r="U39" s="18">
        <v>27.31</v>
      </c>
      <c r="V39" s="18">
        <v>35.369999999999997</v>
      </c>
      <c r="W39" s="27">
        <v>26</v>
      </c>
      <c r="X39" s="19">
        <v>19</v>
      </c>
      <c r="Y39" s="20">
        <v>10</v>
      </c>
      <c r="Z39" s="21">
        <f t="shared" ref="Z39:Z48" si="14">74309.76/W39/X39+47.104+27080.32/Y39/X39</f>
        <v>340.05661538461538</v>
      </c>
      <c r="AB39" s="32" t="s">
        <v>251</v>
      </c>
      <c r="AC39" s="18">
        <v>36.799999999999997</v>
      </c>
      <c r="AD39" s="18">
        <v>28.34</v>
      </c>
      <c r="AE39" s="18">
        <v>34.86</v>
      </c>
      <c r="AF39" s="27">
        <v>26</v>
      </c>
      <c r="AG39" s="19">
        <v>20</v>
      </c>
      <c r="AH39" s="20">
        <v>10</v>
      </c>
      <c r="AI39" s="21">
        <f t="shared" ref="AI39:AI48" si="15">74309.76/AF39/AG39+47.104+27080.32/AH39/AG39</f>
        <v>325.40898461538461</v>
      </c>
    </row>
    <row r="40" spans="1:35" ht="10.5" customHeight="1" x14ac:dyDescent="0.25">
      <c r="A40" s="32" t="s">
        <v>252</v>
      </c>
      <c r="B40" s="18">
        <v>40.909999999999997</v>
      </c>
      <c r="C40" s="18">
        <v>26.79</v>
      </c>
      <c r="D40" s="18">
        <v>32.299999999999997</v>
      </c>
      <c r="E40" s="27">
        <v>26</v>
      </c>
      <c r="F40" s="19">
        <v>17</v>
      </c>
      <c r="G40" s="20">
        <v>12</v>
      </c>
      <c r="H40" s="21">
        <f t="shared" si="12"/>
        <v>347.97229562594265</v>
      </c>
      <c r="I40" s="16"/>
      <c r="J40" s="32" t="s">
        <v>252</v>
      </c>
      <c r="K40" s="18">
        <v>40.270000000000003</v>
      </c>
      <c r="L40" s="18">
        <v>27.93</v>
      </c>
      <c r="M40" s="18">
        <v>31.8</v>
      </c>
      <c r="N40" s="27">
        <v>26</v>
      </c>
      <c r="O40" s="19">
        <v>18</v>
      </c>
      <c r="P40" s="20">
        <v>12</v>
      </c>
      <c r="Q40" s="21">
        <f t="shared" si="13"/>
        <v>331.25739031339026</v>
      </c>
      <c r="R40" s="9"/>
      <c r="S40" s="32" t="s">
        <v>252</v>
      </c>
      <c r="T40" s="18">
        <v>39.659999999999997</v>
      </c>
      <c r="U40" s="18">
        <v>29.02</v>
      </c>
      <c r="V40" s="18">
        <v>31.32</v>
      </c>
      <c r="W40" s="27">
        <v>26</v>
      </c>
      <c r="X40" s="19">
        <v>19</v>
      </c>
      <c r="Y40" s="20">
        <v>12</v>
      </c>
      <c r="Z40" s="21">
        <f t="shared" si="14"/>
        <v>316.30194871794868</v>
      </c>
      <c r="AB40" s="32" t="s">
        <v>252</v>
      </c>
      <c r="AC40" s="18">
        <v>39.07</v>
      </c>
      <c r="AD40" s="18">
        <v>30.09</v>
      </c>
      <c r="AE40" s="18">
        <v>30.84</v>
      </c>
      <c r="AF40" s="27">
        <v>26</v>
      </c>
      <c r="AG40" s="19">
        <v>20</v>
      </c>
      <c r="AH40" s="20">
        <v>12</v>
      </c>
      <c r="AI40" s="21">
        <f t="shared" si="15"/>
        <v>302.84205128205122</v>
      </c>
    </row>
    <row r="41" spans="1:35" ht="10.5" customHeight="1" x14ac:dyDescent="0.25">
      <c r="A41" s="32" t="s">
        <v>253</v>
      </c>
      <c r="B41" s="18">
        <v>42.89</v>
      </c>
      <c r="C41" s="18">
        <v>28.08</v>
      </c>
      <c r="D41" s="18">
        <v>29.03</v>
      </c>
      <c r="E41" s="27">
        <v>26</v>
      </c>
      <c r="F41" s="19">
        <v>17</v>
      </c>
      <c r="G41" s="20">
        <v>14</v>
      </c>
      <c r="H41" s="21">
        <f t="shared" si="12"/>
        <v>329.00848610213313</v>
      </c>
      <c r="I41" s="16"/>
      <c r="J41" s="32" t="s">
        <v>253</v>
      </c>
      <c r="K41" s="18">
        <v>42.19</v>
      </c>
      <c r="L41" s="18">
        <v>29.25</v>
      </c>
      <c r="M41" s="18">
        <v>28.56</v>
      </c>
      <c r="N41" s="27">
        <v>26</v>
      </c>
      <c r="O41" s="19">
        <v>18</v>
      </c>
      <c r="P41" s="20">
        <v>14</v>
      </c>
      <c r="Q41" s="21">
        <f t="shared" si="13"/>
        <v>313.34712576312575</v>
      </c>
      <c r="R41" s="9"/>
      <c r="S41" s="32" t="s">
        <v>253</v>
      </c>
      <c r="T41" s="18">
        <v>41.52</v>
      </c>
      <c r="U41" s="18">
        <v>30.38</v>
      </c>
      <c r="V41" s="18">
        <v>28.1</v>
      </c>
      <c r="W41" s="27">
        <v>26</v>
      </c>
      <c r="X41" s="19">
        <v>19</v>
      </c>
      <c r="Y41" s="20">
        <v>14</v>
      </c>
      <c r="Z41" s="21">
        <f t="shared" si="14"/>
        <v>299.33432967032968</v>
      </c>
      <c r="AB41" s="32" t="s">
        <v>253</v>
      </c>
      <c r="AC41" s="18">
        <v>40.86</v>
      </c>
      <c r="AD41" s="18">
        <v>31.48</v>
      </c>
      <c r="AE41" s="18">
        <v>27.66</v>
      </c>
      <c r="AF41" s="27">
        <v>26</v>
      </c>
      <c r="AG41" s="19">
        <v>20</v>
      </c>
      <c r="AH41" s="20">
        <v>14</v>
      </c>
      <c r="AI41" s="21">
        <f t="shared" si="15"/>
        <v>286.72281318681314</v>
      </c>
    </row>
    <row r="42" spans="1:35" ht="10.5" customHeight="1" x14ac:dyDescent="0.25">
      <c r="A42" s="32" t="s">
        <v>254</v>
      </c>
      <c r="B42" s="18">
        <v>44.5</v>
      </c>
      <c r="C42" s="18">
        <v>29.14</v>
      </c>
      <c r="D42" s="18">
        <v>26.36</v>
      </c>
      <c r="E42" s="27">
        <v>26</v>
      </c>
      <c r="F42" s="19">
        <v>17</v>
      </c>
      <c r="G42" s="20">
        <v>16</v>
      </c>
      <c r="H42" s="21">
        <f t="shared" si="12"/>
        <v>314.78562895927598</v>
      </c>
      <c r="I42" s="16"/>
      <c r="J42" s="32" t="s">
        <v>254</v>
      </c>
      <c r="K42" s="18">
        <v>43.75</v>
      </c>
      <c r="L42" s="18">
        <v>30.34</v>
      </c>
      <c r="M42" s="18">
        <v>25.91</v>
      </c>
      <c r="N42" s="27">
        <v>26</v>
      </c>
      <c r="O42" s="19">
        <v>18</v>
      </c>
      <c r="P42" s="20">
        <v>16</v>
      </c>
      <c r="Q42" s="21">
        <f t="shared" si="13"/>
        <v>299.91442735042733</v>
      </c>
      <c r="R42" s="9"/>
      <c r="S42" s="32" t="s">
        <v>254</v>
      </c>
      <c r="T42" s="18">
        <v>43.03</v>
      </c>
      <c r="U42" s="18">
        <v>31.49</v>
      </c>
      <c r="V42" s="18">
        <v>25.48</v>
      </c>
      <c r="W42" s="27">
        <v>26</v>
      </c>
      <c r="X42" s="19">
        <v>19</v>
      </c>
      <c r="Y42" s="20">
        <v>16</v>
      </c>
      <c r="Z42" s="21">
        <f t="shared" si="14"/>
        <v>286.60861538461535</v>
      </c>
      <c r="AB42" s="32" t="s">
        <v>254</v>
      </c>
      <c r="AC42" s="18">
        <v>42.33</v>
      </c>
      <c r="AD42" s="18">
        <v>32.61</v>
      </c>
      <c r="AE42" s="18">
        <v>25.06</v>
      </c>
      <c r="AF42" s="27">
        <v>26</v>
      </c>
      <c r="AG42" s="19">
        <v>20</v>
      </c>
      <c r="AH42" s="20">
        <v>16</v>
      </c>
      <c r="AI42" s="21">
        <f t="shared" si="15"/>
        <v>274.63338461538456</v>
      </c>
    </row>
    <row r="43" spans="1:35" ht="10.5" customHeight="1" x14ac:dyDescent="0.25">
      <c r="A43" s="32" t="s">
        <v>255</v>
      </c>
      <c r="B43" s="18">
        <v>45.85</v>
      </c>
      <c r="C43" s="18">
        <v>30.02</v>
      </c>
      <c r="D43" s="18">
        <v>24.13</v>
      </c>
      <c r="E43" s="27">
        <v>26</v>
      </c>
      <c r="F43" s="19">
        <v>17</v>
      </c>
      <c r="G43" s="20">
        <v>18</v>
      </c>
      <c r="H43" s="21">
        <f t="shared" si="12"/>
        <v>303.72340673705378</v>
      </c>
      <c r="I43" s="16"/>
      <c r="J43" s="32" t="s">
        <v>255</v>
      </c>
      <c r="K43" s="18">
        <v>45.05</v>
      </c>
      <c r="L43" s="18">
        <v>31.23</v>
      </c>
      <c r="M43" s="18">
        <v>23.72</v>
      </c>
      <c r="N43" s="27">
        <v>26</v>
      </c>
      <c r="O43" s="19">
        <v>18</v>
      </c>
      <c r="P43" s="20">
        <v>18</v>
      </c>
      <c r="Q43" s="21">
        <f t="shared" si="13"/>
        <v>289.46677302943965</v>
      </c>
      <c r="R43" s="9"/>
      <c r="S43" s="32" t="s">
        <v>255</v>
      </c>
      <c r="T43" s="18">
        <v>44.28</v>
      </c>
      <c r="U43" s="18">
        <v>32.409999999999997</v>
      </c>
      <c r="V43" s="18">
        <v>23.31</v>
      </c>
      <c r="W43" s="27">
        <v>26</v>
      </c>
      <c r="X43" s="19">
        <v>19</v>
      </c>
      <c r="Y43" s="20">
        <v>18</v>
      </c>
      <c r="Z43" s="21">
        <f t="shared" si="14"/>
        <v>276.71083760683757</v>
      </c>
      <c r="AB43" s="32" t="s">
        <v>255</v>
      </c>
      <c r="AC43" s="18">
        <v>43.54</v>
      </c>
      <c r="AD43" s="18">
        <v>33.54</v>
      </c>
      <c r="AE43" s="18">
        <v>22.92</v>
      </c>
      <c r="AF43" s="27">
        <v>26</v>
      </c>
      <c r="AG43" s="19">
        <v>20</v>
      </c>
      <c r="AH43" s="20">
        <v>18</v>
      </c>
      <c r="AI43" s="21">
        <f t="shared" si="15"/>
        <v>265.23049572649569</v>
      </c>
    </row>
    <row r="44" spans="1:35" ht="10.5" customHeight="1" x14ac:dyDescent="0.25">
      <c r="A44" s="32" t="s">
        <v>256</v>
      </c>
      <c r="B44" s="18">
        <v>46.98</v>
      </c>
      <c r="C44" s="18">
        <v>30.76</v>
      </c>
      <c r="D44" s="18">
        <v>22.26</v>
      </c>
      <c r="E44" s="27">
        <v>26</v>
      </c>
      <c r="F44" s="19">
        <v>17</v>
      </c>
      <c r="G44" s="20">
        <v>20</v>
      </c>
      <c r="H44" s="21">
        <f t="shared" si="12"/>
        <v>294.873628959276</v>
      </c>
      <c r="I44" s="16"/>
      <c r="J44" s="32" t="s">
        <v>256</v>
      </c>
      <c r="K44" s="18">
        <v>46.15</v>
      </c>
      <c r="L44" s="18">
        <v>31.99</v>
      </c>
      <c r="M44" s="18">
        <v>21.86</v>
      </c>
      <c r="N44" s="27">
        <v>26</v>
      </c>
      <c r="O44" s="19">
        <v>18</v>
      </c>
      <c r="P44" s="20">
        <v>20</v>
      </c>
      <c r="Q44" s="21">
        <f t="shared" si="13"/>
        <v>281.10864957264954</v>
      </c>
      <c r="R44" s="9"/>
      <c r="S44" s="32" t="s">
        <v>256</v>
      </c>
      <c r="T44" s="18">
        <v>45.34</v>
      </c>
      <c r="U44" s="18">
        <v>33.18</v>
      </c>
      <c r="V44" s="18">
        <v>21.48</v>
      </c>
      <c r="W44" s="27">
        <v>26</v>
      </c>
      <c r="X44" s="19">
        <v>19</v>
      </c>
      <c r="Y44" s="20">
        <v>20</v>
      </c>
      <c r="Z44" s="21">
        <f t="shared" si="14"/>
        <v>268.79261538461537</v>
      </c>
      <c r="AB44" s="32" t="s">
        <v>256</v>
      </c>
      <c r="AC44" s="18">
        <v>44.56</v>
      </c>
      <c r="AD44" s="18">
        <v>34.33</v>
      </c>
      <c r="AE44" s="18">
        <v>21.11</v>
      </c>
      <c r="AF44" s="27">
        <v>26</v>
      </c>
      <c r="AG44" s="19">
        <v>20</v>
      </c>
      <c r="AH44" s="20">
        <v>20</v>
      </c>
      <c r="AI44" s="21">
        <f t="shared" si="15"/>
        <v>257.7081846153846</v>
      </c>
    </row>
    <row r="45" spans="1:35" ht="10.5" customHeight="1" x14ac:dyDescent="0.25">
      <c r="A45" s="32" t="s">
        <v>257</v>
      </c>
      <c r="B45" s="18">
        <v>48.79</v>
      </c>
      <c r="C45" s="18">
        <v>31.95</v>
      </c>
      <c r="D45" s="18">
        <v>19.260000000000002</v>
      </c>
      <c r="E45" s="27">
        <v>26</v>
      </c>
      <c r="F45" s="19">
        <v>17</v>
      </c>
      <c r="G45" s="20">
        <v>24</v>
      </c>
      <c r="H45" s="21">
        <f t="shared" si="12"/>
        <v>281.59896229260931</v>
      </c>
      <c r="I45" s="16"/>
      <c r="J45" s="32" t="s">
        <v>257</v>
      </c>
      <c r="K45" s="18">
        <v>47.89</v>
      </c>
      <c r="L45" s="18">
        <v>33.200000000000003</v>
      </c>
      <c r="M45" s="18">
        <v>18.91</v>
      </c>
      <c r="N45" s="27">
        <v>26</v>
      </c>
      <c r="O45" s="19">
        <v>18</v>
      </c>
      <c r="P45" s="20">
        <v>24</v>
      </c>
      <c r="Q45" s="21">
        <f t="shared" si="13"/>
        <v>268.57146438746435</v>
      </c>
      <c r="R45" s="9"/>
      <c r="S45" s="32" t="s">
        <v>257</v>
      </c>
      <c r="T45" s="18">
        <v>47.03</v>
      </c>
      <c r="U45" s="18">
        <v>34.409999999999997</v>
      </c>
      <c r="V45" s="18">
        <v>18.559999999999999</v>
      </c>
      <c r="W45" s="27">
        <v>26</v>
      </c>
      <c r="X45" s="19">
        <v>19</v>
      </c>
      <c r="Y45" s="20">
        <v>24</v>
      </c>
      <c r="Z45" s="21">
        <f t="shared" si="14"/>
        <v>256.91528205128202</v>
      </c>
      <c r="AB45" s="32" t="s">
        <v>257</v>
      </c>
      <c r="AC45" s="18">
        <v>46.19</v>
      </c>
      <c r="AD45" s="18">
        <v>35.58</v>
      </c>
      <c r="AE45" s="18">
        <v>18.23</v>
      </c>
      <c r="AF45" s="27">
        <v>26</v>
      </c>
      <c r="AG45" s="19">
        <v>20</v>
      </c>
      <c r="AH45" s="20">
        <v>24</v>
      </c>
      <c r="AI45" s="21">
        <f t="shared" si="15"/>
        <v>246.4247179487179</v>
      </c>
    </row>
    <row r="46" spans="1:35" ht="10.5" customHeight="1" x14ac:dyDescent="0.25">
      <c r="A46" s="32" t="s">
        <v>258</v>
      </c>
      <c r="B46" s="18">
        <v>49.52</v>
      </c>
      <c r="C46" s="18">
        <v>32.43</v>
      </c>
      <c r="D46" s="18">
        <v>18.05</v>
      </c>
      <c r="E46" s="27">
        <v>26</v>
      </c>
      <c r="F46" s="19">
        <v>17</v>
      </c>
      <c r="G46" s="20">
        <v>26</v>
      </c>
      <c r="H46" s="21">
        <f t="shared" si="12"/>
        <v>276.49332126696828</v>
      </c>
      <c r="I46" s="16"/>
      <c r="J46" s="32" t="s">
        <v>258</v>
      </c>
      <c r="K46" s="18">
        <v>48.6</v>
      </c>
      <c r="L46" s="18">
        <v>33.69</v>
      </c>
      <c r="M46" s="18">
        <v>17.71</v>
      </c>
      <c r="N46" s="27">
        <v>26</v>
      </c>
      <c r="O46" s="19">
        <v>18</v>
      </c>
      <c r="P46" s="20">
        <v>26</v>
      </c>
      <c r="Q46" s="21">
        <f t="shared" si="13"/>
        <v>263.74947008547008</v>
      </c>
      <c r="R46" s="9"/>
      <c r="S46" s="32" t="s">
        <v>258</v>
      </c>
      <c r="T46" s="18">
        <v>47.7</v>
      </c>
      <c r="U46" s="18">
        <v>34.909999999999997</v>
      </c>
      <c r="V46" s="18">
        <v>17.39</v>
      </c>
      <c r="W46" s="27">
        <v>26</v>
      </c>
      <c r="X46" s="19">
        <v>19</v>
      </c>
      <c r="Y46" s="20">
        <v>26</v>
      </c>
      <c r="Z46" s="21">
        <f t="shared" si="14"/>
        <v>252.34707692307691</v>
      </c>
      <c r="AB46" s="32" t="s">
        <v>258</v>
      </c>
      <c r="AC46" s="18">
        <v>46.84</v>
      </c>
      <c r="AD46" s="18">
        <v>36.090000000000003</v>
      </c>
      <c r="AE46" s="18">
        <v>17.07</v>
      </c>
      <c r="AF46" s="27">
        <v>26</v>
      </c>
      <c r="AG46" s="19">
        <v>20</v>
      </c>
      <c r="AH46" s="20">
        <v>26</v>
      </c>
      <c r="AI46" s="21">
        <f t="shared" si="15"/>
        <v>242.08492307692305</v>
      </c>
    </row>
    <row r="47" spans="1:35" ht="10.5" customHeight="1" x14ac:dyDescent="0.25">
      <c r="A47" s="32" t="s">
        <v>259</v>
      </c>
      <c r="B47" s="18">
        <v>50.17</v>
      </c>
      <c r="C47" s="18">
        <v>32.85</v>
      </c>
      <c r="D47" s="18">
        <v>16.98</v>
      </c>
      <c r="E47" s="27">
        <v>26</v>
      </c>
      <c r="F47" s="19">
        <v>17</v>
      </c>
      <c r="G47" s="20">
        <v>28</v>
      </c>
      <c r="H47" s="21">
        <f t="shared" si="12"/>
        <v>272.11705753070453</v>
      </c>
      <c r="I47" s="16"/>
      <c r="J47" s="32" t="s">
        <v>259</v>
      </c>
      <c r="K47" s="18">
        <v>49.22</v>
      </c>
      <c r="L47" s="18">
        <v>34.130000000000003</v>
      </c>
      <c r="M47" s="18">
        <v>16.649999999999999</v>
      </c>
      <c r="N47" s="27">
        <v>26</v>
      </c>
      <c r="O47" s="19">
        <v>18</v>
      </c>
      <c r="P47" s="20">
        <v>28</v>
      </c>
      <c r="Q47" s="21">
        <f t="shared" si="13"/>
        <v>259.61633211233209</v>
      </c>
      <c r="R47" s="9"/>
      <c r="S47" s="32" t="s">
        <v>259</v>
      </c>
      <c r="T47" s="18">
        <v>48.3</v>
      </c>
      <c r="U47" s="18">
        <v>35.35</v>
      </c>
      <c r="V47" s="18">
        <v>16.350000000000001</v>
      </c>
      <c r="W47" s="27">
        <v>26</v>
      </c>
      <c r="X47" s="19">
        <v>19</v>
      </c>
      <c r="Y47" s="20">
        <v>28</v>
      </c>
      <c r="Z47" s="21">
        <f t="shared" si="14"/>
        <v>248.43147252747252</v>
      </c>
      <c r="AB47" s="32" t="s">
        <v>259</v>
      </c>
      <c r="AC47" s="18">
        <v>47.42</v>
      </c>
      <c r="AD47" s="18">
        <v>36.53</v>
      </c>
      <c r="AE47" s="18">
        <v>16.05</v>
      </c>
      <c r="AF47" s="27">
        <v>26</v>
      </c>
      <c r="AG47" s="19">
        <v>20</v>
      </c>
      <c r="AH47" s="20">
        <v>28</v>
      </c>
      <c r="AI47" s="21">
        <f t="shared" si="15"/>
        <v>238.36509890109886</v>
      </c>
    </row>
    <row r="48" spans="1:35" ht="10.5" customHeight="1" x14ac:dyDescent="0.25">
      <c r="A48" s="32" t="s">
        <v>260</v>
      </c>
      <c r="B48" s="18">
        <v>50.74</v>
      </c>
      <c r="C48" s="18">
        <v>33.229999999999997</v>
      </c>
      <c r="D48" s="18">
        <v>16.03</v>
      </c>
      <c r="E48" s="27">
        <v>26</v>
      </c>
      <c r="F48" s="19">
        <v>17</v>
      </c>
      <c r="G48" s="20">
        <v>30</v>
      </c>
      <c r="H48" s="21">
        <f t="shared" si="12"/>
        <v>268.32429562594263</v>
      </c>
      <c r="I48" s="16"/>
      <c r="J48" s="32" t="s">
        <v>260</v>
      </c>
      <c r="K48" s="18">
        <v>49.77</v>
      </c>
      <c r="L48" s="18">
        <v>34.51</v>
      </c>
      <c r="M48" s="18">
        <v>15.72</v>
      </c>
      <c r="N48" s="27">
        <v>26</v>
      </c>
      <c r="O48" s="19">
        <v>18</v>
      </c>
      <c r="P48" s="20">
        <v>30</v>
      </c>
      <c r="Q48" s="21">
        <f t="shared" si="13"/>
        <v>256.03427920227915</v>
      </c>
      <c r="R48" s="9"/>
      <c r="S48" s="32" t="s">
        <v>260</v>
      </c>
      <c r="T48" s="18">
        <v>48.84</v>
      </c>
      <c r="U48" s="18">
        <v>35.74</v>
      </c>
      <c r="V48" s="18">
        <v>15.42</v>
      </c>
      <c r="W48" s="27">
        <v>26</v>
      </c>
      <c r="X48" s="19">
        <v>19</v>
      </c>
      <c r="Y48" s="20">
        <v>30</v>
      </c>
      <c r="Z48" s="21">
        <f t="shared" si="14"/>
        <v>245.03794871794869</v>
      </c>
      <c r="AB48" s="32" t="s">
        <v>260</v>
      </c>
      <c r="AC48" s="18">
        <v>47.93</v>
      </c>
      <c r="AD48" s="18">
        <v>36.93</v>
      </c>
      <c r="AE48" s="18">
        <v>15.14</v>
      </c>
      <c r="AF48" s="27">
        <v>26</v>
      </c>
      <c r="AG48" s="19">
        <v>20</v>
      </c>
      <c r="AH48" s="20">
        <v>30</v>
      </c>
      <c r="AI48" s="21">
        <f t="shared" si="15"/>
        <v>235.14125128205126</v>
      </c>
    </row>
    <row r="49" spans="1:35" ht="10.5" customHeight="1" x14ac:dyDescent="0.25">
      <c r="A49" s="36"/>
      <c r="B49" s="23"/>
      <c r="C49" s="23"/>
      <c r="D49" s="23"/>
      <c r="E49" s="24"/>
      <c r="F49" s="24"/>
      <c r="G49" s="20"/>
      <c r="H49" s="23"/>
      <c r="I49" s="16"/>
      <c r="J49" s="36"/>
      <c r="K49" s="23"/>
      <c r="L49" s="23"/>
      <c r="M49" s="23"/>
      <c r="N49" s="24"/>
      <c r="O49" s="23"/>
      <c r="P49" s="20"/>
      <c r="Q49" s="23"/>
      <c r="R49" s="9"/>
      <c r="S49" s="36"/>
      <c r="T49" s="23"/>
      <c r="U49" s="23"/>
      <c r="V49" s="23"/>
      <c r="W49" s="24"/>
      <c r="X49" s="23"/>
      <c r="Y49" s="20"/>
      <c r="Z49" s="23"/>
      <c r="AB49" s="36"/>
      <c r="AC49" s="23"/>
      <c r="AD49" s="23"/>
      <c r="AE49" s="23"/>
      <c r="AF49" s="24"/>
      <c r="AG49" s="23"/>
      <c r="AH49" s="20"/>
      <c r="AI49" s="23"/>
    </row>
    <row r="50" spans="1:35" ht="10.5" customHeight="1" x14ac:dyDescent="0.25">
      <c r="A50" s="32" t="s">
        <v>261</v>
      </c>
      <c r="B50" s="18">
        <v>40.340000000000003</v>
      </c>
      <c r="C50" s="18">
        <v>24.38</v>
      </c>
      <c r="D50" s="18">
        <v>35.28</v>
      </c>
      <c r="E50" s="27">
        <v>24</v>
      </c>
      <c r="F50" s="19">
        <v>17</v>
      </c>
      <c r="G50" s="20">
        <v>10</v>
      </c>
      <c r="H50" s="21">
        <f t="shared" ref="H50:H59" si="16">74309.76/E50/F50+47.104+27080.32/G50/F50</f>
        <v>388.53176470588232</v>
      </c>
      <c r="I50" s="16"/>
      <c r="J50" s="32" t="s">
        <v>261</v>
      </c>
      <c r="K50" s="18">
        <v>39.770000000000003</v>
      </c>
      <c r="L50" s="18">
        <v>25.45</v>
      </c>
      <c r="M50" s="18">
        <v>34.78</v>
      </c>
      <c r="N50" s="27">
        <v>24</v>
      </c>
      <c r="O50" s="19">
        <v>18</v>
      </c>
      <c r="P50" s="20">
        <v>10</v>
      </c>
      <c r="Q50" s="21">
        <f t="shared" ref="Q50:Q59" si="17">74309.76/N50/O50+47.104+27080.32/P50/O50</f>
        <v>369.56355555555552</v>
      </c>
      <c r="R50" s="9"/>
      <c r="S50" s="32" t="s">
        <v>261</v>
      </c>
      <c r="T50" s="18">
        <v>39.21</v>
      </c>
      <c r="U50" s="18">
        <v>26.49</v>
      </c>
      <c r="V50" s="18">
        <v>34.299999999999997</v>
      </c>
      <c r="W50" s="27">
        <v>24</v>
      </c>
      <c r="X50" s="19">
        <v>19</v>
      </c>
      <c r="Y50" s="20">
        <v>10</v>
      </c>
      <c r="Z50" s="21">
        <f t="shared" ref="Z50:Z59" si="18">74309.76/W50/X50+47.104+27080.32/Y50/X50</f>
        <v>352.59199999999998</v>
      </c>
      <c r="AB50" s="32" t="s">
        <v>261</v>
      </c>
      <c r="AC50" s="18">
        <v>38.67</v>
      </c>
      <c r="AD50" s="18">
        <v>27.5</v>
      </c>
      <c r="AE50" s="18">
        <v>33.83</v>
      </c>
      <c r="AF50" s="27">
        <v>24</v>
      </c>
      <c r="AG50" s="19">
        <v>20</v>
      </c>
      <c r="AH50" s="20">
        <v>10</v>
      </c>
      <c r="AI50" s="21">
        <f t="shared" ref="AI50:AI59" si="19">74309.76/AF50/AG50+47.104+27080.32/AH50/AG50</f>
        <v>337.31759999999997</v>
      </c>
    </row>
    <row r="51" spans="1:35" ht="10.5" customHeight="1" x14ac:dyDescent="0.25">
      <c r="A51" s="32" t="s">
        <v>262</v>
      </c>
      <c r="B51" s="18">
        <v>42.86</v>
      </c>
      <c r="C51" s="18">
        <v>25.9</v>
      </c>
      <c r="D51" s="18">
        <v>31.24</v>
      </c>
      <c r="E51" s="27">
        <v>24</v>
      </c>
      <c r="F51" s="19">
        <v>17</v>
      </c>
      <c r="G51" s="20">
        <v>12</v>
      </c>
      <c r="H51" s="21">
        <f t="shared" si="16"/>
        <v>361.982431372549</v>
      </c>
      <c r="I51" s="16"/>
      <c r="J51" s="32" t="s">
        <v>262</v>
      </c>
      <c r="K51" s="18">
        <v>42.21</v>
      </c>
      <c r="L51" s="18">
        <v>27.02</v>
      </c>
      <c r="M51" s="18">
        <v>30.77</v>
      </c>
      <c r="N51" s="27">
        <v>24</v>
      </c>
      <c r="O51" s="19">
        <v>18</v>
      </c>
      <c r="P51" s="20">
        <v>12</v>
      </c>
      <c r="Q51" s="21">
        <f t="shared" si="17"/>
        <v>344.48918518518514</v>
      </c>
      <c r="R51" s="9"/>
      <c r="S51" s="32" t="s">
        <v>262</v>
      </c>
      <c r="T51" s="18">
        <v>41.59</v>
      </c>
      <c r="U51" s="18">
        <v>28.1</v>
      </c>
      <c r="V51" s="18">
        <v>30.31</v>
      </c>
      <c r="W51" s="27">
        <v>24</v>
      </c>
      <c r="X51" s="19">
        <v>19</v>
      </c>
      <c r="Y51" s="20">
        <v>12</v>
      </c>
      <c r="Z51" s="21">
        <f t="shared" si="18"/>
        <v>328.83733333333328</v>
      </c>
      <c r="AB51" s="32" t="s">
        <v>262</v>
      </c>
      <c r="AC51" s="18">
        <v>40.99</v>
      </c>
      <c r="AD51" s="18">
        <v>29.14</v>
      </c>
      <c r="AE51" s="18">
        <v>29.87</v>
      </c>
      <c r="AF51" s="27">
        <v>24</v>
      </c>
      <c r="AG51" s="19">
        <v>20</v>
      </c>
      <c r="AH51" s="20">
        <v>12</v>
      </c>
      <c r="AI51" s="21">
        <f t="shared" si="19"/>
        <v>314.75066666666669</v>
      </c>
    </row>
    <row r="52" spans="1:35" ht="10.5" customHeight="1" x14ac:dyDescent="0.25">
      <c r="A52" s="32" t="s">
        <v>263</v>
      </c>
      <c r="B52" s="18">
        <v>44.86</v>
      </c>
      <c r="C52" s="18">
        <v>27.11</v>
      </c>
      <c r="D52" s="18">
        <v>28.03</v>
      </c>
      <c r="E52" s="27">
        <v>24</v>
      </c>
      <c r="F52" s="19">
        <v>17</v>
      </c>
      <c r="G52" s="20">
        <v>14</v>
      </c>
      <c r="H52" s="21">
        <f t="shared" si="16"/>
        <v>343.01862184873949</v>
      </c>
      <c r="I52" s="16"/>
      <c r="J52" s="32" t="s">
        <v>263</v>
      </c>
      <c r="K52" s="18">
        <v>44.15</v>
      </c>
      <c r="L52" s="18">
        <v>28.26</v>
      </c>
      <c r="M52" s="18">
        <v>27.59</v>
      </c>
      <c r="N52" s="27">
        <v>24</v>
      </c>
      <c r="O52" s="19">
        <v>18</v>
      </c>
      <c r="P52" s="20">
        <v>14</v>
      </c>
      <c r="Q52" s="21">
        <f t="shared" si="17"/>
        <v>326.57892063492062</v>
      </c>
      <c r="R52" s="9"/>
      <c r="S52" s="32" t="s">
        <v>263</v>
      </c>
      <c r="T52" s="18">
        <v>43.47</v>
      </c>
      <c r="U52" s="18">
        <v>29.37</v>
      </c>
      <c r="V52" s="18">
        <v>27.16</v>
      </c>
      <c r="W52" s="27">
        <v>24</v>
      </c>
      <c r="X52" s="19">
        <v>19</v>
      </c>
      <c r="Y52" s="20">
        <v>14</v>
      </c>
      <c r="Z52" s="21">
        <f t="shared" si="18"/>
        <v>311.86971428571428</v>
      </c>
      <c r="AB52" s="32" t="s">
        <v>263</v>
      </c>
      <c r="AC52" s="18">
        <v>42.81</v>
      </c>
      <c r="AD52" s="18">
        <v>30.44</v>
      </c>
      <c r="AE52" s="18">
        <v>26.75</v>
      </c>
      <c r="AF52" s="27">
        <v>24</v>
      </c>
      <c r="AG52" s="19">
        <v>20</v>
      </c>
      <c r="AH52" s="20">
        <v>14</v>
      </c>
      <c r="AI52" s="21">
        <f t="shared" si="19"/>
        <v>298.63142857142856</v>
      </c>
    </row>
    <row r="53" spans="1:35" ht="10.5" customHeight="1" x14ac:dyDescent="0.25">
      <c r="A53" s="32" t="s">
        <v>264</v>
      </c>
      <c r="B53" s="18">
        <v>46.49</v>
      </c>
      <c r="C53" s="18">
        <v>28.1</v>
      </c>
      <c r="D53" s="18">
        <v>25.41</v>
      </c>
      <c r="E53" s="27">
        <v>24</v>
      </c>
      <c r="F53" s="19">
        <v>17</v>
      </c>
      <c r="G53" s="20">
        <v>16</v>
      </c>
      <c r="H53" s="21">
        <f t="shared" si="16"/>
        <v>328.79576470588233</v>
      </c>
      <c r="I53" s="16"/>
      <c r="J53" s="32" t="s">
        <v>264</v>
      </c>
      <c r="K53" s="18">
        <v>45.73</v>
      </c>
      <c r="L53" s="18">
        <v>29.27</v>
      </c>
      <c r="M53" s="18">
        <v>25</v>
      </c>
      <c r="N53" s="27">
        <v>24</v>
      </c>
      <c r="O53" s="19">
        <v>18</v>
      </c>
      <c r="P53" s="20">
        <v>16</v>
      </c>
      <c r="Q53" s="21">
        <f t="shared" si="17"/>
        <v>313.14622222222221</v>
      </c>
      <c r="R53" s="9"/>
      <c r="S53" s="32" t="s">
        <v>264</v>
      </c>
      <c r="T53" s="18">
        <v>45</v>
      </c>
      <c r="U53" s="18">
        <v>30.4</v>
      </c>
      <c r="V53" s="18">
        <v>24.6</v>
      </c>
      <c r="W53" s="27">
        <v>24</v>
      </c>
      <c r="X53" s="19">
        <v>19</v>
      </c>
      <c r="Y53" s="20">
        <v>16</v>
      </c>
      <c r="Z53" s="21">
        <f t="shared" si="18"/>
        <v>299.14399999999995</v>
      </c>
      <c r="AB53" s="32" t="s">
        <v>264</v>
      </c>
      <c r="AC53" s="18">
        <v>44.29</v>
      </c>
      <c r="AD53" s="18">
        <v>31.5</v>
      </c>
      <c r="AE53" s="18">
        <v>24.21</v>
      </c>
      <c r="AF53" s="27">
        <v>24</v>
      </c>
      <c r="AG53" s="19">
        <v>20</v>
      </c>
      <c r="AH53" s="20">
        <v>16</v>
      </c>
      <c r="AI53" s="21">
        <f t="shared" si="19"/>
        <v>286.54200000000003</v>
      </c>
    </row>
    <row r="54" spans="1:35" ht="10.5" customHeight="1" x14ac:dyDescent="0.25">
      <c r="A54" s="32" t="s">
        <v>265</v>
      </c>
      <c r="B54" s="18">
        <v>47.84</v>
      </c>
      <c r="C54" s="18">
        <v>28.91</v>
      </c>
      <c r="D54" s="18">
        <v>23.25</v>
      </c>
      <c r="E54" s="27">
        <v>24</v>
      </c>
      <c r="F54" s="19">
        <v>17</v>
      </c>
      <c r="G54" s="20">
        <v>18</v>
      </c>
      <c r="H54" s="21">
        <f t="shared" si="16"/>
        <v>317.73354248366013</v>
      </c>
      <c r="I54" s="16"/>
      <c r="J54" s="32" t="s">
        <v>265</v>
      </c>
      <c r="K54" s="18">
        <v>47.04</v>
      </c>
      <c r="L54" s="18">
        <v>30.1</v>
      </c>
      <c r="M54" s="18">
        <v>22.86</v>
      </c>
      <c r="N54" s="27">
        <v>24</v>
      </c>
      <c r="O54" s="19">
        <v>18</v>
      </c>
      <c r="P54" s="20">
        <v>18</v>
      </c>
      <c r="Q54" s="21">
        <f t="shared" si="17"/>
        <v>302.69856790123453</v>
      </c>
      <c r="R54" s="9"/>
      <c r="S54" s="32" t="s">
        <v>265</v>
      </c>
      <c r="T54" s="18">
        <v>46.27</v>
      </c>
      <c r="U54" s="18">
        <v>31.25</v>
      </c>
      <c r="V54" s="18">
        <v>22.48</v>
      </c>
      <c r="W54" s="27">
        <v>24</v>
      </c>
      <c r="X54" s="19">
        <v>19</v>
      </c>
      <c r="Y54" s="20">
        <v>18</v>
      </c>
      <c r="Z54" s="21">
        <f t="shared" si="18"/>
        <v>289.24622222222217</v>
      </c>
      <c r="AB54" s="32" t="s">
        <v>265</v>
      </c>
      <c r="AC54" s="18">
        <v>45.52</v>
      </c>
      <c r="AD54" s="18">
        <v>32.36</v>
      </c>
      <c r="AE54" s="18">
        <v>22.12</v>
      </c>
      <c r="AF54" s="27">
        <v>24</v>
      </c>
      <c r="AG54" s="19">
        <v>20</v>
      </c>
      <c r="AH54" s="20">
        <v>18</v>
      </c>
      <c r="AI54" s="21">
        <f t="shared" si="19"/>
        <v>277.13911111111111</v>
      </c>
    </row>
    <row r="55" spans="1:35" ht="10.5" customHeight="1" x14ac:dyDescent="0.25">
      <c r="A55" s="32" t="s">
        <v>266</v>
      </c>
      <c r="B55" s="18">
        <v>48.98</v>
      </c>
      <c r="C55" s="18">
        <v>29.6</v>
      </c>
      <c r="D55" s="18">
        <v>21.42</v>
      </c>
      <c r="E55" s="27">
        <v>24</v>
      </c>
      <c r="F55" s="19">
        <v>17</v>
      </c>
      <c r="G55" s="20">
        <v>20</v>
      </c>
      <c r="H55" s="21">
        <f t="shared" si="16"/>
        <v>308.88376470588236</v>
      </c>
      <c r="I55" s="16"/>
      <c r="J55" s="32" t="s">
        <v>266</v>
      </c>
      <c r="K55" s="18">
        <v>48.14</v>
      </c>
      <c r="L55" s="18">
        <v>30.81</v>
      </c>
      <c r="M55" s="18">
        <v>21.05</v>
      </c>
      <c r="N55" s="27">
        <v>24</v>
      </c>
      <c r="O55" s="19">
        <v>18</v>
      </c>
      <c r="P55" s="20">
        <v>20</v>
      </c>
      <c r="Q55" s="21">
        <f t="shared" si="17"/>
        <v>294.34044444444442</v>
      </c>
      <c r="R55" s="9"/>
      <c r="S55" s="32" t="s">
        <v>266</v>
      </c>
      <c r="T55" s="18">
        <v>47.33</v>
      </c>
      <c r="U55" s="18">
        <v>31.97</v>
      </c>
      <c r="V55" s="18">
        <v>20.7</v>
      </c>
      <c r="W55" s="27">
        <v>24</v>
      </c>
      <c r="X55" s="19">
        <v>19</v>
      </c>
      <c r="Y55" s="20">
        <v>20</v>
      </c>
      <c r="Z55" s="21">
        <f t="shared" si="18"/>
        <v>281.32799999999997</v>
      </c>
      <c r="AB55" s="32" t="s">
        <v>266</v>
      </c>
      <c r="AC55" s="18">
        <v>46.55</v>
      </c>
      <c r="AD55" s="18">
        <v>33.1</v>
      </c>
      <c r="AE55" s="18">
        <v>20.350000000000001</v>
      </c>
      <c r="AF55" s="27">
        <v>24</v>
      </c>
      <c r="AG55" s="19">
        <v>20</v>
      </c>
      <c r="AH55" s="20">
        <v>20</v>
      </c>
      <c r="AI55" s="21">
        <f t="shared" si="19"/>
        <v>269.61680000000001</v>
      </c>
    </row>
    <row r="56" spans="1:35" ht="10.5" customHeight="1" x14ac:dyDescent="0.25">
      <c r="A56" s="32" t="s">
        <v>267</v>
      </c>
      <c r="B56" s="18">
        <v>50.79</v>
      </c>
      <c r="C56" s="18">
        <v>30.7</v>
      </c>
      <c r="D56" s="18">
        <v>18.510000000000002</v>
      </c>
      <c r="E56" s="27">
        <v>24</v>
      </c>
      <c r="F56" s="19">
        <v>17</v>
      </c>
      <c r="G56" s="20">
        <v>24</v>
      </c>
      <c r="H56" s="21">
        <f t="shared" si="16"/>
        <v>295.60909803921567</v>
      </c>
      <c r="I56" s="16"/>
      <c r="J56" s="32" t="s">
        <v>267</v>
      </c>
      <c r="K56" s="18">
        <v>49.89</v>
      </c>
      <c r="L56" s="18">
        <v>31.93</v>
      </c>
      <c r="M56" s="18">
        <v>18.18</v>
      </c>
      <c r="N56" s="27">
        <v>24</v>
      </c>
      <c r="O56" s="19">
        <v>18</v>
      </c>
      <c r="P56" s="20">
        <v>24</v>
      </c>
      <c r="Q56" s="21">
        <f t="shared" si="17"/>
        <v>281.80325925925922</v>
      </c>
      <c r="R56" s="9"/>
      <c r="S56" s="32" t="s">
        <v>267</v>
      </c>
      <c r="T56" s="18">
        <v>49.02</v>
      </c>
      <c r="U56" s="18">
        <v>33.119999999999997</v>
      </c>
      <c r="V56" s="18">
        <v>17.86</v>
      </c>
      <c r="W56" s="27">
        <v>24</v>
      </c>
      <c r="X56" s="19">
        <v>19</v>
      </c>
      <c r="Y56" s="20">
        <v>24</v>
      </c>
      <c r="Z56" s="21">
        <f t="shared" si="18"/>
        <v>269.45066666666662</v>
      </c>
      <c r="AB56" s="32" t="s">
        <v>267</v>
      </c>
      <c r="AC56" s="18">
        <v>48.18</v>
      </c>
      <c r="AD56" s="18">
        <v>34.26</v>
      </c>
      <c r="AE56" s="18">
        <v>17.559999999999999</v>
      </c>
      <c r="AF56" s="27">
        <v>24</v>
      </c>
      <c r="AG56" s="19">
        <v>20</v>
      </c>
      <c r="AH56" s="20">
        <v>24</v>
      </c>
      <c r="AI56" s="21">
        <f t="shared" si="19"/>
        <v>258.33333333333331</v>
      </c>
    </row>
    <row r="57" spans="1:35" ht="10.5" customHeight="1" x14ac:dyDescent="0.25">
      <c r="A57" s="32" t="s">
        <v>268</v>
      </c>
      <c r="B57" s="18">
        <v>51.52</v>
      </c>
      <c r="C57" s="18">
        <v>31.15</v>
      </c>
      <c r="D57" s="18">
        <v>17.329999999999998</v>
      </c>
      <c r="E57" s="27">
        <v>24</v>
      </c>
      <c r="F57" s="19">
        <v>17</v>
      </c>
      <c r="G57" s="20">
        <v>26</v>
      </c>
      <c r="H57" s="21">
        <f t="shared" si="16"/>
        <v>290.50345701357463</v>
      </c>
      <c r="I57" s="16"/>
      <c r="J57" s="32" t="s">
        <v>268</v>
      </c>
      <c r="K57" s="18">
        <v>50.6</v>
      </c>
      <c r="L57" s="18">
        <v>32.380000000000003</v>
      </c>
      <c r="M57" s="18">
        <v>17.02</v>
      </c>
      <c r="N57" s="27">
        <v>24</v>
      </c>
      <c r="O57" s="19">
        <v>18</v>
      </c>
      <c r="P57" s="20">
        <v>26</v>
      </c>
      <c r="Q57" s="21">
        <f t="shared" si="17"/>
        <v>276.9812649572649</v>
      </c>
      <c r="R57" s="9"/>
      <c r="S57" s="32" t="s">
        <v>268</v>
      </c>
      <c r="T57" s="18">
        <v>49.7</v>
      </c>
      <c r="U57" s="18">
        <v>33.58</v>
      </c>
      <c r="V57" s="18">
        <v>16.72</v>
      </c>
      <c r="W57" s="27">
        <v>24</v>
      </c>
      <c r="X57" s="19">
        <v>19</v>
      </c>
      <c r="Y57" s="20">
        <v>26</v>
      </c>
      <c r="Z57" s="21">
        <f t="shared" si="18"/>
        <v>264.88246153846148</v>
      </c>
      <c r="AB57" s="32" t="s">
        <v>268</v>
      </c>
      <c r="AC57" s="18">
        <v>48.84</v>
      </c>
      <c r="AD57" s="18">
        <v>34.729999999999997</v>
      </c>
      <c r="AE57" s="18">
        <v>16.43</v>
      </c>
      <c r="AF57" s="27">
        <v>24</v>
      </c>
      <c r="AG57" s="19">
        <v>20</v>
      </c>
      <c r="AH57" s="20">
        <v>26</v>
      </c>
      <c r="AI57" s="21">
        <f t="shared" si="19"/>
        <v>253.99353846153846</v>
      </c>
    </row>
    <row r="58" spans="1:35" ht="10.5" customHeight="1" x14ac:dyDescent="0.25">
      <c r="A58" s="32" t="s">
        <v>269</v>
      </c>
      <c r="B58" s="18">
        <v>52.17</v>
      </c>
      <c r="C58" s="18">
        <v>31.53</v>
      </c>
      <c r="D58" s="18">
        <v>16.3</v>
      </c>
      <c r="E58" s="27">
        <v>24</v>
      </c>
      <c r="F58" s="19">
        <v>17</v>
      </c>
      <c r="G58" s="20">
        <v>28</v>
      </c>
      <c r="H58" s="21">
        <f t="shared" si="16"/>
        <v>286.12719327731088</v>
      </c>
      <c r="I58" s="16"/>
      <c r="J58" s="32" t="s">
        <v>269</v>
      </c>
      <c r="K58" s="18">
        <v>51.22</v>
      </c>
      <c r="L58" s="18">
        <v>32.78</v>
      </c>
      <c r="M58" s="18">
        <v>16</v>
      </c>
      <c r="N58" s="27">
        <v>24</v>
      </c>
      <c r="O58" s="19">
        <v>18</v>
      </c>
      <c r="P58" s="20">
        <v>28</v>
      </c>
      <c r="Q58" s="21">
        <f t="shared" si="17"/>
        <v>272.84812698412696</v>
      </c>
      <c r="R58" s="9"/>
      <c r="S58" s="32" t="s">
        <v>269</v>
      </c>
      <c r="T58" s="18">
        <v>50.3</v>
      </c>
      <c r="U58" s="18">
        <v>33.988999999999997</v>
      </c>
      <c r="V58" s="18">
        <v>15.71</v>
      </c>
      <c r="W58" s="27">
        <v>24</v>
      </c>
      <c r="X58" s="19">
        <v>19</v>
      </c>
      <c r="Y58" s="20">
        <v>28</v>
      </c>
      <c r="Z58" s="21">
        <f t="shared" si="18"/>
        <v>260.96685714285712</v>
      </c>
      <c r="AB58" s="32" t="s">
        <v>269</v>
      </c>
      <c r="AC58" s="18">
        <v>49.42</v>
      </c>
      <c r="AD58" s="18">
        <v>35.14</v>
      </c>
      <c r="AE58" s="18">
        <v>15.44</v>
      </c>
      <c r="AF58" s="27">
        <v>24</v>
      </c>
      <c r="AG58" s="19">
        <v>20</v>
      </c>
      <c r="AH58" s="20">
        <v>28</v>
      </c>
      <c r="AI58" s="21">
        <f t="shared" si="19"/>
        <v>250.27371428571428</v>
      </c>
    </row>
    <row r="59" spans="1:35" ht="10.5" customHeight="1" x14ac:dyDescent="0.25">
      <c r="A59" s="32" t="s">
        <v>270</v>
      </c>
      <c r="B59" s="18">
        <v>52.74</v>
      </c>
      <c r="C59" s="18">
        <v>31.88</v>
      </c>
      <c r="D59" s="18">
        <v>15.38</v>
      </c>
      <c r="E59" s="27">
        <v>24</v>
      </c>
      <c r="F59" s="19">
        <v>17</v>
      </c>
      <c r="G59" s="20">
        <v>30</v>
      </c>
      <c r="H59" s="21">
        <f t="shared" si="16"/>
        <v>282.33443137254898</v>
      </c>
      <c r="I59" s="16"/>
      <c r="J59" s="32" t="s">
        <v>270</v>
      </c>
      <c r="K59" s="18">
        <v>51.78</v>
      </c>
      <c r="L59" s="18">
        <v>33.130000000000003</v>
      </c>
      <c r="M59" s="18">
        <v>15.09</v>
      </c>
      <c r="N59" s="27">
        <v>24</v>
      </c>
      <c r="O59" s="19">
        <v>18</v>
      </c>
      <c r="P59" s="20">
        <v>30</v>
      </c>
      <c r="Q59" s="21">
        <f t="shared" si="17"/>
        <v>269.26607407407403</v>
      </c>
      <c r="R59" s="9"/>
      <c r="S59" s="32" t="s">
        <v>270</v>
      </c>
      <c r="T59" s="18">
        <v>50.84</v>
      </c>
      <c r="U59" s="18">
        <v>34.340000000000003</v>
      </c>
      <c r="V59" s="18">
        <v>14.82</v>
      </c>
      <c r="W59" s="27">
        <v>24</v>
      </c>
      <c r="X59" s="19">
        <v>19</v>
      </c>
      <c r="Y59" s="20">
        <v>30</v>
      </c>
      <c r="Z59" s="21">
        <f t="shared" si="18"/>
        <v>257.57333333333327</v>
      </c>
      <c r="AB59" s="32" t="s">
        <v>270</v>
      </c>
      <c r="AC59" s="18">
        <v>49.93</v>
      </c>
      <c r="AD59" s="18">
        <v>35.51</v>
      </c>
      <c r="AE59" s="18">
        <v>14.56</v>
      </c>
      <c r="AF59" s="27">
        <v>24</v>
      </c>
      <c r="AG59" s="19">
        <v>20</v>
      </c>
      <c r="AH59" s="20">
        <v>30</v>
      </c>
      <c r="AI59" s="21">
        <f t="shared" si="19"/>
        <v>247.04986666666667</v>
      </c>
    </row>
    <row r="60" spans="1:35" ht="10.5" customHeight="1" x14ac:dyDescent="0.25">
      <c r="B60" s="4"/>
      <c r="C60" s="4"/>
      <c r="D60" s="4"/>
      <c r="E60" s="4"/>
      <c r="F60" s="4"/>
      <c r="G60" s="4"/>
      <c r="H60" s="4"/>
      <c r="I60" s="4"/>
      <c r="K60" s="4"/>
      <c r="L60" s="4"/>
      <c r="M60" s="4"/>
      <c r="N60" s="4"/>
      <c r="O60" s="4"/>
      <c r="P60" s="4"/>
      <c r="Q60" s="4"/>
      <c r="R60" s="4"/>
      <c r="T60" s="4"/>
      <c r="U60" s="4"/>
      <c r="V60" s="4"/>
      <c r="W60" s="4"/>
      <c r="X60" s="4"/>
      <c r="Y60" s="4"/>
      <c r="Z60" s="4"/>
      <c r="AC60" s="4"/>
      <c r="AD60" s="4"/>
      <c r="AE60" s="4"/>
      <c r="AF60" s="4"/>
      <c r="AG60" s="4"/>
      <c r="AH60" s="4"/>
      <c r="AI60" s="4"/>
    </row>
    <row r="61" spans="1:35" x14ac:dyDescent="0.25">
      <c r="B61" s="4"/>
      <c r="C61" s="4"/>
      <c r="D61" s="4"/>
      <c r="E61" s="4"/>
      <c r="F61" s="4"/>
      <c r="G61" s="4"/>
      <c r="H61" s="4"/>
      <c r="I61" s="4"/>
      <c r="K61" s="4"/>
      <c r="L61" s="4"/>
      <c r="M61" s="4"/>
      <c r="N61" s="4"/>
      <c r="O61" s="4"/>
      <c r="P61" s="4"/>
      <c r="Q61" s="4"/>
      <c r="R61" s="4"/>
      <c r="T61" s="4"/>
      <c r="U61" s="4"/>
      <c r="V61" s="4"/>
      <c r="W61" s="4"/>
      <c r="X61" s="4"/>
      <c r="Y61" s="4"/>
      <c r="Z61" s="4"/>
      <c r="AC61" s="4"/>
      <c r="AD61" s="4"/>
      <c r="AE61" s="4"/>
      <c r="AF61" s="4"/>
      <c r="AG61" s="4"/>
      <c r="AH61" s="4"/>
      <c r="AI61" s="4"/>
    </row>
    <row r="62" spans="1:35" x14ac:dyDescent="0.25">
      <c r="B62" s="4"/>
      <c r="C62" s="4"/>
      <c r="D62" s="4"/>
      <c r="E62" s="4"/>
      <c r="F62" s="4"/>
      <c r="G62" s="4"/>
      <c r="H62" s="4"/>
      <c r="I62" s="4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  <c r="AC62" s="4"/>
      <c r="AD62" s="4"/>
      <c r="AE62" s="4"/>
      <c r="AF62" s="4"/>
      <c r="AG62" s="4"/>
      <c r="AH62" s="4"/>
      <c r="AI62" s="4"/>
    </row>
    <row r="63" spans="1:35" x14ac:dyDescent="0.25">
      <c r="B63" s="4"/>
      <c r="C63" s="4"/>
      <c r="D63" s="4"/>
      <c r="E63" s="4"/>
      <c r="F63" s="4"/>
      <c r="G63" s="4"/>
      <c r="H63" s="4"/>
      <c r="I63" s="4"/>
      <c r="K63" s="4"/>
      <c r="L63" s="4"/>
      <c r="M63" s="4"/>
      <c r="N63" s="4"/>
      <c r="O63" s="4"/>
      <c r="P63" s="4"/>
      <c r="Q63" s="4"/>
      <c r="R63" s="4"/>
      <c r="T63" s="4"/>
      <c r="U63" s="4"/>
      <c r="V63" s="4"/>
      <c r="W63" s="4"/>
      <c r="X63" s="4"/>
      <c r="Y63" s="4"/>
      <c r="Z63" s="4"/>
      <c r="AC63" s="4"/>
      <c r="AD63" s="4"/>
      <c r="AE63" s="4"/>
      <c r="AF63" s="4"/>
      <c r="AG63" s="4"/>
      <c r="AH63" s="4"/>
      <c r="AI63" s="4"/>
    </row>
    <row r="64" spans="1:35" x14ac:dyDescent="0.25">
      <c r="B64" s="4"/>
      <c r="C64" s="4"/>
      <c r="D64" s="4"/>
      <c r="E64" s="4"/>
      <c r="F64" s="4"/>
      <c r="G64" s="4"/>
      <c r="H64" s="4"/>
      <c r="I64" s="4"/>
      <c r="K64" s="4"/>
      <c r="L64" s="4"/>
      <c r="M64" s="4"/>
      <c r="N64" s="4"/>
      <c r="O64" s="4"/>
      <c r="P64" s="4"/>
      <c r="Q64" s="4"/>
      <c r="R64" s="4"/>
      <c r="T64" s="4"/>
      <c r="U64" s="4"/>
      <c r="V64" s="4"/>
      <c r="W64" s="4"/>
      <c r="X64" s="4"/>
      <c r="Y64" s="4"/>
      <c r="Z64" s="4"/>
      <c r="AC64" s="4"/>
      <c r="AD64" s="4"/>
      <c r="AE64" s="4"/>
      <c r="AF64" s="4"/>
      <c r="AG64" s="4"/>
      <c r="AH64" s="4"/>
      <c r="AI64" s="4"/>
    </row>
    <row r="65" spans="2:35" x14ac:dyDescent="0.25">
      <c r="B65" s="4"/>
      <c r="C65" s="4"/>
      <c r="D65" s="4"/>
      <c r="E65" s="4"/>
      <c r="F65" s="4"/>
      <c r="G65" s="4"/>
      <c r="H65" s="4"/>
      <c r="I65" s="4"/>
      <c r="K65" s="4"/>
      <c r="L65" s="4"/>
      <c r="M65" s="4"/>
      <c r="N65" s="4"/>
      <c r="O65" s="4"/>
      <c r="P65" s="4"/>
      <c r="Q65" s="4"/>
      <c r="R65" s="4"/>
      <c r="T65" s="4"/>
      <c r="U65" s="4"/>
      <c r="V65" s="4"/>
      <c r="W65" s="4"/>
      <c r="X65" s="4"/>
      <c r="Y65" s="4"/>
      <c r="Z65" s="4"/>
      <c r="AC65" s="4"/>
      <c r="AD65" s="4"/>
      <c r="AE65" s="4"/>
      <c r="AF65" s="4"/>
      <c r="AG65" s="4"/>
      <c r="AH65" s="4"/>
      <c r="AI65" s="4"/>
    </row>
    <row r="66" spans="2:35" x14ac:dyDescent="0.25">
      <c r="B66" s="4"/>
      <c r="C66" s="4"/>
      <c r="D66" s="4"/>
      <c r="E66" s="4"/>
      <c r="F66" s="4"/>
      <c r="G66" s="4"/>
      <c r="H66" s="4"/>
      <c r="I66" s="4"/>
      <c r="K66" s="4"/>
      <c r="L66" s="4"/>
      <c r="M66" s="4"/>
      <c r="N66" s="4"/>
      <c r="O66" s="4"/>
      <c r="P66" s="4"/>
      <c r="Q66" s="4"/>
      <c r="R66" s="4"/>
      <c r="T66" s="4"/>
      <c r="U66" s="4"/>
      <c r="V66" s="4"/>
      <c r="W66" s="4"/>
      <c r="X66" s="4"/>
      <c r="Y66" s="4"/>
      <c r="Z66" s="4"/>
      <c r="AC66" s="4"/>
      <c r="AD66" s="4"/>
      <c r="AE66" s="4"/>
      <c r="AF66" s="4"/>
      <c r="AG66" s="4"/>
      <c r="AH66" s="4"/>
      <c r="AI66" s="4"/>
    </row>
    <row r="67" spans="2:35" x14ac:dyDescent="0.25">
      <c r="B67" s="4"/>
      <c r="C67" s="4"/>
      <c r="D67" s="4"/>
      <c r="E67" s="4"/>
      <c r="F67" s="4"/>
      <c r="G67" s="4"/>
      <c r="H67" s="4"/>
      <c r="I67" s="4"/>
      <c r="K67" s="4"/>
      <c r="L67" s="4"/>
      <c r="M67" s="4"/>
      <c r="N67" s="4"/>
      <c r="O67" s="4"/>
      <c r="P67" s="4"/>
      <c r="Q67" s="4"/>
      <c r="R67" s="4"/>
      <c r="T67" s="4"/>
      <c r="U67" s="4"/>
      <c r="V67" s="4"/>
      <c r="W67" s="4"/>
      <c r="X67" s="4"/>
      <c r="Y67" s="4"/>
      <c r="Z67" s="4"/>
      <c r="AC67" s="4"/>
      <c r="AD67" s="4"/>
      <c r="AE67" s="4"/>
      <c r="AF67" s="4"/>
      <c r="AG67" s="4"/>
      <c r="AH67" s="4"/>
      <c r="AI67" s="4"/>
    </row>
    <row r="68" spans="2:35" x14ac:dyDescent="0.25">
      <c r="B68" s="4"/>
      <c r="C68" s="4"/>
      <c r="D68" s="4"/>
      <c r="E68" s="4"/>
      <c r="F68" s="4"/>
      <c r="G68" s="4"/>
      <c r="H68" s="4"/>
      <c r="I68" s="4"/>
      <c r="K68" s="4"/>
      <c r="L68" s="4"/>
      <c r="M68" s="4"/>
      <c r="N68" s="4"/>
      <c r="O68" s="4"/>
      <c r="P68" s="4"/>
      <c r="Q68" s="4"/>
      <c r="R68" s="4"/>
      <c r="T68" s="4"/>
      <c r="U68" s="4"/>
      <c r="V68" s="4"/>
      <c r="W68" s="4"/>
      <c r="X68" s="4"/>
      <c r="Y68" s="4"/>
      <c r="Z68" s="4"/>
      <c r="AC68" s="4"/>
      <c r="AD68" s="4"/>
      <c r="AE68" s="4"/>
      <c r="AF68" s="4"/>
      <c r="AG68" s="4"/>
      <c r="AH68" s="4"/>
      <c r="AI68" s="4"/>
    </row>
    <row r="69" spans="2:35" x14ac:dyDescent="0.25">
      <c r="B69" s="4"/>
      <c r="C69" s="4"/>
      <c r="D69" s="4"/>
      <c r="E69" s="4"/>
      <c r="F69" s="4"/>
      <c r="G69" s="4"/>
      <c r="H69" s="4"/>
      <c r="I69" s="4"/>
      <c r="K69" s="4"/>
      <c r="L69" s="4"/>
      <c r="M69" s="4"/>
      <c r="N69" s="4"/>
      <c r="O69" s="4"/>
      <c r="P69" s="4"/>
      <c r="Q69" s="4"/>
      <c r="R69" s="4"/>
      <c r="T69" s="4"/>
      <c r="U69" s="4"/>
      <c r="V69" s="4"/>
      <c r="W69" s="4"/>
      <c r="X69" s="4"/>
      <c r="Y69" s="4"/>
      <c r="Z69" s="4"/>
      <c r="AC69" s="4"/>
      <c r="AD69" s="4"/>
      <c r="AE69" s="4"/>
      <c r="AF69" s="4"/>
      <c r="AG69" s="4"/>
      <c r="AH69" s="4"/>
      <c r="AI69" s="4"/>
    </row>
    <row r="70" spans="2:35" x14ac:dyDescent="0.25">
      <c r="B70" s="4"/>
      <c r="C70" s="4"/>
      <c r="D70" s="4"/>
      <c r="E70" s="4"/>
      <c r="F70" s="4"/>
      <c r="G70" s="4"/>
      <c r="H70" s="4"/>
      <c r="I70" s="4"/>
      <c r="K70" s="4"/>
      <c r="L70" s="4"/>
      <c r="M70" s="4"/>
      <c r="N70" s="4"/>
      <c r="O70" s="4"/>
      <c r="P70" s="4"/>
      <c r="Q70" s="4"/>
      <c r="R70" s="4"/>
      <c r="T70" s="4"/>
      <c r="U70" s="4"/>
      <c r="V70" s="4"/>
      <c r="W70" s="4"/>
      <c r="X70" s="4"/>
      <c r="Y70" s="4"/>
      <c r="Z70" s="4"/>
      <c r="AC70" s="4"/>
      <c r="AD70" s="4"/>
      <c r="AE70" s="4"/>
      <c r="AF70" s="4"/>
      <c r="AG70" s="4"/>
      <c r="AH70" s="4"/>
      <c r="AI70" s="4"/>
    </row>
    <row r="71" spans="2:35" x14ac:dyDescent="0.25">
      <c r="B71" s="4"/>
      <c r="C71" s="4"/>
      <c r="D71" s="4"/>
      <c r="E71" s="4"/>
      <c r="F71" s="4"/>
      <c r="G71" s="4"/>
      <c r="H71" s="4"/>
      <c r="I71" s="4"/>
      <c r="K71" s="4"/>
      <c r="L71" s="4"/>
      <c r="M71" s="4"/>
      <c r="N71" s="4"/>
      <c r="O71" s="4"/>
      <c r="P71" s="4"/>
      <c r="Q71" s="4"/>
      <c r="R71" s="4"/>
      <c r="T71" s="4"/>
      <c r="U71" s="4"/>
      <c r="V71" s="4"/>
      <c r="W71" s="4"/>
      <c r="X71" s="4"/>
      <c r="Y71" s="4"/>
      <c r="Z71" s="4"/>
      <c r="AC71" s="4"/>
      <c r="AD71" s="4"/>
      <c r="AE71" s="4"/>
      <c r="AF71" s="4"/>
      <c r="AG71" s="4"/>
      <c r="AH71" s="4"/>
      <c r="AI71" s="4"/>
    </row>
    <row r="72" spans="2:35" x14ac:dyDescent="0.25">
      <c r="B72" s="4"/>
      <c r="C72" s="4"/>
      <c r="D72" s="4"/>
      <c r="E72" s="4"/>
      <c r="F72" s="4"/>
      <c r="G72" s="4"/>
      <c r="H72" s="4"/>
      <c r="I72" s="4"/>
      <c r="K72" s="4"/>
      <c r="L72" s="4"/>
      <c r="M72" s="4"/>
      <c r="N72" s="4"/>
      <c r="O72" s="4"/>
      <c r="P72" s="4"/>
      <c r="Q72" s="4"/>
      <c r="R72" s="4"/>
      <c r="T72" s="4"/>
      <c r="U72" s="4"/>
      <c r="V72" s="4"/>
      <c r="W72" s="4"/>
      <c r="X72" s="4"/>
      <c r="Y72" s="4"/>
      <c r="Z72" s="4"/>
      <c r="AC72" s="4"/>
      <c r="AD72" s="4"/>
      <c r="AE72" s="4"/>
      <c r="AF72" s="4"/>
      <c r="AG72" s="4"/>
      <c r="AH72" s="4"/>
      <c r="AI72" s="4"/>
    </row>
    <row r="73" spans="2:35" x14ac:dyDescent="0.25">
      <c r="B73" s="4"/>
      <c r="C73" s="4"/>
      <c r="D73" s="4"/>
      <c r="E73" s="4"/>
      <c r="F73" s="4"/>
      <c r="G73" s="4"/>
      <c r="H73" s="4"/>
      <c r="I73" s="4"/>
      <c r="K73" s="4"/>
      <c r="L73" s="4"/>
      <c r="M73" s="4"/>
      <c r="N73" s="4"/>
      <c r="O73" s="4"/>
      <c r="P73" s="4"/>
      <c r="Q73" s="4"/>
      <c r="R73" s="4"/>
      <c r="T73" s="4"/>
      <c r="U73" s="4"/>
      <c r="V73" s="4"/>
      <c r="W73" s="4"/>
      <c r="X73" s="4"/>
      <c r="Y73" s="4"/>
      <c r="Z73" s="4"/>
      <c r="AC73" s="4"/>
      <c r="AD73" s="4"/>
      <c r="AE73" s="4"/>
      <c r="AF73" s="4"/>
      <c r="AG73" s="4"/>
      <c r="AH73" s="4"/>
      <c r="AI73" s="4"/>
    </row>
    <row r="74" spans="2:35" x14ac:dyDescent="0.25">
      <c r="B74" s="4"/>
      <c r="C74" s="4"/>
      <c r="D74" s="4"/>
      <c r="E74" s="4"/>
      <c r="F74" s="4"/>
      <c r="G74" s="4"/>
      <c r="H74" s="4"/>
      <c r="I74" s="4"/>
      <c r="K74" s="4"/>
      <c r="L74" s="4"/>
      <c r="M74" s="4"/>
      <c r="N74" s="4"/>
      <c r="O74" s="4"/>
      <c r="P74" s="4"/>
      <c r="Q74" s="4"/>
      <c r="R74" s="4"/>
      <c r="T74" s="4"/>
      <c r="U74" s="4"/>
      <c r="V74" s="4"/>
      <c r="W74" s="4"/>
      <c r="X74" s="4"/>
      <c r="Y74" s="4"/>
      <c r="Z74" s="4"/>
      <c r="AC74" s="4"/>
      <c r="AD74" s="4"/>
      <c r="AE74" s="4"/>
      <c r="AF74" s="4"/>
      <c r="AG74" s="4"/>
      <c r="AH74" s="4"/>
      <c r="AI74" s="4"/>
    </row>
    <row r="75" spans="2:35" x14ac:dyDescent="0.25">
      <c r="B75" s="4"/>
      <c r="C75" s="4"/>
      <c r="D75" s="4"/>
      <c r="E75" s="4"/>
      <c r="F75" s="4"/>
      <c r="G75" s="4"/>
      <c r="H75" s="4"/>
      <c r="I75" s="4"/>
      <c r="K75" s="4"/>
      <c r="L75" s="4"/>
      <c r="M75" s="4"/>
      <c r="N75" s="4"/>
      <c r="O75" s="4"/>
      <c r="P75" s="4"/>
      <c r="Q75" s="4"/>
      <c r="R75" s="4"/>
      <c r="T75" s="4"/>
      <c r="U75" s="4"/>
      <c r="V75" s="4"/>
      <c r="W75" s="4"/>
      <c r="X75" s="4"/>
      <c r="Y75" s="4"/>
      <c r="Z75" s="4"/>
      <c r="AC75" s="4"/>
      <c r="AD75" s="4"/>
      <c r="AE75" s="4"/>
      <c r="AF75" s="4"/>
      <c r="AG75" s="4"/>
      <c r="AH75" s="4"/>
      <c r="AI75" s="4"/>
    </row>
    <row r="76" spans="2:35" x14ac:dyDescent="0.25">
      <c r="B76" s="4"/>
      <c r="C76" s="4"/>
      <c r="D76" s="4"/>
      <c r="E76" s="4"/>
      <c r="F76" s="4"/>
      <c r="G76" s="4"/>
      <c r="H76" s="4"/>
      <c r="I76" s="4"/>
      <c r="K76" s="4"/>
      <c r="L76" s="4"/>
      <c r="M76" s="4"/>
      <c r="N76" s="4"/>
      <c r="O76" s="4"/>
      <c r="P76" s="4"/>
      <c r="Q76" s="4"/>
      <c r="R76" s="4"/>
      <c r="T76" s="4"/>
      <c r="U76" s="4"/>
      <c r="V76" s="4"/>
      <c r="W76" s="4"/>
      <c r="X76" s="4"/>
      <c r="Y76" s="4"/>
      <c r="Z76" s="4"/>
      <c r="AC76" s="4"/>
      <c r="AD76" s="4"/>
      <c r="AE76" s="4"/>
      <c r="AF76" s="4"/>
      <c r="AG76" s="4"/>
      <c r="AH76" s="4"/>
      <c r="AI76" s="4"/>
    </row>
    <row r="77" spans="2:35" x14ac:dyDescent="0.25">
      <c r="B77" s="4"/>
      <c r="C77" s="4"/>
      <c r="D77" s="4"/>
      <c r="E77" s="4"/>
      <c r="F77" s="4"/>
      <c r="G77" s="4"/>
      <c r="H77" s="4"/>
      <c r="I77" s="4"/>
      <c r="K77" s="4"/>
      <c r="L77" s="4"/>
      <c r="M77" s="4"/>
      <c r="N77" s="4"/>
      <c r="O77" s="4"/>
      <c r="P77" s="4"/>
      <c r="Q77" s="4"/>
      <c r="R77" s="4"/>
      <c r="T77" s="4"/>
      <c r="U77" s="4"/>
      <c r="V77" s="4"/>
      <c r="W77" s="4"/>
      <c r="X77" s="4"/>
      <c r="Y77" s="4"/>
      <c r="Z77" s="4"/>
      <c r="AC77" s="4"/>
      <c r="AD77" s="4"/>
      <c r="AE77" s="4"/>
      <c r="AF77" s="4"/>
      <c r="AG77" s="4"/>
      <c r="AH77" s="4"/>
      <c r="AI77" s="4"/>
    </row>
    <row r="78" spans="2:35" x14ac:dyDescent="0.25">
      <c r="B78" s="4"/>
      <c r="C78" s="4"/>
      <c r="D78" s="4"/>
      <c r="E78" s="4"/>
      <c r="F78" s="4"/>
      <c r="G78" s="4"/>
      <c r="H78" s="4"/>
      <c r="I78" s="4"/>
      <c r="K78" s="4"/>
      <c r="L78" s="4"/>
      <c r="M78" s="4"/>
      <c r="N78" s="4"/>
      <c r="O78" s="4"/>
      <c r="P78" s="4"/>
      <c r="Q78" s="4"/>
      <c r="R78" s="4"/>
      <c r="T78" s="4"/>
      <c r="U78" s="4"/>
      <c r="V78" s="4"/>
      <c r="W78" s="4"/>
      <c r="X78" s="4"/>
      <c r="Y78" s="4"/>
      <c r="Z78" s="4"/>
      <c r="AC78" s="4"/>
      <c r="AD78" s="4"/>
      <c r="AE78" s="4"/>
      <c r="AF78" s="4"/>
      <c r="AG78" s="4"/>
      <c r="AH78" s="4"/>
      <c r="AI78" s="4"/>
    </row>
    <row r="79" spans="2:35" x14ac:dyDescent="0.25">
      <c r="B79" s="4"/>
      <c r="C79" s="4"/>
      <c r="D79" s="4"/>
      <c r="E79" s="4"/>
      <c r="F79" s="4"/>
      <c r="G79" s="4"/>
      <c r="H79" s="4"/>
      <c r="I79" s="4"/>
      <c r="K79" s="4"/>
      <c r="L79" s="4"/>
      <c r="M79" s="4"/>
      <c r="N79" s="4"/>
      <c r="O79" s="4"/>
      <c r="P79" s="4"/>
      <c r="Q79" s="4"/>
      <c r="R79" s="4"/>
      <c r="T79" s="4"/>
      <c r="U79" s="4"/>
      <c r="V79" s="4"/>
      <c r="W79" s="4"/>
      <c r="X79" s="4"/>
      <c r="Y79" s="4"/>
      <c r="Z79" s="4"/>
      <c r="AC79" s="4"/>
      <c r="AD79" s="4"/>
      <c r="AE79" s="4"/>
      <c r="AF79" s="4"/>
      <c r="AG79" s="4"/>
      <c r="AH79" s="4"/>
      <c r="AI79" s="4"/>
    </row>
    <row r="80" spans="2:35" x14ac:dyDescent="0.25">
      <c r="B80" s="4"/>
      <c r="C80" s="4"/>
      <c r="D80" s="4"/>
      <c r="E80" s="4"/>
      <c r="F80" s="4"/>
      <c r="G80" s="4"/>
      <c r="H80" s="4"/>
      <c r="I80" s="4"/>
      <c r="K80" s="4"/>
      <c r="L80" s="4"/>
      <c r="M80" s="4"/>
      <c r="N80" s="4"/>
      <c r="O80" s="4"/>
      <c r="P80" s="4"/>
      <c r="Q80" s="4"/>
      <c r="R80" s="4"/>
      <c r="T80" s="4"/>
      <c r="U80" s="4"/>
      <c r="V80" s="4"/>
      <c r="W80" s="4"/>
      <c r="X80" s="4"/>
      <c r="Y80" s="4"/>
      <c r="Z80" s="4"/>
      <c r="AC80" s="4"/>
      <c r="AD80" s="4"/>
      <c r="AE80" s="4"/>
      <c r="AF80" s="4"/>
      <c r="AG80" s="4"/>
      <c r="AH80" s="4"/>
      <c r="AI80" s="4"/>
    </row>
    <row r="81" spans="2:35" x14ac:dyDescent="0.25">
      <c r="B81" s="4"/>
      <c r="C81" s="4"/>
      <c r="D81" s="4"/>
      <c r="E81" s="4"/>
      <c r="F81" s="4"/>
      <c r="G81" s="4"/>
      <c r="H81" s="4"/>
      <c r="I81" s="4"/>
      <c r="K81" s="4"/>
      <c r="L81" s="4"/>
      <c r="M81" s="4"/>
      <c r="N81" s="4"/>
      <c r="O81" s="4"/>
      <c r="P81" s="4"/>
      <c r="Q81" s="4"/>
      <c r="R81" s="4"/>
      <c r="T81" s="4"/>
      <c r="U81" s="4"/>
      <c r="V81" s="4"/>
      <c r="W81" s="4"/>
      <c r="X81" s="4"/>
      <c r="Y81" s="4"/>
      <c r="Z81" s="4"/>
      <c r="AC81" s="4"/>
      <c r="AD81" s="4"/>
      <c r="AE81" s="4"/>
      <c r="AF81" s="4"/>
      <c r="AG81" s="4"/>
      <c r="AH81" s="4"/>
      <c r="AI81" s="4"/>
    </row>
    <row r="82" spans="2:35" x14ac:dyDescent="0.25">
      <c r="B82" s="4"/>
      <c r="C82" s="4"/>
      <c r="D82" s="4"/>
      <c r="E82" s="4"/>
      <c r="F82" s="4"/>
      <c r="G82" s="4"/>
      <c r="H82" s="4"/>
      <c r="I82" s="4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  <c r="AC82" s="4"/>
      <c r="AD82" s="4"/>
      <c r="AE82" s="4"/>
      <c r="AF82" s="4"/>
      <c r="AG82" s="4"/>
      <c r="AH82" s="4"/>
      <c r="AI82" s="4"/>
    </row>
    <row r="83" spans="2:35" x14ac:dyDescent="0.25">
      <c r="B83" s="4"/>
      <c r="C83" s="4"/>
      <c r="D83" s="4"/>
      <c r="E83" s="4"/>
      <c r="F83" s="4"/>
      <c r="G83" s="4"/>
      <c r="H83" s="4"/>
      <c r="I83" s="4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  <c r="AC83" s="4"/>
      <c r="AD83" s="4"/>
      <c r="AE83" s="4"/>
      <c r="AF83" s="4"/>
      <c r="AG83" s="4"/>
      <c r="AH83" s="4"/>
      <c r="AI83" s="4"/>
    </row>
    <row r="84" spans="2:35" x14ac:dyDescent="0.25">
      <c r="B84" s="4"/>
      <c r="C84" s="4"/>
      <c r="D84" s="4"/>
      <c r="E84" s="4"/>
      <c r="F84" s="4"/>
      <c r="G84" s="4"/>
      <c r="H84" s="4"/>
      <c r="I84" s="4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  <c r="AC84" s="4"/>
      <c r="AD84" s="4"/>
      <c r="AE84" s="4"/>
      <c r="AF84" s="4"/>
      <c r="AG84" s="4"/>
      <c r="AH84" s="4"/>
      <c r="AI84" s="4"/>
    </row>
    <row r="85" spans="2:35" x14ac:dyDescent="0.25">
      <c r="B85" s="4"/>
      <c r="C85" s="4"/>
      <c r="D85" s="4"/>
      <c r="E85" s="4"/>
      <c r="F85" s="4"/>
      <c r="G85" s="4"/>
      <c r="H85" s="4"/>
      <c r="I85" s="4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  <c r="AC85" s="4"/>
      <c r="AD85" s="4"/>
      <c r="AE85" s="4"/>
      <c r="AF85" s="4"/>
      <c r="AG85" s="4"/>
      <c r="AH85" s="4"/>
      <c r="AI85" s="4"/>
    </row>
    <row r="86" spans="2:35" x14ac:dyDescent="0.25">
      <c r="B86" s="4"/>
      <c r="C86" s="4"/>
      <c r="D86" s="4"/>
      <c r="E86" s="4"/>
      <c r="F86" s="4"/>
      <c r="G86" s="4"/>
      <c r="H86" s="4"/>
      <c r="I86" s="4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  <c r="AC86" s="4"/>
      <c r="AD86" s="4"/>
      <c r="AE86" s="4"/>
      <c r="AF86" s="4"/>
      <c r="AG86" s="4"/>
      <c r="AH86" s="4"/>
      <c r="AI86" s="4"/>
    </row>
    <row r="87" spans="2:35" x14ac:dyDescent="0.25">
      <c r="B87" s="4"/>
      <c r="C87" s="4"/>
      <c r="D87" s="4"/>
      <c r="E87" s="4"/>
      <c r="F87" s="4"/>
      <c r="G87" s="4"/>
      <c r="H87" s="4"/>
      <c r="I87" s="4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  <c r="AC87" s="4"/>
      <c r="AD87" s="4"/>
      <c r="AE87" s="4"/>
      <c r="AF87" s="4"/>
      <c r="AG87" s="4"/>
      <c r="AH87" s="4"/>
      <c r="AI87" s="4"/>
    </row>
    <row r="88" spans="2:35" x14ac:dyDescent="0.25">
      <c r="B88" s="4"/>
      <c r="C88" s="4"/>
      <c r="D88" s="4"/>
      <c r="E88" s="4"/>
      <c r="F88" s="4"/>
      <c r="G88" s="4"/>
      <c r="H88" s="4"/>
      <c r="I88" s="4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  <c r="AC88" s="4"/>
      <c r="AD88" s="4"/>
      <c r="AE88" s="4"/>
      <c r="AF88" s="4"/>
      <c r="AG88" s="4"/>
      <c r="AH88" s="4"/>
      <c r="AI88" s="4"/>
    </row>
    <row r="89" spans="2:35" x14ac:dyDescent="0.25">
      <c r="B89" s="4"/>
      <c r="C89" s="4"/>
      <c r="D89" s="4"/>
      <c r="E89" s="4"/>
      <c r="F89" s="4"/>
      <c r="G89" s="4"/>
      <c r="H89" s="4"/>
      <c r="I89" s="4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  <c r="AC89" s="4"/>
      <c r="AD89" s="4"/>
      <c r="AE89" s="4"/>
      <c r="AF89" s="4"/>
      <c r="AG89" s="4"/>
      <c r="AH89" s="4"/>
      <c r="AI89" s="4"/>
    </row>
    <row r="90" spans="2:35" x14ac:dyDescent="0.25">
      <c r="B90" s="4"/>
      <c r="C90" s="4"/>
      <c r="D90" s="4"/>
      <c r="E90" s="4"/>
      <c r="F90" s="4"/>
      <c r="G90" s="4"/>
      <c r="H90" s="4"/>
      <c r="I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  <c r="AC90" s="4"/>
      <c r="AD90" s="4"/>
      <c r="AE90" s="4"/>
      <c r="AF90" s="4"/>
      <c r="AG90" s="4"/>
      <c r="AH90" s="4"/>
      <c r="AI90" s="4"/>
    </row>
    <row r="91" spans="2:35" x14ac:dyDescent="0.25">
      <c r="B91" s="4"/>
      <c r="C91" s="4"/>
      <c r="D91" s="4"/>
      <c r="E91" s="4"/>
      <c r="F91" s="4"/>
      <c r="G91" s="4"/>
      <c r="H91" s="4"/>
      <c r="I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  <c r="AC91" s="4"/>
      <c r="AD91" s="4"/>
      <c r="AE91" s="4"/>
      <c r="AF91" s="4"/>
      <c r="AG91" s="4"/>
      <c r="AH91" s="4"/>
      <c r="AI91" s="4"/>
    </row>
    <row r="92" spans="2:35" x14ac:dyDescent="0.25">
      <c r="B92" s="4"/>
      <c r="C92" s="4"/>
      <c r="D92" s="4"/>
      <c r="E92" s="4"/>
      <c r="F92" s="4"/>
      <c r="G92" s="4"/>
      <c r="H92" s="4"/>
      <c r="I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  <c r="AC92" s="4"/>
      <c r="AD92" s="4"/>
      <c r="AE92" s="4"/>
      <c r="AF92" s="4"/>
      <c r="AG92" s="4"/>
      <c r="AH92" s="4"/>
      <c r="AI92" s="4"/>
    </row>
    <row r="93" spans="2:35" x14ac:dyDescent="0.25">
      <c r="B93" s="4"/>
      <c r="C93" s="4"/>
      <c r="D93" s="4"/>
      <c r="E93" s="4"/>
      <c r="F93" s="4"/>
      <c r="G93" s="4"/>
      <c r="H93" s="4"/>
      <c r="I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  <c r="AC93" s="4"/>
      <c r="AD93" s="4"/>
      <c r="AE93" s="4"/>
      <c r="AF93" s="4"/>
      <c r="AG93" s="4"/>
      <c r="AH93" s="4"/>
      <c r="AI93" s="4"/>
    </row>
    <row r="94" spans="2:35" x14ac:dyDescent="0.25">
      <c r="B94" s="4"/>
      <c r="C94" s="4"/>
      <c r="D94" s="4"/>
      <c r="E94" s="4"/>
      <c r="F94" s="4"/>
      <c r="G94" s="4"/>
      <c r="H94" s="4"/>
      <c r="I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  <c r="AC94" s="4"/>
      <c r="AD94" s="4"/>
      <c r="AE94" s="4"/>
      <c r="AF94" s="4"/>
      <c r="AG94" s="4"/>
      <c r="AH94" s="4"/>
      <c r="AI94" s="4"/>
    </row>
    <row r="95" spans="2:35" x14ac:dyDescent="0.25"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  <c r="AC95" s="4"/>
      <c r="AD95" s="4"/>
      <c r="AE95" s="4"/>
      <c r="AF95" s="4"/>
      <c r="AG95" s="4"/>
      <c r="AH95" s="4"/>
      <c r="AI95" s="4"/>
    </row>
    <row r="96" spans="2:35" x14ac:dyDescent="0.25"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  <c r="AC96" s="4"/>
      <c r="AD96" s="4"/>
      <c r="AE96" s="4"/>
      <c r="AF96" s="4"/>
      <c r="AG96" s="4"/>
      <c r="AH96" s="4"/>
      <c r="AI96" s="4"/>
    </row>
    <row r="97" spans="2:35" x14ac:dyDescent="0.25"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  <c r="AC97" s="4"/>
      <c r="AD97" s="4"/>
      <c r="AE97" s="4"/>
      <c r="AF97" s="4"/>
      <c r="AG97" s="4"/>
      <c r="AH97" s="4"/>
      <c r="AI97" s="4"/>
    </row>
    <row r="98" spans="2:35" x14ac:dyDescent="0.25"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  <c r="AC98" s="4"/>
      <c r="AD98" s="4"/>
      <c r="AE98" s="4"/>
      <c r="AF98" s="4"/>
      <c r="AG98" s="4"/>
      <c r="AH98" s="4"/>
      <c r="AI98" s="4"/>
    </row>
    <row r="99" spans="2:35" x14ac:dyDescent="0.25"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  <c r="AC99" s="4"/>
      <c r="AD99" s="4"/>
      <c r="AE99" s="4"/>
      <c r="AF99" s="4"/>
      <c r="AG99" s="4"/>
      <c r="AH99" s="4"/>
      <c r="AI99" s="4"/>
    </row>
    <row r="100" spans="2:35" x14ac:dyDescent="0.25"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  <c r="AC100" s="4"/>
      <c r="AD100" s="4"/>
      <c r="AE100" s="4"/>
      <c r="AF100" s="4"/>
      <c r="AG100" s="4"/>
      <c r="AH100" s="4"/>
      <c r="AI100" s="4"/>
    </row>
  </sheetData>
  <mergeCells count="5">
    <mergeCell ref="A1:AI1"/>
    <mergeCell ref="B2:D2"/>
    <mergeCell ref="K2:M2"/>
    <mergeCell ref="T2:V2"/>
    <mergeCell ref="AC2:A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"/>
  <sheetViews>
    <sheetView tabSelected="1" workbookViewId="0">
      <selection sqref="A1:XFD1048576"/>
    </sheetView>
  </sheetViews>
  <sheetFormatPr defaultRowHeight="15" x14ac:dyDescent="0.25"/>
  <cols>
    <col min="1" max="1" width="10.7109375" style="2" customWidth="1"/>
    <col min="2" max="4" width="7.42578125" style="2" customWidth="1"/>
    <col min="5" max="7" width="7.42578125" style="30" hidden="1" customWidth="1"/>
    <col min="8" max="8" width="7.42578125" style="2" customWidth="1"/>
    <col min="9" max="9" width="3.140625" style="2" customWidth="1"/>
    <col min="10" max="10" width="10" style="2" customWidth="1"/>
    <col min="11" max="13" width="7.42578125" style="2" customWidth="1"/>
    <col min="14" max="16" width="7.42578125" style="2" hidden="1" customWidth="1"/>
    <col min="17" max="17" width="7.42578125" style="2" customWidth="1"/>
    <col min="18" max="18" width="3.140625" style="2" customWidth="1"/>
    <col min="19" max="19" width="10.140625" style="2" customWidth="1"/>
    <col min="20" max="22" width="7.42578125" style="2" customWidth="1"/>
    <col min="23" max="25" width="7.42578125" style="2" hidden="1" customWidth="1"/>
    <col min="26" max="26" width="7.42578125" style="2" customWidth="1"/>
    <col min="27" max="27" width="3.140625" style="2" customWidth="1"/>
    <col min="28" max="28" width="10.140625" style="2" customWidth="1"/>
    <col min="29" max="31" width="7.42578125" style="2" customWidth="1"/>
    <col min="32" max="34" width="7.42578125" style="2" hidden="1" customWidth="1"/>
    <col min="35" max="35" width="7.42578125" style="2" customWidth="1"/>
    <col min="36" max="1024" width="10" style="2" customWidth="1"/>
    <col min="1025" max="1025" width="10.28515625" customWidth="1"/>
  </cols>
  <sheetData>
    <row r="1" spans="1:35" x14ac:dyDescent="0.25">
      <c r="A1" s="31" t="s">
        <v>271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12.6" customHeight="1" x14ac:dyDescent="0.25">
      <c r="B2" s="31" t="s">
        <v>272</v>
      </c>
      <c r="C2" s="31"/>
      <c r="D2" s="31"/>
      <c r="E2" s="4"/>
      <c r="F2" s="4"/>
      <c r="G2" s="4"/>
      <c r="H2" s="5"/>
      <c r="I2" s="5"/>
      <c r="K2" s="31" t="s">
        <v>273</v>
      </c>
      <c r="L2" s="31"/>
      <c r="M2" s="31"/>
      <c r="N2" s="5"/>
      <c r="O2" s="5"/>
      <c r="P2" s="5"/>
      <c r="Q2" s="5"/>
      <c r="R2" s="5"/>
      <c r="T2" s="31" t="s">
        <v>162</v>
      </c>
      <c r="U2" s="31"/>
      <c r="V2" s="31"/>
      <c r="W2" s="5"/>
      <c r="X2" s="5"/>
      <c r="Y2" s="5"/>
      <c r="Z2" s="5"/>
      <c r="AC2" s="31" t="s">
        <v>274</v>
      </c>
      <c r="AD2" s="31"/>
      <c r="AE2" s="31"/>
      <c r="AF2" s="5"/>
      <c r="AG2" s="5"/>
      <c r="AH2" s="5"/>
      <c r="AI2" s="5"/>
    </row>
    <row r="3" spans="1:35" ht="12.6" customHeight="1" x14ac:dyDescent="0.25">
      <c r="B3" s="6" t="s">
        <v>4</v>
      </c>
      <c r="C3" s="7" t="s">
        <v>165</v>
      </c>
      <c r="D3" s="6" t="s">
        <v>6</v>
      </c>
      <c r="E3" s="8"/>
      <c r="F3" s="8"/>
      <c r="G3" s="8"/>
      <c r="H3" s="9"/>
      <c r="I3" s="9"/>
      <c r="K3" s="6" t="s">
        <v>4</v>
      </c>
      <c r="L3" s="7" t="s">
        <v>165</v>
      </c>
      <c r="M3" s="6" t="s">
        <v>6</v>
      </c>
      <c r="N3" s="9"/>
      <c r="O3" s="9"/>
      <c r="P3" s="9"/>
      <c r="Q3" s="9"/>
      <c r="R3" s="9"/>
      <c r="T3" s="6" t="s">
        <v>4</v>
      </c>
      <c r="U3" s="7" t="s">
        <v>165</v>
      </c>
      <c r="V3" s="6" t="s">
        <v>6</v>
      </c>
      <c r="W3" s="9"/>
      <c r="X3" s="9"/>
      <c r="Y3" s="9"/>
      <c r="Z3" s="9"/>
      <c r="AC3" s="6" t="s">
        <v>4</v>
      </c>
      <c r="AD3" s="7" t="s">
        <v>165</v>
      </c>
      <c r="AE3" s="6" t="s">
        <v>6</v>
      </c>
      <c r="AF3" s="9"/>
      <c r="AG3" s="9"/>
      <c r="AH3" s="9"/>
      <c r="AI3" s="9"/>
    </row>
    <row r="4" spans="1:35" ht="12.6" customHeight="1" x14ac:dyDescent="0.25">
      <c r="A4" s="10" t="s">
        <v>7</v>
      </c>
      <c r="B4" s="6" t="s">
        <v>8</v>
      </c>
      <c r="C4" s="6" t="s">
        <v>8</v>
      </c>
      <c r="D4" s="6" t="s">
        <v>8</v>
      </c>
      <c r="E4" s="8"/>
      <c r="F4" s="8"/>
      <c r="G4" s="8"/>
      <c r="H4" s="11" t="s">
        <v>9</v>
      </c>
      <c r="I4" s="9"/>
      <c r="J4" s="10" t="s">
        <v>7</v>
      </c>
      <c r="K4" s="6" t="s">
        <v>8</v>
      </c>
      <c r="L4" s="6" t="s">
        <v>8</v>
      </c>
      <c r="M4" s="6" t="s">
        <v>8</v>
      </c>
      <c r="N4" s="9"/>
      <c r="O4" s="9"/>
      <c r="P4" s="9"/>
      <c r="Q4" s="11" t="s">
        <v>9</v>
      </c>
      <c r="R4" s="9"/>
      <c r="S4" s="10" t="s">
        <v>7</v>
      </c>
      <c r="T4" s="6" t="s">
        <v>8</v>
      </c>
      <c r="U4" s="6" t="s">
        <v>8</v>
      </c>
      <c r="V4" s="6" t="s">
        <v>8</v>
      </c>
      <c r="W4" s="9"/>
      <c r="X4" s="9"/>
      <c r="Y4" s="9"/>
      <c r="Z4" s="11" t="s">
        <v>9</v>
      </c>
      <c r="AB4" s="10" t="s">
        <v>7</v>
      </c>
      <c r="AC4" s="6" t="s">
        <v>8</v>
      </c>
      <c r="AD4" s="6" t="s">
        <v>8</v>
      </c>
      <c r="AE4" s="6" t="s">
        <v>8</v>
      </c>
      <c r="AF4" s="9"/>
      <c r="AG4" s="9"/>
      <c r="AH4" s="9"/>
      <c r="AI4" s="11" t="s">
        <v>9</v>
      </c>
    </row>
    <row r="5" spans="1:35" ht="12.6" customHeight="1" x14ac:dyDescent="0.25">
      <c r="A5" s="12" t="s">
        <v>10</v>
      </c>
      <c r="B5" s="13" t="s">
        <v>11</v>
      </c>
      <c r="C5" s="13" t="s">
        <v>166</v>
      </c>
      <c r="D5" s="13" t="s">
        <v>13</v>
      </c>
      <c r="E5" s="14"/>
      <c r="F5" s="14"/>
      <c r="G5" s="14"/>
      <c r="H5" s="15" t="s">
        <v>14</v>
      </c>
      <c r="I5" s="16"/>
      <c r="J5" s="12" t="s">
        <v>10</v>
      </c>
      <c r="K5" s="13" t="s">
        <v>11</v>
      </c>
      <c r="L5" s="13" t="s">
        <v>167</v>
      </c>
      <c r="M5" s="13" t="s">
        <v>13</v>
      </c>
      <c r="N5" s="16"/>
      <c r="O5" s="16"/>
      <c r="P5" s="16"/>
      <c r="Q5" s="15" t="s">
        <v>14</v>
      </c>
      <c r="R5" s="16"/>
      <c r="S5" s="12" t="s">
        <v>10</v>
      </c>
      <c r="T5" s="13" t="s">
        <v>11</v>
      </c>
      <c r="U5" s="13" t="s">
        <v>168</v>
      </c>
      <c r="V5" s="13" t="s">
        <v>13</v>
      </c>
      <c r="W5" s="16"/>
      <c r="X5" s="16"/>
      <c r="Y5" s="16"/>
      <c r="Z5" s="15" t="s">
        <v>14</v>
      </c>
      <c r="AB5" s="12" t="s">
        <v>10</v>
      </c>
      <c r="AC5" s="13" t="s">
        <v>11</v>
      </c>
      <c r="AD5" s="13" t="s">
        <v>169</v>
      </c>
      <c r="AE5" s="13" t="s">
        <v>13</v>
      </c>
      <c r="AF5" s="16"/>
      <c r="AG5" s="16"/>
      <c r="AH5" s="16"/>
      <c r="AI5" s="15" t="s">
        <v>14</v>
      </c>
    </row>
    <row r="6" spans="1:35" ht="9.75" customHeight="1" x14ac:dyDescent="0.25">
      <c r="A6" s="32" t="s">
        <v>275</v>
      </c>
      <c r="B6" s="17">
        <v>27.23</v>
      </c>
      <c r="C6" s="17">
        <v>37.04</v>
      </c>
      <c r="D6" s="17">
        <v>35.729999999999997</v>
      </c>
      <c r="E6" s="27">
        <v>36</v>
      </c>
      <c r="F6" s="19">
        <v>17</v>
      </c>
      <c r="G6" s="20">
        <v>10</v>
      </c>
      <c r="H6" s="21">
        <f t="shared" ref="H6:H15" si="0">59371.2/E6/F6+131.95+21639.1/G6/F6</f>
        <v>356.25058823529412</v>
      </c>
      <c r="I6" s="16"/>
      <c r="J6" s="32" t="s">
        <v>275</v>
      </c>
      <c r="K6" s="18">
        <v>26.65</v>
      </c>
      <c r="L6" s="18">
        <v>38.380000000000003</v>
      </c>
      <c r="M6" s="18">
        <v>34.97</v>
      </c>
      <c r="N6" s="27">
        <v>36</v>
      </c>
      <c r="O6" s="19">
        <v>18</v>
      </c>
      <c r="P6" s="20">
        <v>10</v>
      </c>
      <c r="Q6" s="21">
        <f t="shared" ref="Q6:Q15" si="1">59371.2/N6/O6+131.95+21639.1/P6/O6</f>
        <v>343.78944444444443</v>
      </c>
      <c r="R6" s="16"/>
      <c r="S6" s="32" t="s">
        <v>275</v>
      </c>
      <c r="T6" s="18">
        <v>26.1</v>
      </c>
      <c r="U6" s="18">
        <v>39.659999999999997</v>
      </c>
      <c r="V6" s="18">
        <v>34.24</v>
      </c>
      <c r="W6" s="27">
        <v>36</v>
      </c>
      <c r="X6" s="19">
        <v>19</v>
      </c>
      <c r="Y6" s="20">
        <v>10</v>
      </c>
      <c r="Z6" s="21">
        <f t="shared" ref="Z6:Z15" si="2">59371.2/W6/X6+131.95+21639.1/Y6/X6</f>
        <v>332.64</v>
      </c>
      <c r="AB6" s="32" t="s">
        <v>275</v>
      </c>
      <c r="AC6" s="18">
        <v>25.56</v>
      </c>
      <c r="AD6" s="18">
        <v>40.9</v>
      </c>
      <c r="AE6" s="18">
        <v>33.54</v>
      </c>
      <c r="AF6" s="27">
        <v>36</v>
      </c>
      <c r="AG6" s="19">
        <v>20</v>
      </c>
      <c r="AH6" s="20">
        <v>10</v>
      </c>
      <c r="AI6" s="21">
        <f t="shared" ref="AI6:AI15" si="3">59371.2/AF6/AG6+131.95+21639.1/AH6/AG6</f>
        <v>322.60549999999995</v>
      </c>
    </row>
    <row r="7" spans="1:35" ht="9.75" customHeight="1" x14ac:dyDescent="0.25">
      <c r="A7" s="32" t="s">
        <v>276</v>
      </c>
      <c r="B7" s="17">
        <v>28.96</v>
      </c>
      <c r="C7" s="17">
        <v>39.380000000000003</v>
      </c>
      <c r="D7" s="17">
        <v>31.66</v>
      </c>
      <c r="E7" s="27">
        <v>36</v>
      </c>
      <c r="F7" s="19">
        <v>17</v>
      </c>
      <c r="G7" s="20">
        <v>12</v>
      </c>
      <c r="H7" s="21">
        <f t="shared" si="0"/>
        <v>335.03578431372546</v>
      </c>
      <c r="I7" s="16"/>
      <c r="J7" s="32" t="s">
        <v>276</v>
      </c>
      <c r="K7" s="18">
        <v>28.31</v>
      </c>
      <c r="L7" s="18">
        <v>40.75</v>
      </c>
      <c r="M7" s="18">
        <v>30.94</v>
      </c>
      <c r="N7" s="27">
        <v>36</v>
      </c>
      <c r="O7" s="19">
        <v>18</v>
      </c>
      <c r="P7" s="20">
        <v>12</v>
      </c>
      <c r="Q7" s="21">
        <f t="shared" si="1"/>
        <v>323.75324074074069</v>
      </c>
      <c r="R7" s="16"/>
      <c r="S7" s="32" t="s">
        <v>276</v>
      </c>
      <c r="T7" s="18">
        <v>27.68</v>
      </c>
      <c r="U7" s="18">
        <v>42.06</v>
      </c>
      <c r="V7" s="18">
        <v>30.26</v>
      </c>
      <c r="W7" s="27">
        <v>36</v>
      </c>
      <c r="X7" s="19">
        <v>19</v>
      </c>
      <c r="Y7" s="20">
        <v>12</v>
      </c>
      <c r="Z7" s="21">
        <f t="shared" si="2"/>
        <v>313.6583333333333</v>
      </c>
      <c r="AB7" s="32" t="s">
        <v>276</v>
      </c>
      <c r="AC7" s="18">
        <v>27.08</v>
      </c>
      <c r="AD7" s="18">
        <v>43.32</v>
      </c>
      <c r="AE7" s="18">
        <v>29.6</v>
      </c>
      <c r="AF7" s="27">
        <v>36</v>
      </c>
      <c r="AG7" s="19">
        <v>20</v>
      </c>
      <c r="AH7" s="20">
        <v>12</v>
      </c>
      <c r="AI7" s="21">
        <f t="shared" si="3"/>
        <v>304.57291666666663</v>
      </c>
    </row>
    <row r="8" spans="1:35" ht="9.75" customHeight="1" x14ac:dyDescent="0.25">
      <c r="A8" s="32" t="s">
        <v>277</v>
      </c>
      <c r="B8" s="17">
        <v>30.33</v>
      </c>
      <c r="C8" s="17">
        <v>41.25</v>
      </c>
      <c r="D8" s="17">
        <v>28.42</v>
      </c>
      <c r="E8" s="27">
        <v>36</v>
      </c>
      <c r="F8" s="19">
        <v>17</v>
      </c>
      <c r="G8" s="20">
        <v>14</v>
      </c>
      <c r="H8" s="21">
        <f t="shared" si="0"/>
        <v>319.88235294117646</v>
      </c>
      <c r="I8" s="16"/>
      <c r="J8" s="32" t="s">
        <v>277</v>
      </c>
      <c r="K8" s="18">
        <v>29.61</v>
      </c>
      <c r="L8" s="18">
        <v>42.64</v>
      </c>
      <c r="M8" s="18">
        <v>27.75</v>
      </c>
      <c r="N8" s="27">
        <v>36</v>
      </c>
      <c r="O8" s="19">
        <v>18</v>
      </c>
      <c r="P8" s="20">
        <v>14</v>
      </c>
      <c r="Q8" s="21">
        <f t="shared" si="1"/>
        <v>309.44166666666661</v>
      </c>
      <c r="R8" s="16"/>
      <c r="S8" s="32" t="s">
        <v>277</v>
      </c>
      <c r="T8" s="18">
        <v>28.93</v>
      </c>
      <c r="U8" s="18">
        <v>43.96</v>
      </c>
      <c r="V8" s="18">
        <v>27.11</v>
      </c>
      <c r="W8" s="27">
        <v>36</v>
      </c>
      <c r="X8" s="19">
        <v>19</v>
      </c>
      <c r="Y8" s="20">
        <v>14</v>
      </c>
      <c r="Z8" s="21">
        <f t="shared" si="2"/>
        <v>300.10000000000002</v>
      </c>
      <c r="AB8" s="32" t="s">
        <v>277</v>
      </c>
      <c r="AC8" s="18">
        <v>28.28</v>
      </c>
      <c r="AD8" s="18">
        <v>45.23</v>
      </c>
      <c r="AE8" s="18">
        <v>26.49</v>
      </c>
      <c r="AF8" s="27">
        <v>36</v>
      </c>
      <c r="AG8" s="19">
        <v>20</v>
      </c>
      <c r="AH8" s="20">
        <v>14</v>
      </c>
      <c r="AI8" s="21">
        <f t="shared" si="3"/>
        <v>291.6925</v>
      </c>
    </row>
    <row r="9" spans="1:35" ht="9.75" customHeight="1" x14ac:dyDescent="0.25">
      <c r="A9" s="32" t="s">
        <v>278</v>
      </c>
      <c r="B9" s="17">
        <v>31.45</v>
      </c>
      <c r="C9" s="17">
        <v>42.77</v>
      </c>
      <c r="D9" s="17">
        <v>25.78</v>
      </c>
      <c r="E9" s="27">
        <v>36</v>
      </c>
      <c r="F9" s="19">
        <v>17</v>
      </c>
      <c r="G9" s="20">
        <v>16</v>
      </c>
      <c r="H9" s="21">
        <f t="shared" si="0"/>
        <v>308.51727941176466</v>
      </c>
      <c r="I9" s="16"/>
      <c r="J9" s="32" t="s">
        <v>278</v>
      </c>
      <c r="K9" s="18">
        <v>30.68</v>
      </c>
      <c r="L9" s="18">
        <v>44.17</v>
      </c>
      <c r="M9" s="18">
        <v>25.15</v>
      </c>
      <c r="N9" s="27">
        <v>36</v>
      </c>
      <c r="O9" s="19">
        <v>18</v>
      </c>
      <c r="P9" s="20">
        <v>16</v>
      </c>
      <c r="Q9" s="21">
        <f t="shared" si="1"/>
        <v>298.7079861111111</v>
      </c>
      <c r="R9" s="16"/>
      <c r="S9" s="32" t="s">
        <v>278</v>
      </c>
      <c r="T9" s="18">
        <v>29.94</v>
      </c>
      <c r="U9" s="18">
        <v>45.51</v>
      </c>
      <c r="V9" s="18">
        <v>24.55</v>
      </c>
      <c r="W9" s="27">
        <v>36</v>
      </c>
      <c r="X9" s="19">
        <v>19</v>
      </c>
      <c r="Y9" s="20">
        <v>16</v>
      </c>
      <c r="Z9" s="21">
        <f t="shared" si="2"/>
        <v>289.93124999999998</v>
      </c>
      <c r="AB9" s="32" t="s">
        <v>278</v>
      </c>
      <c r="AC9" s="18">
        <v>29.24</v>
      </c>
      <c r="AD9" s="18">
        <v>46.78</v>
      </c>
      <c r="AE9" s="18">
        <v>23.98</v>
      </c>
      <c r="AF9" s="27">
        <v>36</v>
      </c>
      <c r="AG9" s="19">
        <v>20</v>
      </c>
      <c r="AH9" s="20">
        <v>16</v>
      </c>
      <c r="AI9" s="21">
        <f t="shared" si="3"/>
        <v>282.03218749999996</v>
      </c>
    </row>
    <row r="10" spans="1:35" ht="9.75" customHeight="1" x14ac:dyDescent="0.25">
      <c r="A10" s="32" t="s">
        <v>279</v>
      </c>
      <c r="B10" s="18">
        <v>32.369999999999997</v>
      </c>
      <c r="C10" s="18">
        <v>44.03</v>
      </c>
      <c r="D10" s="18">
        <v>23.6</v>
      </c>
      <c r="E10" s="27">
        <v>36</v>
      </c>
      <c r="F10" s="19">
        <v>17</v>
      </c>
      <c r="G10" s="20">
        <v>18</v>
      </c>
      <c r="H10" s="21">
        <f t="shared" si="0"/>
        <v>299.67777777777775</v>
      </c>
      <c r="I10" s="16"/>
      <c r="J10" s="32" t="s">
        <v>279</v>
      </c>
      <c r="K10" s="18">
        <v>31.56</v>
      </c>
      <c r="L10" s="18">
        <v>45.44</v>
      </c>
      <c r="M10" s="18">
        <v>23</v>
      </c>
      <c r="N10" s="27">
        <v>36</v>
      </c>
      <c r="O10" s="19">
        <v>18</v>
      </c>
      <c r="P10" s="20">
        <v>18</v>
      </c>
      <c r="Q10" s="21">
        <f t="shared" si="1"/>
        <v>290.35956790123453</v>
      </c>
      <c r="R10" s="16"/>
      <c r="S10" s="32" t="s">
        <v>279</v>
      </c>
      <c r="T10" s="18">
        <v>30.78</v>
      </c>
      <c r="U10" s="18">
        <v>46.78</v>
      </c>
      <c r="V10" s="18">
        <v>22.44</v>
      </c>
      <c r="W10" s="27">
        <v>36</v>
      </c>
      <c r="X10" s="19">
        <v>19</v>
      </c>
      <c r="Y10" s="20">
        <v>18</v>
      </c>
      <c r="Z10" s="21">
        <f t="shared" si="2"/>
        <v>282.02222222222224</v>
      </c>
      <c r="AB10" s="32" t="s">
        <v>279</v>
      </c>
      <c r="AC10" s="18">
        <v>30.04</v>
      </c>
      <c r="AD10" s="18">
        <v>48.06</v>
      </c>
      <c r="AE10" s="18">
        <v>21.9</v>
      </c>
      <c r="AF10" s="27">
        <v>36</v>
      </c>
      <c r="AG10" s="19">
        <v>20</v>
      </c>
      <c r="AH10" s="20">
        <v>18</v>
      </c>
      <c r="AI10" s="21">
        <f t="shared" si="3"/>
        <v>274.51861111111106</v>
      </c>
    </row>
    <row r="11" spans="1:35" ht="9.75" customHeight="1" x14ac:dyDescent="0.25">
      <c r="A11" s="32" t="s">
        <v>280</v>
      </c>
      <c r="B11" s="17">
        <v>33.159999999999997</v>
      </c>
      <c r="C11" s="17">
        <v>45.09</v>
      </c>
      <c r="D11" s="17">
        <v>21.75</v>
      </c>
      <c r="E11" s="27">
        <v>36</v>
      </c>
      <c r="F11" s="19">
        <v>17</v>
      </c>
      <c r="G11" s="20">
        <v>20</v>
      </c>
      <c r="H11" s="21">
        <f t="shared" si="0"/>
        <v>292.6061764705882</v>
      </c>
      <c r="I11" s="16"/>
      <c r="J11" s="32" t="s">
        <v>280</v>
      </c>
      <c r="K11" s="18">
        <v>32.299999999999997</v>
      </c>
      <c r="L11" s="18">
        <v>46.51</v>
      </c>
      <c r="M11" s="18">
        <v>21.19</v>
      </c>
      <c r="N11" s="27">
        <v>36</v>
      </c>
      <c r="O11" s="19">
        <v>18</v>
      </c>
      <c r="P11" s="20">
        <v>20</v>
      </c>
      <c r="Q11" s="21">
        <f t="shared" si="1"/>
        <v>283.68083333333328</v>
      </c>
      <c r="R11" s="16"/>
      <c r="S11" s="32" t="s">
        <v>280</v>
      </c>
      <c r="T11" s="18">
        <v>31.49</v>
      </c>
      <c r="U11" s="18">
        <v>47.86</v>
      </c>
      <c r="V11" s="18">
        <v>20.65</v>
      </c>
      <c r="W11" s="27">
        <v>36</v>
      </c>
      <c r="X11" s="19">
        <v>19</v>
      </c>
      <c r="Y11" s="20">
        <v>20</v>
      </c>
      <c r="Z11" s="21">
        <f t="shared" si="2"/>
        <v>275.69499999999999</v>
      </c>
      <c r="AB11" s="32" t="s">
        <v>280</v>
      </c>
      <c r="AC11" s="18">
        <v>30.71</v>
      </c>
      <c r="AD11" s="18">
        <v>49.14</v>
      </c>
      <c r="AE11" s="18">
        <v>20.149999999999999</v>
      </c>
      <c r="AF11" s="27">
        <v>36</v>
      </c>
      <c r="AG11" s="19">
        <v>20</v>
      </c>
      <c r="AH11" s="20">
        <v>20</v>
      </c>
      <c r="AI11" s="21">
        <f t="shared" si="3"/>
        <v>268.50774999999999</v>
      </c>
    </row>
    <row r="12" spans="1:35" ht="9.75" customHeight="1" x14ac:dyDescent="0.25">
      <c r="A12" s="32" t="s">
        <v>281</v>
      </c>
      <c r="B12" s="17">
        <v>34.4</v>
      </c>
      <c r="C12" s="17">
        <v>46.79</v>
      </c>
      <c r="D12" s="17">
        <v>18.809999999999999</v>
      </c>
      <c r="E12" s="27">
        <v>36</v>
      </c>
      <c r="F12" s="19">
        <v>17</v>
      </c>
      <c r="G12" s="20">
        <v>24</v>
      </c>
      <c r="H12" s="21">
        <f t="shared" si="0"/>
        <v>281.99877450980387</v>
      </c>
      <c r="I12" s="16"/>
      <c r="J12" s="32" t="s">
        <v>281</v>
      </c>
      <c r="K12" s="18">
        <v>33.49</v>
      </c>
      <c r="L12" s="18">
        <v>48.21</v>
      </c>
      <c r="M12" s="18">
        <v>18.3</v>
      </c>
      <c r="N12" s="27">
        <v>36</v>
      </c>
      <c r="O12" s="19">
        <v>18</v>
      </c>
      <c r="P12" s="20">
        <v>24</v>
      </c>
      <c r="Q12" s="21">
        <f t="shared" si="1"/>
        <v>273.66273148148144</v>
      </c>
      <c r="R12" s="16"/>
      <c r="S12" s="32" t="s">
        <v>281</v>
      </c>
      <c r="T12" s="18">
        <v>32.61</v>
      </c>
      <c r="U12" s="18">
        <v>49.56</v>
      </c>
      <c r="V12" s="18">
        <v>17.829999999999998</v>
      </c>
      <c r="W12" s="27">
        <v>36</v>
      </c>
      <c r="X12" s="19">
        <v>19</v>
      </c>
      <c r="Y12" s="20">
        <v>24</v>
      </c>
      <c r="Z12" s="21">
        <f t="shared" si="2"/>
        <v>266.20416666666665</v>
      </c>
      <c r="AB12" s="32" t="s">
        <v>281</v>
      </c>
      <c r="AC12" s="18">
        <v>31.78</v>
      </c>
      <c r="AD12" s="18">
        <v>50.85</v>
      </c>
      <c r="AE12" s="18">
        <v>17.37</v>
      </c>
      <c r="AF12" s="27">
        <v>36</v>
      </c>
      <c r="AG12" s="19">
        <v>20</v>
      </c>
      <c r="AH12" s="20">
        <v>24</v>
      </c>
      <c r="AI12" s="21">
        <f t="shared" si="3"/>
        <v>259.4914583333333</v>
      </c>
    </row>
    <row r="13" spans="1:35" ht="9.75" customHeight="1" x14ac:dyDescent="0.25">
      <c r="A13" s="32" t="s">
        <v>282</v>
      </c>
      <c r="B13" s="17">
        <v>34.909999999999997</v>
      </c>
      <c r="C13" s="17">
        <v>47.47</v>
      </c>
      <c r="D13" s="17">
        <v>17.62</v>
      </c>
      <c r="E13" s="27">
        <v>36</v>
      </c>
      <c r="F13" s="19">
        <v>17</v>
      </c>
      <c r="G13" s="20">
        <v>26</v>
      </c>
      <c r="H13" s="21">
        <f t="shared" si="0"/>
        <v>277.91900452488687</v>
      </c>
      <c r="I13" s="16"/>
      <c r="J13" s="32" t="s">
        <v>282</v>
      </c>
      <c r="K13" s="18">
        <v>33.96</v>
      </c>
      <c r="L13" s="18">
        <v>48.9</v>
      </c>
      <c r="M13" s="18">
        <v>17.14</v>
      </c>
      <c r="N13" s="27">
        <v>36</v>
      </c>
      <c r="O13" s="19">
        <v>18</v>
      </c>
      <c r="P13" s="20">
        <v>26</v>
      </c>
      <c r="Q13" s="21">
        <f t="shared" si="1"/>
        <v>269.80961538461537</v>
      </c>
      <c r="R13" s="16"/>
      <c r="S13" s="32" t="s">
        <v>282</v>
      </c>
      <c r="T13" s="18">
        <v>33.06</v>
      </c>
      <c r="U13" s="18">
        <v>50.26</v>
      </c>
      <c r="V13" s="18">
        <v>16.68</v>
      </c>
      <c r="W13" s="27">
        <v>36</v>
      </c>
      <c r="X13" s="19">
        <v>19</v>
      </c>
      <c r="Y13" s="20">
        <v>26</v>
      </c>
      <c r="Z13" s="21">
        <f t="shared" si="2"/>
        <v>262.55384615384617</v>
      </c>
      <c r="AB13" s="32" t="s">
        <v>282</v>
      </c>
      <c r="AC13" s="18">
        <v>32.21</v>
      </c>
      <c r="AD13" s="18">
        <v>51.54</v>
      </c>
      <c r="AE13" s="18">
        <v>16.25</v>
      </c>
      <c r="AF13" s="27">
        <v>36</v>
      </c>
      <c r="AG13" s="19">
        <v>20</v>
      </c>
      <c r="AH13" s="20">
        <v>26</v>
      </c>
      <c r="AI13" s="21">
        <f t="shared" si="3"/>
        <v>256.02365384615382</v>
      </c>
    </row>
    <row r="14" spans="1:35" ht="9.75" customHeight="1" x14ac:dyDescent="0.25">
      <c r="A14" s="32" t="s">
        <v>283</v>
      </c>
      <c r="B14" s="17">
        <v>35.35</v>
      </c>
      <c r="C14" s="17">
        <v>48.08</v>
      </c>
      <c r="D14" s="17">
        <v>16.57</v>
      </c>
      <c r="E14" s="27">
        <v>36</v>
      </c>
      <c r="F14" s="19">
        <v>17</v>
      </c>
      <c r="G14" s="20">
        <v>28</v>
      </c>
      <c r="H14" s="21">
        <f t="shared" si="0"/>
        <v>274.42205882352937</v>
      </c>
      <c r="I14" s="16"/>
      <c r="J14" s="32" t="s">
        <v>283</v>
      </c>
      <c r="K14" s="18">
        <v>34.380000000000003</v>
      </c>
      <c r="L14" s="18">
        <v>49.51</v>
      </c>
      <c r="M14" s="18">
        <v>16.11</v>
      </c>
      <c r="N14" s="27">
        <v>36</v>
      </c>
      <c r="O14" s="19">
        <v>18</v>
      </c>
      <c r="P14" s="20">
        <v>28</v>
      </c>
      <c r="Q14" s="21">
        <f t="shared" si="1"/>
        <v>266.5069444444444</v>
      </c>
      <c r="R14" s="16"/>
      <c r="S14" s="32" t="s">
        <v>283</v>
      </c>
      <c r="T14" s="18">
        <v>33.46</v>
      </c>
      <c r="U14" s="18">
        <v>50.86</v>
      </c>
      <c r="V14" s="18">
        <v>15.68</v>
      </c>
      <c r="W14" s="27">
        <v>36</v>
      </c>
      <c r="X14" s="19">
        <v>19</v>
      </c>
      <c r="Y14" s="20">
        <v>28</v>
      </c>
      <c r="Z14" s="21">
        <f t="shared" si="2"/>
        <v>259.42500000000001</v>
      </c>
      <c r="AB14" s="32" t="s">
        <v>283</v>
      </c>
      <c r="AC14" s="18">
        <v>32.590000000000003</v>
      </c>
      <c r="AD14" s="18">
        <v>52.14</v>
      </c>
      <c r="AE14" s="18">
        <v>15.27</v>
      </c>
      <c r="AF14" s="27">
        <v>36</v>
      </c>
      <c r="AG14" s="19">
        <v>20</v>
      </c>
      <c r="AH14" s="20">
        <v>28</v>
      </c>
      <c r="AI14" s="21">
        <f t="shared" si="3"/>
        <v>253.05124999999998</v>
      </c>
    </row>
    <row r="15" spans="1:35" ht="9.75" customHeight="1" x14ac:dyDescent="0.25">
      <c r="A15" s="32" t="s">
        <v>284</v>
      </c>
      <c r="B15" s="17">
        <v>35.75</v>
      </c>
      <c r="C15" s="17">
        <v>48.62</v>
      </c>
      <c r="D15" s="17">
        <v>15.63</v>
      </c>
      <c r="E15" s="27">
        <v>36</v>
      </c>
      <c r="F15" s="19">
        <v>17</v>
      </c>
      <c r="G15" s="20">
        <v>30</v>
      </c>
      <c r="H15" s="21">
        <f t="shared" si="0"/>
        <v>271.39137254901959</v>
      </c>
      <c r="I15" s="16"/>
      <c r="J15" s="32" t="s">
        <v>284</v>
      </c>
      <c r="K15" s="18">
        <v>34.75</v>
      </c>
      <c r="L15" s="18">
        <v>50.05</v>
      </c>
      <c r="M15" s="18">
        <v>15.2</v>
      </c>
      <c r="N15" s="27">
        <v>36</v>
      </c>
      <c r="O15" s="19">
        <v>18</v>
      </c>
      <c r="P15" s="20">
        <v>30</v>
      </c>
      <c r="Q15" s="21">
        <f t="shared" si="1"/>
        <v>263.64462962962961</v>
      </c>
      <c r="R15" s="16"/>
      <c r="S15" s="32" t="s">
        <v>284</v>
      </c>
      <c r="T15" s="18">
        <v>33.81</v>
      </c>
      <c r="U15" s="18">
        <v>51.4</v>
      </c>
      <c r="V15" s="18">
        <v>14.79</v>
      </c>
      <c r="W15" s="27">
        <v>36</v>
      </c>
      <c r="X15" s="19">
        <v>19</v>
      </c>
      <c r="Y15" s="20">
        <v>30</v>
      </c>
      <c r="Z15" s="21">
        <f t="shared" si="2"/>
        <v>256.71333333333331</v>
      </c>
      <c r="AB15" s="32" t="s">
        <v>284</v>
      </c>
      <c r="AC15" s="18">
        <v>32.92</v>
      </c>
      <c r="AD15" s="18">
        <v>52.68</v>
      </c>
      <c r="AE15" s="18">
        <v>14.4</v>
      </c>
      <c r="AF15" s="27">
        <v>36</v>
      </c>
      <c r="AG15" s="19">
        <v>20</v>
      </c>
      <c r="AH15" s="20">
        <v>30</v>
      </c>
      <c r="AI15" s="21">
        <f t="shared" si="3"/>
        <v>250.47516666666664</v>
      </c>
    </row>
    <row r="16" spans="1:35" ht="10.5" customHeight="1" x14ac:dyDescent="0.25">
      <c r="A16" s="34"/>
      <c r="B16" s="23"/>
      <c r="C16" s="23"/>
      <c r="D16" s="23"/>
      <c r="E16" s="24"/>
      <c r="F16" s="24"/>
      <c r="G16" s="24"/>
      <c r="H16" s="23"/>
      <c r="I16" s="16"/>
      <c r="J16" s="34"/>
      <c r="K16" s="23"/>
      <c r="L16" s="23"/>
      <c r="M16" s="23"/>
      <c r="N16" s="23"/>
      <c r="O16" s="23"/>
      <c r="P16" s="23"/>
      <c r="Q16" s="23"/>
      <c r="R16" s="9"/>
      <c r="S16" s="34"/>
      <c r="T16" s="23"/>
      <c r="U16" s="23"/>
      <c r="V16" s="23"/>
      <c r="W16" s="23"/>
      <c r="X16" s="23"/>
      <c r="Y16" s="23"/>
      <c r="Z16" s="23"/>
      <c r="AB16" s="34"/>
      <c r="AC16" s="23"/>
      <c r="AD16" s="23"/>
      <c r="AE16" s="23"/>
      <c r="AF16" s="23"/>
      <c r="AG16" s="23"/>
      <c r="AH16" s="23"/>
      <c r="AI16" s="23"/>
    </row>
    <row r="17" spans="1:35" ht="9.75" customHeight="1" x14ac:dyDescent="0.25">
      <c r="A17" s="32" t="s">
        <v>285</v>
      </c>
      <c r="B17" s="18">
        <v>30.99</v>
      </c>
      <c r="C17" s="18">
        <v>35.130000000000003</v>
      </c>
      <c r="D17" s="18">
        <v>33.880000000000003</v>
      </c>
      <c r="E17" s="27">
        <v>30</v>
      </c>
      <c r="F17" s="19">
        <v>17</v>
      </c>
      <c r="G17" s="20">
        <v>10</v>
      </c>
      <c r="H17" s="21">
        <f t="shared" ref="H17:H26" si="4">59371.2/E17/F17+131.95+21639.1/G17/F17</f>
        <v>375.65294117647056</v>
      </c>
      <c r="I17" s="16"/>
      <c r="J17" s="32" t="s">
        <v>285</v>
      </c>
      <c r="K17" s="18">
        <v>30.36</v>
      </c>
      <c r="L17" s="18">
        <v>36.44</v>
      </c>
      <c r="M17" s="18">
        <v>33.200000000000003</v>
      </c>
      <c r="N17" s="27">
        <v>30</v>
      </c>
      <c r="O17" s="19">
        <v>18</v>
      </c>
      <c r="P17" s="24">
        <v>10</v>
      </c>
      <c r="Q17" s="21">
        <f t="shared" ref="Q17:Q26" si="5">59371.2/N17/O17+131.95+21639.1/P17/O17</f>
        <v>362.11388888888888</v>
      </c>
      <c r="R17" s="9"/>
      <c r="S17" s="32" t="s">
        <v>285</v>
      </c>
      <c r="T17" s="18">
        <v>29.76</v>
      </c>
      <c r="U17" s="18">
        <v>37.700000000000003</v>
      </c>
      <c r="V17" s="18">
        <v>32.54</v>
      </c>
      <c r="W17" s="27">
        <v>30</v>
      </c>
      <c r="X17" s="19">
        <v>19</v>
      </c>
      <c r="Y17" s="24">
        <v>10</v>
      </c>
      <c r="Z17" s="21">
        <f t="shared" ref="Z17:Z26" si="6">59371.2/W17/X17+131.95+21639.1/Y17/X17</f>
        <v>350</v>
      </c>
      <c r="AB17" s="32" t="s">
        <v>285</v>
      </c>
      <c r="AC17" s="18">
        <v>29.18</v>
      </c>
      <c r="AD17" s="18">
        <v>38.909999999999997</v>
      </c>
      <c r="AE17" s="18">
        <v>31.91</v>
      </c>
      <c r="AF17" s="27">
        <v>30</v>
      </c>
      <c r="AG17" s="19">
        <v>20</v>
      </c>
      <c r="AH17" s="24">
        <v>10</v>
      </c>
      <c r="AI17" s="21">
        <f t="shared" ref="AI17:AI26" si="7">59371.2/AF17/AG17+131.95+21639.1/AH17/AG17</f>
        <v>339.09749999999997</v>
      </c>
    </row>
    <row r="18" spans="1:35" ht="9.75" customHeight="1" x14ac:dyDescent="0.25">
      <c r="A18" s="32" t="s">
        <v>286</v>
      </c>
      <c r="B18" s="18">
        <v>32.85</v>
      </c>
      <c r="C18" s="18">
        <v>37.229999999999997</v>
      </c>
      <c r="D18" s="18">
        <v>29.92</v>
      </c>
      <c r="E18" s="27">
        <v>30</v>
      </c>
      <c r="F18" s="19">
        <v>17</v>
      </c>
      <c r="G18" s="20">
        <v>12</v>
      </c>
      <c r="H18" s="21">
        <f t="shared" si="4"/>
        <v>354.4381372549019</v>
      </c>
      <c r="I18" s="16"/>
      <c r="J18" s="32" t="s">
        <v>286</v>
      </c>
      <c r="K18" s="18">
        <v>32.14</v>
      </c>
      <c r="L18" s="18">
        <v>38.57</v>
      </c>
      <c r="M18" s="18">
        <v>29.29</v>
      </c>
      <c r="N18" s="27">
        <v>30</v>
      </c>
      <c r="O18" s="19">
        <v>18</v>
      </c>
      <c r="P18" s="24">
        <v>12</v>
      </c>
      <c r="Q18" s="21">
        <f t="shared" si="5"/>
        <v>342.07768518518515</v>
      </c>
      <c r="R18" s="9"/>
      <c r="S18" s="32" t="s">
        <v>286</v>
      </c>
      <c r="T18" s="18">
        <v>31.47</v>
      </c>
      <c r="U18" s="18">
        <v>39.86</v>
      </c>
      <c r="V18" s="18">
        <v>28.67</v>
      </c>
      <c r="W18" s="27">
        <v>30</v>
      </c>
      <c r="X18" s="19">
        <v>19</v>
      </c>
      <c r="Y18" s="24">
        <v>12</v>
      </c>
      <c r="Z18" s="21">
        <f t="shared" si="6"/>
        <v>331.01833333333332</v>
      </c>
      <c r="AB18" s="32" t="s">
        <v>286</v>
      </c>
      <c r="AC18" s="18">
        <v>30.82</v>
      </c>
      <c r="AD18" s="18">
        <v>41.1</v>
      </c>
      <c r="AE18" s="18">
        <v>28.08</v>
      </c>
      <c r="AF18" s="27">
        <v>30</v>
      </c>
      <c r="AG18" s="19">
        <v>20</v>
      </c>
      <c r="AH18" s="24">
        <v>12</v>
      </c>
      <c r="AI18" s="21">
        <f t="shared" si="7"/>
        <v>321.06491666666665</v>
      </c>
    </row>
    <row r="19" spans="1:35" ht="9.75" customHeight="1" x14ac:dyDescent="0.25">
      <c r="A19" s="32" t="s">
        <v>287</v>
      </c>
      <c r="B19" s="18">
        <v>34.31</v>
      </c>
      <c r="C19" s="18">
        <v>38.89</v>
      </c>
      <c r="D19" s="18">
        <v>26.8</v>
      </c>
      <c r="E19" s="27">
        <v>30</v>
      </c>
      <c r="F19" s="19">
        <v>17</v>
      </c>
      <c r="G19" s="20">
        <v>14</v>
      </c>
      <c r="H19" s="21">
        <f t="shared" si="4"/>
        <v>339.28470588235291</v>
      </c>
      <c r="I19" s="16"/>
      <c r="J19" s="32" t="s">
        <v>287</v>
      </c>
      <c r="K19" s="18">
        <v>33.549999999999997</v>
      </c>
      <c r="L19" s="18">
        <v>40.25</v>
      </c>
      <c r="M19" s="18">
        <v>26.2</v>
      </c>
      <c r="N19" s="27">
        <v>30</v>
      </c>
      <c r="O19" s="19">
        <v>18</v>
      </c>
      <c r="P19" s="24">
        <v>14</v>
      </c>
      <c r="Q19" s="21">
        <f t="shared" si="5"/>
        <v>327.76611111111106</v>
      </c>
      <c r="R19" s="9"/>
      <c r="S19" s="32" t="s">
        <v>287</v>
      </c>
      <c r="T19" s="18">
        <v>32.81</v>
      </c>
      <c r="U19" s="18">
        <v>41.56</v>
      </c>
      <c r="V19" s="18">
        <v>25.63</v>
      </c>
      <c r="W19" s="27">
        <v>30</v>
      </c>
      <c r="X19" s="19">
        <v>19</v>
      </c>
      <c r="Y19" s="24">
        <v>14</v>
      </c>
      <c r="Z19" s="21">
        <f t="shared" si="6"/>
        <v>317.45999999999998</v>
      </c>
      <c r="AB19" s="32" t="s">
        <v>287</v>
      </c>
      <c r="AC19" s="18">
        <v>32.11</v>
      </c>
      <c r="AD19" s="18">
        <v>42.81</v>
      </c>
      <c r="AE19" s="18">
        <v>25.08</v>
      </c>
      <c r="AF19" s="27">
        <v>30</v>
      </c>
      <c r="AG19" s="19">
        <v>20</v>
      </c>
      <c r="AH19" s="24">
        <v>14</v>
      </c>
      <c r="AI19" s="21">
        <f t="shared" si="7"/>
        <v>308.18449999999996</v>
      </c>
    </row>
    <row r="20" spans="1:35" ht="9.75" customHeight="1" x14ac:dyDescent="0.25">
      <c r="A20" s="32" t="s">
        <v>288</v>
      </c>
      <c r="B20" s="18">
        <v>35.5</v>
      </c>
      <c r="C20" s="18">
        <v>40.24</v>
      </c>
      <c r="D20" s="18">
        <v>24.26</v>
      </c>
      <c r="E20" s="27">
        <v>30</v>
      </c>
      <c r="F20" s="19">
        <v>17</v>
      </c>
      <c r="G20" s="20">
        <v>16</v>
      </c>
      <c r="H20" s="21">
        <f t="shared" si="4"/>
        <v>327.91963235294116</v>
      </c>
      <c r="I20" s="16"/>
      <c r="J20" s="32" t="s">
        <v>288</v>
      </c>
      <c r="K20" s="18">
        <v>34.68</v>
      </c>
      <c r="L20" s="18">
        <v>41.62</v>
      </c>
      <c r="M20" s="18">
        <v>23.7</v>
      </c>
      <c r="N20" s="27">
        <v>30</v>
      </c>
      <c r="O20" s="19">
        <v>18</v>
      </c>
      <c r="P20" s="24">
        <v>16</v>
      </c>
      <c r="Q20" s="21">
        <f t="shared" si="5"/>
        <v>317.03243055555555</v>
      </c>
      <c r="R20" s="9"/>
      <c r="S20" s="32" t="s">
        <v>288</v>
      </c>
      <c r="T20" s="18">
        <v>33.9</v>
      </c>
      <c r="U20" s="18">
        <v>42.94</v>
      </c>
      <c r="V20" s="18">
        <v>23.16</v>
      </c>
      <c r="W20" s="27">
        <v>30</v>
      </c>
      <c r="X20" s="19">
        <v>19</v>
      </c>
      <c r="Y20" s="24">
        <v>16</v>
      </c>
      <c r="Z20" s="21">
        <f t="shared" si="6"/>
        <v>307.29124999999999</v>
      </c>
      <c r="AB20" s="32" t="s">
        <v>288</v>
      </c>
      <c r="AC20" s="18">
        <v>33.15</v>
      </c>
      <c r="AD20" s="18">
        <v>44.2</v>
      </c>
      <c r="AE20" s="18">
        <v>22.65</v>
      </c>
      <c r="AF20" s="27">
        <v>30</v>
      </c>
      <c r="AG20" s="19">
        <v>20</v>
      </c>
      <c r="AH20" s="24">
        <v>16</v>
      </c>
      <c r="AI20" s="21">
        <f t="shared" si="7"/>
        <v>298.52418749999998</v>
      </c>
    </row>
    <row r="21" spans="1:35" ht="9.75" customHeight="1" x14ac:dyDescent="0.25">
      <c r="A21" s="32" t="s">
        <v>289</v>
      </c>
      <c r="B21" s="18">
        <v>36.49</v>
      </c>
      <c r="C21" s="18">
        <v>41.35</v>
      </c>
      <c r="D21" s="18">
        <v>22.16</v>
      </c>
      <c r="E21" s="27">
        <v>30</v>
      </c>
      <c r="F21" s="19">
        <v>17</v>
      </c>
      <c r="G21" s="20">
        <v>18</v>
      </c>
      <c r="H21" s="21">
        <f t="shared" si="4"/>
        <v>319.08013071895425</v>
      </c>
      <c r="I21" s="16"/>
      <c r="J21" s="32" t="s">
        <v>289</v>
      </c>
      <c r="K21" s="18">
        <v>35.619999999999997</v>
      </c>
      <c r="L21" s="18">
        <v>42.74</v>
      </c>
      <c r="M21" s="18">
        <v>21.64</v>
      </c>
      <c r="N21" s="27">
        <v>30</v>
      </c>
      <c r="O21" s="19">
        <v>18</v>
      </c>
      <c r="P21" s="24">
        <v>18</v>
      </c>
      <c r="Q21" s="21">
        <f t="shared" si="5"/>
        <v>308.68401234567898</v>
      </c>
      <c r="R21" s="9"/>
      <c r="S21" s="32" t="s">
        <v>289</v>
      </c>
      <c r="T21" s="18">
        <v>34.79</v>
      </c>
      <c r="U21" s="18">
        <v>44.08</v>
      </c>
      <c r="V21" s="18">
        <v>21.13</v>
      </c>
      <c r="W21" s="27">
        <v>30</v>
      </c>
      <c r="X21" s="19">
        <v>19</v>
      </c>
      <c r="Y21" s="24">
        <v>18</v>
      </c>
      <c r="Z21" s="21">
        <f t="shared" si="6"/>
        <v>299.3822222222222</v>
      </c>
      <c r="AB21" s="32" t="s">
        <v>289</v>
      </c>
      <c r="AC21" s="18">
        <v>34.01</v>
      </c>
      <c r="AD21" s="18">
        <v>45.34</v>
      </c>
      <c r="AE21" s="18">
        <v>20.65</v>
      </c>
      <c r="AF21" s="27">
        <v>30</v>
      </c>
      <c r="AG21" s="19">
        <v>20</v>
      </c>
      <c r="AH21" s="24">
        <v>18</v>
      </c>
      <c r="AI21" s="21">
        <f t="shared" si="7"/>
        <v>291.01061111111107</v>
      </c>
    </row>
    <row r="22" spans="1:35" ht="9.75" customHeight="1" x14ac:dyDescent="0.25">
      <c r="A22" s="32" t="s">
        <v>290</v>
      </c>
      <c r="B22" s="18">
        <v>37.31</v>
      </c>
      <c r="C22" s="18">
        <v>42.29</v>
      </c>
      <c r="D22" s="18">
        <v>20.399999999999999</v>
      </c>
      <c r="E22" s="27">
        <v>30</v>
      </c>
      <c r="F22" s="19">
        <v>17</v>
      </c>
      <c r="G22" s="20">
        <v>20</v>
      </c>
      <c r="H22" s="21">
        <f t="shared" si="4"/>
        <v>312.0085294117647</v>
      </c>
      <c r="I22" s="16"/>
      <c r="J22" s="32" t="s">
        <v>290</v>
      </c>
      <c r="K22" s="18">
        <v>36.409999999999997</v>
      </c>
      <c r="L22" s="18">
        <v>43.69</v>
      </c>
      <c r="M22" s="18">
        <v>19.899999999999999</v>
      </c>
      <c r="N22" s="27">
        <v>30</v>
      </c>
      <c r="O22" s="19">
        <v>18</v>
      </c>
      <c r="P22" s="24">
        <v>20</v>
      </c>
      <c r="Q22" s="21">
        <f t="shared" si="5"/>
        <v>302.00527777777774</v>
      </c>
      <c r="R22" s="9"/>
      <c r="S22" s="32" t="s">
        <v>290</v>
      </c>
      <c r="T22" s="18">
        <v>35.549999999999997</v>
      </c>
      <c r="U22" s="18">
        <v>45.02</v>
      </c>
      <c r="V22" s="18">
        <v>19.43</v>
      </c>
      <c r="W22" s="27">
        <v>30</v>
      </c>
      <c r="X22" s="19">
        <v>19</v>
      </c>
      <c r="Y22" s="24">
        <v>20</v>
      </c>
      <c r="Z22" s="21">
        <f t="shared" si="6"/>
        <v>293.05499999999995</v>
      </c>
      <c r="AB22" s="32" t="s">
        <v>290</v>
      </c>
      <c r="AC22" s="18">
        <v>34.72</v>
      </c>
      <c r="AD22" s="18">
        <v>46.3</v>
      </c>
      <c r="AE22" s="18">
        <v>18.98</v>
      </c>
      <c r="AF22" s="27">
        <v>30</v>
      </c>
      <c r="AG22" s="19">
        <v>20</v>
      </c>
      <c r="AH22" s="24">
        <v>20</v>
      </c>
      <c r="AI22" s="21">
        <f t="shared" si="7"/>
        <v>284.99975000000001</v>
      </c>
    </row>
    <row r="23" spans="1:35" ht="9.75" customHeight="1" x14ac:dyDescent="0.25">
      <c r="A23" s="32" t="s">
        <v>291</v>
      </c>
      <c r="B23" s="18">
        <v>38.630000000000003</v>
      </c>
      <c r="C23" s="18">
        <v>43.77</v>
      </c>
      <c r="D23" s="18">
        <v>17.600000000000001</v>
      </c>
      <c r="E23" s="27">
        <v>30</v>
      </c>
      <c r="F23" s="19">
        <v>17</v>
      </c>
      <c r="G23" s="20">
        <v>24</v>
      </c>
      <c r="H23" s="21">
        <f t="shared" si="4"/>
        <v>301.40112745098037</v>
      </c>
      <c r="I23" s="16"/>
      <c r="J23" s="32" t="s">
        <v>291</v>
      </c>
      <c r="K23" s="18">
        <v>37.659999999999997</v>
      </c>
      <c r="L23" s="18">
        <v>45.19</v>
      </c>
      <c r="M23" s="18">
        <v>17.149999999999999</v>
      </c>
      <c r="N23" s="27">
        <v>30</v>
      </c>
      <c r="O23" s="19">
        <v>18</v>
      </c>
      <c r="P23" s="24">
        <v>24</v>
      </c>
      <c r="Q23" s="21">
        <f t="shared" si="5"/>
        <v>291.9871759259259</v>
      </c>
      <c r="R23" s="9"/>
      <c r="S23" s="32" t="s">
        <v>291</v>
      </c>
      <c r="T23" s="18">
        <v>36.729999999999997</v>
      </c>
      <c r="U23" s="18">
        <v>46.54</v>
      </c>
      <c r="V23" s="18">
        <v>16.73</v>
      </c>
      <c r="W23" s="27">
        <v>30</v>
      </c>
      <c r="X23" s="19">
        <v>19</v>
      </c>
      <c r="Y23" s="24">
        <v>24</v>
      </c>
      <c r="Z23" s="21">
        <f t="shared" si="6"/>
        <v>283.56416666666667</v>
      </c>
      <c r="AB23" s="32" t="s">
        <v>291</v>
      </c>
      <c r="AC23" s="18">
        <v>35.86</v>
      </c>
      <c r="AD23" s="18">
        <v>47.81</v>
      </c>
      <c r="AE23" s="18">
        <v>16.329999999999998</v>
      </c>
      <c r="AF23" s="27">
        <v>30</v>
      </c>
      <c r="AG23" s="19">
        <v>20</v>
      </c>
      <c r="AH23" s="24">
        <v>24</v>
      </c>
      <c r="AI23" s="21">
        <f t="shared" si="7"/>
        <v>275.98345833333332</v>
      </c>
    </row>
    <row r="24" spans="1:35" ht="9.75" customHeight="1" x14ac:dyDescent="0.25">
      <c r="A24" s="32" t="s">
        <v>292</v>
      </c>
      <c r="B24" s="18">
        <v>39.159999999999997</v>
      </c>
      <c r="C24" s="18">
        <v>44.38</v>
      </c>
      <c r="D24" s="18">
        <v>16.46</v>
      </c>
      <c r="E24" s="27">
        <v>30</v>
      </c>
      <c r="F24" s="19">
        <v>17</v>
      </c>
      <c r="G24" s="20">
        <v>26</v>
      </c>
      <c r="H24" s="21">
        <f t="shared" si="4"/>
        <v>297.32135746606332</v>
      </c>
      <c r="I24" s="16"/>
      <c r="J24" s="32" t="s">
        <v>292</v>
      </c>
      <c r="K24" s="18">
        <v>38.159999999999997</v>
      </c>
      <c r="L24" s="18">
        <v>45.79</v>
      </c>
      <c r="M24" s="18">
        <v>16.05</v>
      </c>
      <c r="N24" s="27">
        <v>30</v>
      </c>
      <c r="O24" s="19">
        <v>18</v>
      </c>
      <c r="P24" s="24">
        <v>26</v>
      </c>
      <c r="Q24" s="21">
        <f t="shared" si="5"/>
        <v>288.13405982905982</v>
      </c>
      <c r="R24" s="9"/>
      <c r="S24" s="32" t="s">
        <v>292</v>
      </c>
      <c r="T24" s="18">
        <v>37.21</v>
      </c>
      <c r="U24" s="18">
        <v>47.14</v>
      </c>
      <c r="V24" s="18">
        <v>15.65</v>
      </c>
      <c r="W24" s="27">
        <v>30</v>
      </c>
      <c r="X24" s="19">
        <v>19</v>
      </c>
      <c r="Y24" s="24">
        <v>26</v>
      </c>
      <c r="Z24" s="21">
        <f t="shared" si="6"/>
        <v>279.91384615384612</v>
      </c>
      <c r="AB24" s="32" t="s">
        <v>292</v>
      </c>
      <c r="AC24" s="18">
        <v>36.31</v>
      </c>
      <c r="AD24" s="18">
        <v>48.42</v>
      </c>
      <c r="AE24" s="18">
        <v>15.27</v>
      </c>
      <c r="AF24" s="27">
        <v>30</v>
      </c>
      <c r="AG24" s="19">
        <v>20</v>
      </c>
      <c r="AH24" s="24">
        <v>26</v>
      </c>
      <c r="AI24" s="21">
        <f t="shared" si="7"/>
        <v>272.51565384615384</v>
      </c>
    </row>
    <row r="25" spans="1:35" ht="9.75" customHeight="1" x14ac:dyDescent="0.25">
      <c r="A25" s="32" t="s">
        <v>293</v>
      </c>
      <c r="B25" s="18">
        <v>39.619999999999997</v>
      </c>
      <c r="C25" s="18">
        <v>44.91</v>
      </c>
      <c r="D25" s="18">
        <v>15.47</v>
      </c>
      <c r="E25" s="27">
        <v>30</v>
      </c>
      <c r="F25" s="19">
        <v>17</v>
      </c>
      <c r="G25" s="20">
        <v>28</v>
      </c>
      <c r="H25" s="21">
        <f t="shared" si="4"/>
        <v>293.82441176470587</v>
      </c>
      <c r="I25" s="16"/>
      <c r="J25" s="32" t="s">
        <v>293</v>
      </c>
      <c r="K25" s="18">
        <v>38.61</v>
      </c>
      <c r="L25" s="18">
        <v>46.32</v>
      </c>
      <c r="M25" s="18">
        <v>15.07</v>
      </c>
      <c r="N25" s="27">
        <v>30</v>
      </c>
      <c r="O25" s="19">
        <v>18</v>
      </c>
      <c r="P25" s="24">
        <v>28</v>
      </c>
      <c r="Q25" s="21">
        <f t="shared" si="5"/>
        <v>284.83138888888885</v>
      </c>
      <c r="R25" s="9"/>
      <c r="S25" s="32" t="s">
        <v>293</v>
      </c>
      <c r="T25" s="18">
        <v>37.630000000000003</v>
      </c>
      <c r="U25" s="18">
        <v>47.67</v>
      </c>
      <c r="V25" s="18">
        <v>14.7</v>
      </c>
      <c r="W25" s="27">
        <v>30</v>
      </c>
      <c r="X25" s="19">
        <v>19</v>
      </c>
      <c r="Y25" s="24">
        <v>28</v>
      </c>
      <c r="Z25" s="21">
        <f t="shared" si="6"/>
        <v>276.78499999999997</v>
      </c>
      <c r="AB25" s="32" t="s">
        <v>293</v>
      </c>
      <c r="AC25" s="18">
        <v>36.71</v>
      </c>
      <c r="AD25" s="18">
        <v>48.95</v>
      </c>
      <c r="AE25" s="18">
        <v>14.34</v>
      </c>
      <c r="AF25" s="27">
        <v>30</v>
      </c>
      <c r="AG25" s="19">
        <v>20</v>
      </c>
      <c r="AH25" s="24">
        <v>28</v>
      </c>
      <c r="AI25" s="21">
        <f t="shared" si="7"/>
        <v>269.54325</v>
      </c>
    </row>
    <row r="26" spans="1:35" ht="9.75" customHeight="1" x14ac:dyDescent="0.25">
      <c r="A26" s="32" t="s">
        <v>294</v>
      </c>
      <c r="B26" s="18">
        <v>40.04</v>
      </c>
      <c r="C26" s="18">
        <v>45.37</v>
      </c>
      <c r="D26" s="18">
        <v>14.59</v>
      </c>
      <c r="E26" s="27">
        <v>30</v>
      </c>
      <c r="F26" s="19">
        <v>17</v>
      </c>
      <c r="G26" s="20">
        <v>30</v>
      </c>
      <c r="H26" s="21">
        <f t="shared" si="4"/>
        <v>290.79372549019604</v>
      </c>
      <c r="I26" s="16"/>
      <c r="J26" s="32" t="s">
        <v>294</v>
      </c>
      <c r="K26" s="18">
        <v>38.99</v>
      </c>
      <c r="L26" s="18">
        <v>46.79</v>
      </c>
      <c r="M26" s="18">
        <v>14.22</v>
      </c>
      <c r="N26" s="27">
        <v>30</v>
      </c>
      <c r="O26" s="19">
        <v>18</v>
      </c>
      <c r="P26" s="24">
        <v>30</v>
      </c>
      <c r="Q26" s="21">
        <f t="shared" si="5"/>
        <v>281.96907407407406</v>
      </c>
      <c r="R26" s="9"/>
      <c r="S26" s="32" t="s">
        <v>294</v>
      </c>
      <c r="T26" s="18">
        <v>38.01</v>
      </c>
      <c r="U26" s="18">
        <v>48.14</v>
      </c>
      <c r="V26" s="18">
        <v>13.85</v>
      </c>
      <c r="W26" s="27">
        <v>30</v>
      </c>
      <c r="X26" s="19">
        <v>19</v>
      </c>
      <c r="Y26" s="24">
        <v>30</v>
      </c>
      <c r="Z26" s="21">
        <f t="shared" si="6"/>
        <v>274.07333333333332</v>
      </c>
      <c r="AB26" s="32" t="s">
        <v>294</v>
      </c>
      <c r="AC26" s="18">
        <v>37.07</v>
      </c>
      <c r="AD26" s="18">
        <v>49.42</v>
      </c>
      <c r="AE26" s="18">
        <v>13.51</v>
      </c>
      <c r="AF26" s="27">
        <v>30</v>
      </c>
      <c r="AG26" s="19">
        <v>20</v>
      </c>
      <c r="AH26" s="24">
        <v>30</v>
      </c>
      <c r="AI26" s="21">
        <f t="shared" si="7"/>
        <v>266.96716666666663</v>
      </c>
    </row>
    <row r="27" spans="1:35" x14ac:dyDescent="0.25">
      <c r="A27" s="34"/>
      <c r="B27" s="23"/>
      <c r="C27" s="23"/>
      <c r="D27" s="23"/>
      <c r="E27" s="24"/>
      <c r="F27" s="24"/>
      <c r="G27" s="24"/>
      <c r="H27" s="23"/>
      <c r="I27" s="16"/>
      <c r="J27" s="34"/>
      <c r="K27" s="23"/>
      <c r="L27" s="23"/>
      <c r="M27" s="23"/>
      <c r="N27" s="23"/>
      <c r="O27" s="23"/>
      <c r="P27" s="23"/>
      <c r="Q27" s="23"/>
      <c r="R27" s="9"/>
      <c r="S27" s="34"/>
      <c r="T27" s="23"/>
      <c r="U27" s="23"/>
      <c r="V27" s="23"/>
      <c r="W27" s="23"/>
      <c r="X27" s="23"/>
      <c r="Y27" s="23"/>
      <c r="Z27" s="23"/>
      <c r="AB27" s="34"/>
      <c r="AC27" s="23"/>
      <c r="AD27" s="23"/>
      <c r="AE27" s="23"/>
      <c r="AF27" s="23"/>
      <c r="AG27" s="23"/>
      <c r="AH27" s="23"/>
      <c r="AI27" s="23"/>
    </row>
    <row r="28" spans="1:35" ht="9.75" customHeight="1" x14ac:dyDescent="0.25">
      <c r="A28" s="32" t="s">
        <v>295</v>
      </c>
      <c r="B28" s="18">
        <v>32.49</v>
      </c>
      <c r="C28" s="18">
        <v>34.36</v>
      </c>
      <c r="D28" s="18">
        <v>33.15</v>
      </c>
      <c r="E28" s="27">
        <v>28</v>
      </c>
      <c r="F28" s="19">
        <v>17</v>
      </c>
      <c r="G28" s="20">
        <v>10</v>
      </c>
      <c r="H28" s="21">
        <f t="shared" ref="H28:H37" si="8">59371.2/E28/F28+131.95+21639.1/G28/F28</f>
        <v>383.96823529411768</v>
      </c>
      <c r="I28" s="16"/>
      <c r="J28" s="32" t="s">
        <v>295</v>
      </c>
      <c r="K28" s="18">
        <v>31.85</v>
      </c>
      <c r="L28" s="18">
        <v>35.659999999999997</v>
      </c>
      <c r="M28" s="18">
        <v>32.49</v>
      </c>
      <c r="N28" s="27">
        <v>28</v>
      </c>
      <c r="O28" s="19">
        <v>18</v>
      </c>
      <c r="P28" s="20">
        <v>10</v>
      </c>
      <c r="Q28" s="21">
        <f t="shared" ref="Q28:Q37" si="9">59371.2/N28/O28+131.95+21639.1/P28/O28</f>
        <v>369.96722222222223</v>
      </c>
      <c r="R28" s="9"/>
      <c r="S28" s="32" t="s">
        <v>295</v>
      </c>
      <c r="T28" s="18">
        <v>31.23</v>
      </c>
      <c r="U28" s="18">
        <v>36.909999999999997</v>
      </c>
      <c r="V28" s="18">
        <v>31.86</v>
      </c>
      <c r="W28" s="27">
        <v>28</v>
      </c>
      <c r="X28" s="19">
        <v>19</v>
      </c>
      <c r="Y28" s="20">
        <v>10</v>
      </c>
      <c r="Z28" s="21">
        <f t="shared" ref="Z28:Z37" si="10">59371.2/W28/X28+131.95+21639.1/Y28/X28</f>
        <v>357.44</v>
      </c>
      <c r="AB28" s="32" t="s">
        <v>295</v>
      </c>
      <c r="AC28" s="18">
        <v>30.63</v>
      </c>
      <c r="AD28" s="18">
        <v>38.119999999999997</v>
      </c>
      <c r="AE28" s="18">
        <v>31.25</v>
      </c>
      <c r="AF28" s="27">
        <v>28</v>
      </c>
      <c r="AG28" s="19">
        <v>20</v>
      </c>
      <c r="AH28" s="20">
        <v>10</v>
      </c>
      <c r="AI28" s="21">
        <f t="shared" ref="AI28:AI37" si="11">59371.2/AF28/AG28+131.95+21639.1/AH28/AG28</f>
        <v>346.16550000000001</v>
      </c>
    </row>
    <row r="29" spans="1:35" ht="9.75" customHeight="1" x14ac:dyDescent="0.25">
      <c r="A29" s="32" t="s">
        <v>296</v>
      </c>
      <c r="B29" s="18">
        <v>34.39</v>
      </c>
      <c r="C29" s="18">
        <v>36.369999999999997</v>
      </c>
      <c r="D29" s="18">
        <v>29.24</v>
      </c>
      <c r="E29" s="27">
        <v>28</v>
      </c>
      <c r="F29" s="19">
        <v>17</v>
      </c>
      <c r="G29" s="20">
        <v>12</v>
      </c>
      <c r="H29" s="21">
        <f t="shared" si="8"/>
        <v>362.75343137254902</v>
      </c>
      <c r="I29" s="16"/>
      <c r="J29" s="32" t="s">
        <v>296</v>
      </c>
      <c r="K29" s="18">
        <v>33.659999999999997</v>
      </c>
      <c r="L29" s="18">
        <v>37.71</v>
      </c>
      <c r="M29" s="18">
        <v>28.63</v>
      </c>
      <c r="N29" s="27">
        <v>28</v>
      </c>
      <c r="O29" s="19">
        <v>18</v>
      </c>
      <c r="P29" s="20">
        <v>12</v>
      </c>
      <c r="Q29" s="21">
        <f t="shared" si="9"/>
        <v>349.9310185185185</v>
      </c>
      <c r="R29" s="9"/>
      <c r="S29" s="32" t="s">
        <v>296</v>
      </c>
      <c r="T29" s="18">
        <v>32.979999999999997</v>
      </c>
      <c r="U29" s="18">
        <v>38.979999999999997</v>
      </c>
      <c r="V29" s="18">
        <v>28.04</v>
      </c>
      <c r="W29" s="27">
        <v>28</v>
      </c>
      <c r="X29" s="19">
        <v>19</v>
      </c>
      <c r="Y29" s="20">
        <v>12</v>
      </c>
      <c r="Z29" s="21">
        <f t="shared" si="10"/>
        <v>338.45833333333337</v>
      </c>
      <c r="AB29" s="32" t="s">
        <v>296</v>
      </c>
      <c r="AC29" s="18">
        <v>32.31</v>
      </c>
      <c r="AD29" s="18">
        <v>40.21</v>
      </c>
      <c r="AE29" s="18">
        <v>27.48</v>
      </c>
      <c r="AF29" s="27">
        <v>28</v>
      </c>
      <c r="AG29" s="19">
        <v>20</v>
      </c>
      <c r="AH29" s="20">
        <v>12</v>
      </c>
      <c r="AI29" s="21">
        <f t="shared" si="11"/>
        <v>328.13291666666669</v>
      </c>
    </row>
    <row r="30" spans="1:35" ht="9.75" customHeight="1" x14ac:dyDescent="0.25">
      <c r="A30" s="32" t="s">
        <v>297</v>
      </c>
      <c r="B30" s="18">
        <v>35.89</v>
      </c>
      <c r="C30" s="18">
        <v>37.96</v>
      </c>
      <c r="D30" s="18">
        <v>26.15</v>
      </c>
      <c r="E30" s="27">
        <v>28</v>
      </c>
      <c r="F30" s="19">
        <v>17</v>
      </c>
      <c r="G30" s="20">
        <v>14</v>
      </c>
      <c r="H30" s="21">
        <f t="shared" si="8"/>
        <v>347.6</v>
      </c>
      <c r="I30" s="16"/>
      <c r="J30" s="32" t="s">
        <v>297</v>
      </c>
      <c r="K30" s="18">
        <v>35.1</v>
      </c>
      <c r="L30" s="18">
        <v>39.31</v>
      </c>
      <c r="M30" s="18">
        <v>25.59</v>
      </c>
      <c r="N30" s="27">
        <v>28</v>
      </c>
      <c r="O30" s="19">
        <v>18</v>
      </c>
      <c r="P30" s="20">
        <v>14</v>
      </c>
      <c r="Q30" s="21">
        <f t="shared" si="9"/>
        <v>335.61944444444441</v>
      </c>
      <c r="R30" s="9"/>
      <c r="S30" s="32" t="s">
        <v>297</v>
      </c>
      <c r="T30" s="18">
        <v>34.35</v>
      </c>
      <c r="U30" s="18">
        <v>40.61</v>
      </c>
      <c r="V30" s="18">
        <v>25.04</v>
      </c>
      <c r="W30" s="27">
        <v>28</v>
      </c>
      <c r="X30" s="19">
        <v>19</v>
      </c>
      <c r="Y30" s="20">
        <v>14</v>
      </c>
      <c r="Z30" s="21">
        <f t="shared" si="10"/>
        <v>324.89999999999998</v>
      </c>
      <c r="AB30" s="32" t="s">
        <v>297</v>
      </c>
      <c r="AC30" s="18">
        <v>33.64</v>
      </c>
      <c r="AD30" s="18">
        <v>41.85</v>
      </c>
      <c r="AE30" s="18">
        <v>24.51</v>
      </c>
      <c r="AF30" s="27">
        <v>28</v>
      </c>
      <c r="AG30" s="19">
        <v>20</v>
      </c>
      <c r="AH30" s="20">
        <v>14</v>
      </c>
      <c r="AI30" s="21">
        <f t="shared" si="11"/>
        <v>315.2525</v>
      </c>
    </row>
    <row r="31" spans="1:35" ht="9.75" customHeight="1" x14ac:dyDescent="0.25">
      <c r="A31" s="32" t="s">
        <v>298</v>
      </c>
      <c r="B31" s="18">
        <v>37.1</v>
      </c>
      <c r="C31" s="18">
        <v>39.24</v>
      </c>
      <c r="D31" s="18">
        <v>23.66</v>
      </c>
      <c r="E31" s="27">
        <v>28</v>
      </c>
      <c r="F31" s="19">
        <v>17</v>
      </c>
      <c r="G31" s="20">
        <v>16</v>
      </c>
      <c r="H31" s="21">
        <f t="shared" si="8"/>
        <v>336.23492647058822</v>
      </c>
      <c r="I31" s="16"/>
      <c r="J31" s="32" t="s">
        <v>298</v>
      </c>
      <c r="K31" s="18">
        <v>36.26</v>
      </c>
      <c r="L31" s="18">
        <v>40.61</v>
      </c>
      <c r="M31" s="18">
        <v>23.13</v>
      </c>
      <c r="N31" s="27">
        <v>28</v>
      </c>
      <c r="O31" s="19">
        <v>18</v>
      </c>
      <c r="P31" s="20">
        <v>16</v>
      </c>
      <c r="Q31" s="21">
        <f t="shared" si="9"/>
        <v>324.8857638888889</v>
      </c>
      <c r="R31" s="9"/>
      <c r="S31" s="32" t="s">
        <v>298</v>
      </c>
      <c r="T31" s="18">
        <v>35.46</v>
      </c>
      <c r="U31" s="18">
        <v>41.92</v>
      </c>
      <c r="V31" s="18">
        <v>22.62</v>
      </c>
      <c r="W31" s="27">
        <v>28</v>
      </c>
      <c r="X31" s="19">
        <v>19</v>
      </c>
      <c r="Y31" s="20">
        <v>16</v>
      </c>
      <c r="Z31" s="21">
        <f t="shared" si="10"/>
        <v>314.73124999999999</v>
      </c>
      <c r="AB31" s="32" t="s">
        <v>298</v>
      </c>
      <c r="AC31" s="18">
        <v>34.700000000000003</v>
      </c>
      <c r="AD31" s="18">
        <v>43.17</v>
      </c>
      <c r="AE31" s="18">
        <v>22.13</v>
      </c>
      <c r="AF31" s="27">
        <v>28</v>
      </c>
      <c r="AG31" s="19">
        <v>20</v>
      </c>
      <c r="AH31" s="20">
        <v>16</v>
      </c>
      <c r="AI31" s="21">
        <f t="shared" si="11"/>
        <v>305.59218750000002</v>
      </c>
    </row>
    <row r="32" spans="1:35" ht="9.75" customHeight="1" x14ac:dyDescent="0.25">
      <c r="A32" s="32" t="s">
        <v>299</v>
      </c>
      <c r="B32" s="18">
        <v>38.1</v>
      </c>
      <c r="C32" s="18">
        <v>40.299999999999997</v>
      </c>
      <c r="D32" s="18">
        <v>21.6</v>
      </c>
      <c r="E32" s="27">
        <v>28</v>
      </c>
      <c r="F32" s="19">
        <v>17</v>
      </c>
      <c r="G32" s="20">
        <v>18</v>
      </c>
      <c r="H32" s="21">
        <f t="shared" si="8"/>
        <v>327.39542483660131</v>
      </c>
      <c r="I32" s="16"/>
      <c r="J32" s="32" t="s">
        <v>299</v>
      </c>
      <c r="K32" s="18">
        <v>37.22</v>
      </c>
      <c r="L32" s="18">
        <v>41.68</v>
      </c>
      <c r="M32" s="18">
        <v>21.1</v>
      </c>
      <c r="N32" s="27">
        <v>28</v>
      </c>
      <c r="O32" s="19">
        <v>18</v>
      </c>
      <c r="P32" s="20">
        <v>18</v>
      </c>
      <c r="Q32" s="21">
        <f t="shared" si="9"/>
        <v>316.53734567901233</v>
      </c>
      <c r="R32" s="9"/>
      <c r="S32" s="32" t="s">
        <v>299</v>
      </c>
      <c r="T32" s="18">
        <v>36.380000000000003</v>
      </c>
      <c r="U32" s="18">
        <v>43</v>
      </c>
      <c r="V32" s="18">
        <v>20.62</v>
      </c>
      <c r="W32" s="27">
        <v>28</v>
      </c>
      <c r="X32" s="19">
        <v>19</v>
      </c>
      <c r="Y32" s="20">
        <v>18</v>
      </c>
      <c r="Z32" s="21">
        <f t="shared" si="10"/>
        <v>306.82222222222225</v>
      </c>
      <c r="AB32" s="32" t="s">
        <v>299</v>
      </c>
      <c r="AC32" s="18">
        <v>35.57</v>
      </c>
      <c r="AD32" s="18">
        <v>44.26</v>
      </c>
      <c r="AE32" s="18">
        <v>20.170000000000002</v>
      </c>
      <c r="AF32" s="27">
        <v>28</v>
      </c>
      <c r="AG32" s="19">
        <v>20</v>
      </c>
      <c r="AH32" s="20">
        <v>18</v>
      </c>
      <c r="AI32" s="21">
        <f t="shared" si="11"/>
        <v>298.07861111111112</v>
      </c>
    </row>
    <row r="33" spans="1:35" ht="9.75" customHeight="1" x14ac:dyDescent="0.25">
      <c r="A33" s="32" t="s">
        <v>300</v>
      </c>
      <c r="B33" s="18">
        <v>38.94</v>
      </c>
      <c r="C33" s="18">
        <v>41.19</v>
      </c>
      <c r="D33" s="18">
        <v>19.87</v>
      </c>
      <c r="E33" s="27">
        <v>28</v>
      </c>
      <c r="F33" s="19">
        <v>17</v>
      </c>
      <c r="G33" s="20">
        <v>20</v>
      </c>
      <c r="H33" s="21">
        <f t="shared" si="8"/>
        <v>320.32382352941175</v>
      </c>
      <c r="I33" s="16"/>
      <c r="J33" s="32" t="s">
        <v>300</v>
      </c>
      <c r="K33" s="18">
        <v>38.020000000000003</v>
      </c>
      <c r="L33" s="18">
        <v>42.58</v>
      </c>
      <c r="M33" s="18">
        <v>19.399999999999999</v>
      </c>
      <c r="N33" s="27">
        <v>28</v>
      </c>
      <c r="O33" s="19">
        <v>18</v>
      </c>
      <c r="P33" s="20">
        <v>20</v>
      </c>
      <c r="Q33" s="21">
        <f t="shared" si="9"/>
        <v>309.85861111111109</v>
      </c>
      <c r="R33" s="9"/>
      <c r="S33" s="32" t="s">
        <v>300</v>
      </c>
      <c r="T33" s="18">
        <v>37.14</v>
      </c>
      <c r="U33" s="18">
        <v>43.91</v>
      </c>
      <c r="V33" s="18">
        <v>18.95</v>
      </c>
      <c r="W33" s="27">
        <v>28</v>
      </c>
      <c r="X33" s="19">
        <v>19</v>
      </c>
      <c r="Y33" s="20">
        <v>20</v>
      </c>
      <c r="Z33" s="21">
        <f t="shared" si="10"/>
        <v>300.495</v>
      </c>
      <c r="AB33" s="32" t="s">
        <v>300</v>
      </c>
      <c r="AC33" s="18">
        <v>36.299999999999997</v>
      </c>
      <c r="AD33" s="18">
        <v>45.18</v>
      </c>
      <c r="AE33" s="18">
        <v>18.52</v>
      </c>
      <c r="AF33" s="27">
        <v>28</v>
      </c>
      <c r="AG33" s="19">
        <v>20</v>
      </c>
      <c r="AH33" s="20">
        <v>20</v>
      </c>
      <c r="AI33" s="21">
        <f t="shared" si="11"/>
        <v>292.06774999999999</v>
      </c>
    </row>
    <row r="34" spans="1:35" ht="9.75" customHeight="1" x14ac:dyDescent="0.25">
      <c r="A34" s="32" t="s">
        <v>301</v>
      </c>
      <c r="B34" s="18">
        <v>40.270000000000003</v>
      </c>
      <c r="C34" s="18">
        <v>42.6</v>
      </c>
      <c r="D34" s="18">
        <v>17.13</v>
      </c>
      <c r="E34" s="27">
        <v>28</v>
      </c>
      <c r="F34" s="19">
        <v>17</v>
      </c>
      <c r="G34" s="20">
        <v>24</v>
      </c>
      <c r="H34" s="21">
        <f t="shared" si="8"/>
        <v>309.71642156862742</v>
      </c>
      <c r="I34" s="16"/>
      <c r="J34" s="32" t="s">
        <v>301</v>
      </c>
      <c r="K34" s="18">
        <v>39.29</v>
      </c>
      <c r="L34" s="18">
        <v>44</v>
      </c>
      <c r="M34" s="18">
        <v>16.71</v>
      </c>
      <c r="N34" s="27">
        <v>28</v>
      </c>
      <c r="O34" s="19">
        <v>18</v>
      </c>
      <c r="P34" s="20">
        <v>24</v>
      </c>
      <c r="Q34" s="21">
        <f t="shared" si="9"/>
        <v>299.84050925925925</v>
      </c>
      <c r="R34" s="9"/>
      <c r="S34" s="32" t="s">
        <v>301</v>
      </c>
      <c r="T34" s="18">
        <v>38.35</v>
      </c>
      <c r="U34" s="18">
        <v>45.34</v>
      </c>
      <c r="V34" s="18">
        <v>16.309999999999999</v>
      </c>
      <c r="W34" s="27">
        <v>28</v>
      </c>
      <c r="X34" s="19">
        <v>19</v>
      </c>
      <c r="Y34" s="20">
        <v>24</v>
      </c>
      <c r="Z34" s="21">
        <f t="shared" si="10"/>
        <v>291.00416666666666</v>
      </c>
      <c r="AB34" s="32" t="s">
        <v>301</v>
      </c>
      <c r="AC34" s="18">
        <v>37.46</v>
      </c>
      <c r="AD34" s="18">
        <v>46.61</v>
      </c>
      <c r="AE34" s="18">
        <v>15.93</v>
      </c>
      <c r="AF34" s="27">
        <v>28</v>
      </c>
      <c r="AG34" s="19">
        <v>20</v>
      </c>
      <c r="AH34" s="20">
        <v>24</v>
      </c>
      <c r="AI34" s="21">
        <f t="shared" si="11"/>
        <v>283.05145833333336</v>
      </c>
    </row>
    <row r="35" spans="1:35" ht="9.75" customHeight="1" x14ac:dyDescent="0.25">
      <c r="A35" s="32" t="s">
        <v>302</v>
      </c>
      <c r="B35" s="18">
        <v>40.81</v>
      </c>
      <c r="C35" s="18">
        <v>43.17</v>
      </c>
      <c r="D35" s="18">
        <v>16.02</v>
      </c>
      <c r="E35" s="27">
        <v>28</v>
      </c>
      <c r="F35" s="19">
        <v>17</v>
      </c>
      <c r="G35" s="20">
        <v>26</v>
      </c>
      <c r="H35" s="21">
        <f t="shared" si="8"/>
        <v>305.63665158371043</v>
      </c>
      <c r="I35" s="16"/>
      <c r="J35" s="32" t="s">
        <v>302</v>
      </c>
      <c r="K35" s="18">
        <v>39.799999999999997</v>
      </c>
      <c r="L35" s="18">
        <v>44.58</v>
      </c>
      <c r="M35" s="18">
        <v>15.62</v>
      </c>
      <c r="N35" s="27">
        <v>28</v>
      </c>
      <c r="O35" s="19">
        <v>18</v>
      </c>
      <c r="P35" s="20">
        <v>26</v>
      </c>
      <c r="Q35" s="21">
        <f t="shared" si="9"/>
        <v>295.98739316239318</v>
      </c>
      <c r="R35" s="9"/>
      <c r="S35" s="32" t="s">
        <v>302</v>
      </c>
      <c r="T35" s="18">
        <v>38.840000000000003</v>
      </c>
      <c r="U35" s="18">
        <v>45.92</v>
      </c>
      <c r="V35" s="18">
        <v>15.24</v>
      </c>
      <c r="W35" s="27">
        <v>28</v>
      </c>
      <c r="X35" s="19">
        <v>19</v>
      </c>
      <c r="Y35" s="20">
        <v>26</v>
      </c>
      <c r="Z35" s="21">
        <f t="shared" si="10"/>
        <v>287.35384615384618</v>
      </c>
      <c r="AB35" s="32" t="s">
        <v>302</v>
      </c>
      <c r="AC35" s="18">
        <v>37.93</v>
      </c>
      <c r="AD35" s="18">
        <v>47.19</v>
      </c>
      <c r="AE35" s="18">
        <v>14.88</v>
      </c>
      <c r="AF35" s="27">
        <v>28</v>
      </c>
      <c r="AG35" s="19">
        <v>20</v>
      </c>
      <c r="AH35" s="20">
        <v>26</v>
      </c>
      <c r="AI35" s="21">
        <f t="shared" si="11"/>
        <v>279.58365384615382</v>
      </c>
    </row>
    <row r="36" spans="1:35" ht="9.75" customHeight="1" x14ac:dyDescent="0.25">
      <c r="A36" s="32" t="s">
        <v>303</v>
      </c>
      <c r="B36" s="18">
        <v>41.28</v>
      </c>
      <c r="C36" s="18">
        <v>43.67</v>
      </c>
      <c r="D36" s="18">
        <v>15.05</v>
      </c>
      <c r="E36" s="27">
        <v>28</v>
      </c>
      <c r="F36" s="19">
        <v>17</v>
      </c>
      <c r="G36" s="20">
        <v>28</v>
      </c>
      <c r="H36" s="21">
        <f t="shared" si="8"/>
        <v>302.13970588235293</v>
      </c>
      <c r="I36" s="16"/>
      <c r="J36" s="32" t="s">
        <v>303</v>
      </c>
      <c r="K36" s="18">
        <v>40.25</v>
      </c>
      <c r="L36" s="18">
        <v>45.08</v>
      </c>
      <c r="M36" s="18">
        <v>14.67</v>
      </c>
      <c r="N36" s="27">
        <v>28</v>
      </c>
      <c r="O36" s="19">
        <v>18</v>
      </c>
      <c r="P36" s="20">
        <v>28</v>
      </c>
      <c r="Q36" s="21">
        <f t="shared" si="9"/>
        <v>292.68472222222221</v>
      </c>
      <c r="R36" s="9"/>
      <c r="S36" s="32" t="s">
        <v>303</v>
      </c>
      <c r="T36" s="18">
        <v>39.270000000000003</v>
      </c>
      <c r="U36" s="18">
        <v>46.42</v>
      </c>
      <c r="V36" s="18">
        <v>14.31</v>
      </c>
      <c r="W36" s="27">
        <v>28</v>
      </c>
      <c r="X36" s="19">
        <v>19</v>
      </c>
      <c r="Y36" s="20">
        <v>28</v>
      </c>
      <c r="Z36" s="21">
        <f t="shared" si="10"/>
        <v>284.22500000000002</v>
      </c>
      <c r="AB36" s="32" t="s">
        <v>303</v>
      </c>
      <c r="AC36" s="18">
        <v>38.33</v>
      </c>
      <c r="AD36" s="18">
        <v>47.7</v>
      </c>
      <c r="AE36" s="18">
        <v>13.97</v>
      </c>
      <c r="AF36" s="27">
        <v>28</v>
      </c>
      <c r="AG36" s="19">
        <v>20</v>
      </c>
      <c r="AH36" s="20">
        <v>28</v>
      </c>
      <c r="AI36" s="21">
        <f t="shared" si="11"/>
        <v>276.61124999999998</v>
      </c>
    </row>
    <row r="37" spans="1:35" ht="9.75" customHeight="1" x14ac:dyDescent="0.25">
      <c r="A37" s="32" t="s">
        <v>304</v>
      </c>
      <c r="B37" s="18">
        <v>41.7</v>
      </c>
      <c r="C37" s="18">
        <v>44.11</v>
      </c>
      <c r="D37" s="18">
        <v>14.19</v>
      </c>
      <c r="E37" s="27">
        <v>28</v>
      </c>
      <c r="F37" s="19">
        <v>17</v>
      </c>
      <c r="G37" s="20">
        <v>30</v>
      </c>
      <c r="H37" s="21">
        <f t="shared" si="8"/>
        <v>299.10901960784315</v>
      </c>
      <c r="I37" s="16"/>
      <c r="J37" s="32" t="s">
        <v>304</v>
      </c>
      <c r="K37" s="18">
        <v>40.65</v>
      </c>
      <c r="L37" s="18">
        <v>45.52</v>
      </c>
      <c r="M37" s="18">
        <v>13.83</v>
      </c>
      <c r="N37" s="27">
        <v>28</v>
      </c>
      <c r="O37" s="19">
        <v>18</v>
      </c>
      <c r="P37" s="20">
        <v>30</v>
      </c>
      <c r="Q37" s="21">
        <f t="shared" si="9"/>
        <v>289.82240740740741</v>
      </c>
      <c r="R37" s="9"/>
      <c r="S37" s="32" t="s">
        <v>304</v>
      </c>
      <c r="T37" s="18">
        <v>39.65</v>
      </c>
      <c r="U37" s="18">
        <v>46.86</v>
      </c>
      <c r="V37" s="18">
        <v>13.49</v>
      </c>
      <c r="W37" s="27">
        <v>28</v>
      </c>
      <c r="X37" s="19">
        <v>19</v>
      </c>
      <c r="Y37" s="20">
        <v>30</v>
      </c>
      <c r="Z37" s="21">
        <f t="shared" si="10"/>
        <v>281.51333333333332</v>
      </c>
      <c r="AB37" s="32" t="s">
        <v>304</v>
      </c>
      <c r="AC37" s="18">
        <v>38.69</v>
      </c>
      <c r="AD37" s="18">
        <v>48.15</v>
      </c>
      <c r="AE37" s="18">
        <v>13.16</v>
      </c>
      <c r="AF37" s="27">
        <v>28</v>
      </c>
      <c r="AG37" s="19">
        <v>20</v>
      </c>
      <c r="AH37" s="20">
        <v>30</v>
      </c>
      <c r="AI37" s="21">
        <f t="shared" si="11"/>
        <v>274.03516666666667</v>
      </c>
    </row>
    <row r="38" spans="1:35" x14ac:dyDescent="0.25">
      <c r="A38" s="35"/>
      <c r="B38" s="23"/>
      <c r="C38" s="23"/>
      <c r="D38" s="23"/>
      <c r="E38" s="24"/>
      <c r="F38" s="24"/>
      <c r="G38" s="20"/>
      <c r="H38" s="23"/>
      <c r="I38" s="16"/>
      <c r="J38" s="35"/>
      <c r="K38" s="23"/>
      <c r="L38" s="23"/>
      <c r="M38" s="23"/>
      <c r="N38" s="24"/>
      <c r="O38" s="23"/>
      <c r="P38" s="20"/>
      <c r="Q38" s="23"/>
      <c r="R38" s="9"/>
      <c r="S38" s="35"/>
      <c r="T38" s="23"/>
      <c r="U38" s="23"/>
      <c r="V38" s="23"/>
      <c r="W38" s="24"/>
      <c r="X38" s="23"/>
      <c r="Y38" s="20"/>
      <c r="Z38" s="23"/>
      <c r="AB38" s="35"/>
      <c r="AC38" s="23"/>
      <c r="AD38" s="23"/>
      <c r="AE38" s="23"/>
      <c r="AF38" s="24"/>
      <c r="AG38" s="23"/>
      <c r="AH38" s="20"/>
      <c r="AI38" s="23"/>
    </row>
    <row r="39" spans="1:35" ht="9.75" customHeight="1" x14ac:dyDescent="0.25">
      <c r="A39" s="32" t="s">
        <v>305</v>
      </c>
      <c r="B39" s="18">
        <v>34.130000000000003</v>
      </c>
      <c r="C39" s="18">
        <v>33.53</v>
      </c>
      <c r="D39" s="18">
        <v>32.340000000000003</v>
      </c>
      <c r="E39" s="27">
        <v>26</v>
      </c>
      <c r="F39" s="19">
        <v>17</v>
      </c>
      <c r="G39" s="20">
        <v>10</v>
      </c>
      <c r="H39" s="21">
        <f t="shared" ref="H39:H48" si="12">59371.2/E39/F39+131.95+21639.1/G39/F39</f>
        <v>393.56280542986417</v>
      </c>
      <c r="I39" s="16"/>
      <c r="J39" s="32" t="s">
        <v>305</v>
      </c>
      <c r="K39" s="18">
        <v>33.47</v>
      </c>
      <c r="L39" s="18">
        <v>34.81</v>
      </c>
      <c r="M39" s="18">
        <v>31.72</v>
      </c>
      <c r="N39" s="27">
        <v>26</v>
      </c>
      <c r="O39" s="19">
        <v>18</v>
      </c>
      <c r="P39" s="20">
        <v>10</v>
      </c>
      <c r="Q39" s="21">
        <f t="shared" ref="Q39:Q48" si="13">59371.2/N39/O39+131.95+21639.1/P39/O39</f>
        <v>379.02876068376071</v>
      </c>
      <c r="R39" s="9"/>
      <c r="S39" s="32" t="s">
        <v>305</v>
      </c>
      <c r="T39" s="18">
        <v>32.83</v>
      </c>
      <c r="U39" s="18">
        <v>36.049999999999997</v>
      </c>
      <c r="V39" s="18">
        <v>31.12</v>
      </c>
      <c r="W39" s="27">
        <v>26</v>
      </c>
      <c r="X39" s="19">
        <v>19</v>
      </c>
      <c r="Y39" s="20">
        <v>10</v>
      </c>
      <c r="Z39" s="21">
        <f t="shared" ref="Z39:Z48" si="14">59371.2/W39/X39+131.95+21639.1/Y39/X39</f>
        <v>366.02461538461534</v>
      </c>
      <c r="AB39" s="32" t="s">
        <v>305</v>
      </c>
      <c r="AC39" s="18">
        <v>32.22</v>
      </c>
      <c r="AD39" s="18">
        <v>37.24</v>
      </c>
      <c r="AE39" s="18">
        <v>30.54</v>
      </c>
      <c r="AF39" s="27">
        <v>26</v>
      </c>
      <c r="AG39" s="19">
        <v>20</v>
      </c>
      <c r="AH39" s="20">
        <v>10</v>
      </c>
      <c r="AI39" s="21">
        <f t="shared" ref="AI39:AI48" si="15">59371.2/AF39/AG39+131.95+21639.1/AH39/AG39</f>
        <v>354.32088461538461</v>
      </c>
    </row>
    <row r="40" spans="1:35" ht="9.75" customHeight="1" x14ac:dyDescent="0.25">
      <c r="A40" s="32" t="s">
        <v>306</v>
      </c>
      <c r="B40" s="18">
        <v>36.08</v>
      </c>
      <c r="C40" s="18">
        <v>35.44</v>
      </c>
      <c r="D40" s="18">
        <v>28.48</v>
      </c>
      <c r="E40" s="27">
        <v>26</v>
      </c>
      <c r="F40" s="19">
        <v>17</v>
      </c>
      <c r="G40" s="20">
        <v>12</v>
      </c>
      <c r="H40" s="21">
        <f t="shared" si="12"/>
        <v>372.34800150829557</v>
      </c>
      <c r="I40" s="16"/>
      <c r="J40" s="32" t="s">
        <v>306</v>
      </c>
      <c r="K40" s="18">
        <v>35.340000000000003</v>
      </c>
      <c r="L40" s="18">
        <v>36.75</v>
      </c>
      <c r="M40" s="18">
        <v>27.91</v>
      </c>
      <c r="N40" s="27">
        <v>26</v>
      </c>
      <c r="O40" s="19">
        <v>18</v>
      </c>
      <c r="P40" s="20">
        <v>12</v>
      </c>
      <c r="Q40" s="21">
        <f t="shared" si="13"/>
        <v>358.99255698005697</v>
      </c>
      <c r="R40" s="9"/>
      <c r="S40" s="32" t="s">
        <v>306</v>
      </c>
      <c r="T40" s="18">
        <v>34.630000000000003</v>
      </c>
      <c r="U40" s="18">
        <v>38.020000000000003</v>
      </c>
      <c r="V40" s="18">
        <v>27.35</v>
      </c>
      <c r="W40" s="27">
        <v>26</v>
      </c>
      <c r="X40" s="19">
        <v>19</v>
      </c>
      <c r="Y40" s="20">
        <v>12</v>
      </c>
      <c r="Z40" s="21">
        <f t="shared" si="14"/>
        <v>347.04294871794866</v>
      </c>
      <c r="AB40" s="32" t="s">
        <v>306</v>
      </c>
      <c r="AC40" s="18">
        <v>33.950000000000003</v>
      </c>
      <c r="AD40" s="18">
        <v>39.24</v>
      </c>
      <c r="AE40" s="18">
        <v>26.81</v>
      </c>
      <c r="AF40" s="27">
        <v>26</v>
      </c>
      <c r="AG40" s="19">
        <v>20</v>
      </c>
      <c r="AH40" s="20">
        <v>12</v>
      </c>
      <c r="AI40" s="21">
        <f t="shared" si="15"/>
        <v>336.28830128205129</v>
      </c>
    </row>
    <row r="41" spans="1:35" ht="9.75" customHeight="1" x14ac:dyDescent="0.25">
      <c r="A41" s="32" t="s">
        <v>307</v>
      </c>
      <c r="B41" s="18">
        <v>37.61</v>
      </c>
      <c r="C41" s="18">
        <v>36.94</v>
      </c>
      <c r="D41" s="18">
        <v>25.45</v>
      </c>
      <c r="E41" s="27">
        <v>26</v>
      </c>
      <c r="F41" s="19">
        <v>17</v>
      </c>
      <c r="G41" s="20">
        <v>14</v>
      </c>
      <c r="H41" s="21">
        <f t="shared" si="12"/>
        <v>357.19457013574652</v>
      </c>
      <c r="I41" s="16"/>
      <c r="J41" s="32" t="s">
        <v>307</v>
      </c>
      <c r="K41" s="18">
        <v>36.81</v>
      </c>
      <c r="L41" s="18">
        <v>38.28</v>
      </c>
      <c r="M41" s="18">
        <v>24.91</v>
      </c>
      <c r="N41" s="27">
        <v>26</v>
      </c>
      <c r="O41" s="19">
        <v>18</v>
      </c>
      <c r="P41" s="20">
        <v>14</v>
      </c>
      <c r="Q41" s="21">
        <f t="shared" si="13"/>
        <v>344.68098290598289</v>
      </c>
      <c r="R41" s="9"/>
      <c r="S41" s="32" t="s">
        <v>307</v>
      </c>
      <c r="T41" s="18">
        <v>36.04</v>
      </c>
      <c r="U41" s="18">
        <v>39.57</v>
      </c>
      <c r="V41" s="18">
        <v>24.39</v>
      </c>
      <c r="W41" s="27">
        <v>26</v>
      </c>
      <c r="X41" s="19">
        <v>19</v>
      </c>
      <c r="Y41" s="20">
        <v>14</v>
      </c>
      <c r="Z41" s="21">
        <f t="shared" si="14"/>
        <v>333.48461538461538</v>
      </c>
      <c r="AB41" s="32" t="s">
        <v>307</v>
      </c>
      <c r="AC41" s="18">
        <v>35.299999999999997</v>
      </c>
      <c r="AD41" s="18">
        <v>40.799999999999997</v>
      </c>
      <c r="AE41" s="18">
        <v>23.9</v>
      </c>
      <c r="AF41" s="27">
        <v>26</v>
      </c>
      <c r="AG41" s="19">
        <v>20</v>
      </c>
      <c r="AH41" s="20">
        <v>14</v>
      </c>
      <c r="AI41" s="21">
        <f t="shared" si="15"/>
        <v>323.4078846153846</v>
      </c>
    </row>
    <row r="42" spans="1:35" ht="9.75" customHeight="1" x14ac:dyDescent="0.25">
      <c r="A42" s="32" t="s">
        <v>308</v>
      </c>
      <c r="B42" s="18">
        <v>38.85</v>
      </c>
      <c r="C42" s="18">
        <v>38.15</v>
      </c>
      <c r="D42" s="18">
        <v>23</v>
      </c>
      <c r="E42" s="27">
        <v>26</v>
      </c>
      <c r="F42" s="19">
        <v>17</v>
      </c>
      <c r="G42" s="20">
        <v>16</v>
      </c>
      <c r="H42" s="21">
        <f t="shared" si="12"/>
        <v>345.82949660633477</v>
      </c>
      <c r="I42" s="16"/>
      <c r="J42" s="32" t="s">
        <v>308</v>
      </c>
      <c r="K42" s="18">
        <v>37.99</v>
      </c>
      <c r="L42" s="18">
        <v>39.51</v>
      </c>
      <c r="M42" s="18">
        <v>22.5</v>
      </c>
      <c r="N42" s="27">
        <v>26</v>
      </c>
      <c r="O42" s="19">
        <v>18</v>
      </c>
      <c r="P42" s="20">
        <v>16</v>
      </c>
      <c r="Q42" s="21">
        <f t="shared" si="13"/>
        <v>333.94730235042738</v>
      </c>
      <c r="R42" s="9"/>
      <c r="S42" s="32" t="s">
        <v>308</v>
      </c>
      <c r="T42" s="18">
        <v>37.17</v>
      </c>
      <c r="U42" s="18">
        <v>40.81</v>
      </c>
      <c r="V42" s="18">
        <v>22.02</v>
      </c>
      <c r="W42" s="27">
        <v>26</v>
      </c>
      <c r="X42" s="19">
        <v>19</v>
      </c>
      <c r="Y42" s="20">
        <v>16</v>
      </c>
      <c r="Z42" s="21">
        <f t="shared" si="14"/>
        <v>323.31586538461534</v>
      </c>
      <c r="AB42" s="32" t="s">
        <v>308</v>
      </c>
      <c r="AC42" s="18">
        <v>36.4</v>
      </c>
      <c r="AD42" s="18">
        <v>42.05</v>
      </c>
      <c r="AE42" s="18">
        <v>21.55</v>
      </c>
      <c r="AF42" s="27">
        <v>26</v>
      </c>
      <c r="AG42" s="19">
        <v>20</v>
      </c>
      <c r="AH42" s="20">
        <v>16</v>
      </c>
      <c r="AI42" s="21">
        <f t="shared" si="15"/>
        <v>313.74757211538463</v>
      </c>
    </row>
    <row r="43" spans="1:35" ht="9.75" customHeight="1" x14ac:dyDescent="0.25">
      <c r="A43" s="32" t="s">
        <v>309</v>
      </c>
      <c r="B43" s="18">
        <v>39.869999999999997</v>
      </c>
      <c r="C43" s="18">
        <v>39.15</v>
      </c>
      <c r="D43" s="18">
        <v>20.98</v>
      </c>
      <c r="E43" s="27">
        <v>26</v>
      </c>
      <c r="F43" s="19">
        <v>17</v>
      </c>
      <c r="G43" s="20">
        <v>18</v>
      </c>
      <c r="H43" s="21">
        <f t="shared" si="12"/>
        <v>336.98999497234786</v>
      </c>
      <c r="I43" s="16"/>
      <c r="J43" s="32" t="s">
        <v>309</v>
      </c>
      <c r="K43" s="18">
        <v>38.97</v>
      </c>
      <c r="L43" s="18">
        <v>40.520000000000003</v>
      </c>
      <c r="M43" s="18">
        <v>20.51</v>
      </c>
      <c r="N43" s="27">
        <v>26</v>
      </c>
      <c r="O43" s="19">
        <v>18</v>
      </c>
      <c r="P43" s="20">
        <v>18</v>
      </c>
      <c r="Q43" s="21">
        <f t="shared" si="13"/>
        <v>325.59888414055081</v>
      </c>
      <c r="R43" s="9"/>
      <c r="S43" s="32" t="s">
        <v>309</v>
      </c>
      <c r="T43" s="18">
        <v>38.11</v>
      </c>
      <c r="U43" s="18">
        <v>41.83</v>
      </c>
      <c r="V43" s="18">
        <v>20.059999999999999</v>
      </c>
      <c r="W43" s="27">
        <v>26</v>
      </c>
      <c r="X43" s="19">
        <v>19</v>
      </c>
      <c r="Y43" s="20">
        <v>18</v>
      </c>
      <c r="Z43" s="21">
        <f t="shared" si="14"/>
        <v>315.4068376068376</v>
      </c>
      <c r="AB43" s="32" t="s">
        <v>309</v>
      </c>
      <c r="AC43" s="18">
        <v>37.29</v>
      </c>
      <c r="AD43" s="18">
        <v>43.08</v>
      </c>
      <c r="AE43" s="18">
        <v>19.63</v>
      </c>
      <c r="AF43" s="27">
        <v>26</v>
      </c>
      <c r="AG43" s="19">
        <v>20</v>
      </c>
      <c r="AH43" s="20">
        <v>18</v>
      </c>
      <c r="AI43" s="21">
        <f t="shared" si="15"/>
        <v>306.23399572649572</v>
      </c>
    </row>
    <row r="44" spans="1:35" ht="9.75" customHeight="1" x14ac:dyDescent="0.25">
      <c r="A44" s="32" t="s">
        <v>310</v>
      </c>
      <c r="B44" s="18">
        <v>40.72</v>
      </c>
      <c r="C44" s="18">
        <v>39.99</v>
      </c>
      <c r="D44" s="18">
        <v>19.29</v>
      </c>
      <c r="E44" s="27">
        <v>26</v>
      </c>
      <c r="F44" s="19">
        <v>17</v>
      </c>
      <c r="G44" s="20">
        <v>20</v>
      </c>
      <c r="H44" s="21">
        <f t="shared" si="12"/>
        <v>329.91839366515831</v>
      </c>
      <c r="I44" s="16"/>
      <c r="J44" s="32" t="s">
        <v>310</v>
      </c>
      <c r="K44" s="18">
        <v>39.78</v>
      </c>
      <c r="L44" s="18">
        <v>41.37</v>
      </c>
      <c r="M44" s="18">
        <v>18.850000000000001</v>
      </c>
      <c r="N44" s="27">
        <v>26</v>
      </c>
      <c r="O44" s="19">
        <v>18</v>
      </c>
      <c r="P44" s="20">
        <v>20</v>
      </c>
      <c r="Q44" s="21">
        <f t="shared" si="13"/>
        <v>318.92014957264956</v>
      </c>
      <c r="R44" s="9"/>
      <c r="S44" s="32" t="s">
        <v>310</v>
      </c>
      <c r="T44" s="18">
        <v>38.89</v>
      </c>
      <c r="U44" s="18">
        <v>42.69</v>
      </c>
      <c r="V44" s="18">
        <v>18.420000000000002</v>
      </c>
      <c r="W44" s="27">
        <v>26</v>
      </c>
      <c r="X44" s="19">
        <v>19</v>
      </c>
      <c r="Y44" s="20">
        <v>20</v>
      </c>
      <c r="Z44" s="21">
        <f t="shared" si="14"/>
        <v>309.07961538461535</v>
      </c>
      <c r="AB44" s="32" t="s">
        <v>310</v>
      </c>
      <c r="AC44" s="18">
        <v>38.03</v>
      </c>
      <c r="AD44" s="18">
        <v>43.95</v>
      </c>
      <c r="AE44" s="18">
        <v>18.02</v>
      </c>
      <c r="AF44" s="27">
        <v>26</v>
      </c>
      <c r="AG44" s="19">
        <v>20</v>
      </c>
      <c r="AH44" s="20">
        <v>20</v>
      </c>
      <c r="AI44" s="21">
        <f t="shared" si="15"/>
        <v>300.22313461538459</v>
      </c>
    </row>
    <row r="45" spans="1:35" ht="9.75" customHeight="1" x14ac:dyDescent="0.25">
      <c r="A45" s="32" t="s">
        <v>311</v>
      </c>
      <c r="B45" s="18">
        <v>42.07</v>
      </c>
      <c r="C45" s="18">
        <v>41.32</v>
      </c>
      <c r="D45" s="18">
        <v>16.61</v>
      </c>
      <c r="E45" s="27">
        <v>26</v>
      </c>
      <c r="F45" s="19">
        <v>17</v>
      </c>
      <c r="G45" s="20">
        <v>24</v>
      </c>
      <c r="H45" s="21">
        <f t="shared" si="12"/>
        <v>319.31099170437403</v>
      </c>
      <c r="I45" s="16"/>
      <c r="J45" s="32" t="s">
        <v>311</v>
      </c>
      <c r="K45" s="18">
        <v>41.07</v>
      </c>
      <c r="L45" s="18">
        <v>42.71</v>
      </c>
      <c r="M45" s="18">
        <v>16.22</v>
      </c>
      <c r="N45" s="27">
        <v>26</v>
      </c>
      <c r="O45" s="19">
        <v>18</v>
      </c>
      <c r="P45" s="20">
        <v>24</v>
      </c>
      <c r="Q45" s="21">
        <f t="shared" si="13"/>
        <v>308.90204772079773</v>
      </c>
      <c r="R45" s="9"/>
      <c r="S45" s="32" t="s">
        <v>311</v>
      </c>
      <c r="T45" s="18">
        <v>40.119999999999997</v>
      </c>
      <c r="U45" s="18">
        <v>44.04</v>
      </c>
      <c r="V45" s="18">
        <v>15.84</v>
      </c>
      <c r="W45" s="27">
        <v>26</v>
      </c>
      <c r="X45" s="19">
        <v>19</v>
      </c>
      <c r="Y45" s="20">
        <v>24</v>
      </c>
      <c r="Z45" s="21">
        <f t="shared" si="14"/>
        <v>299.58878205128201</v>
      </c>
      <c r="AB45" s="32" t="s">
        <v>311</v>
      </c>
      <c r="AC45" s="18">
        <v>39.21</v>
      </c>
      <c r="AD45" s="18">
        <v>45.31</v>
      </c>
      <c r="AE45" s="18">
        <v>15.48</v>
      </c>
      <c r="AF45" s="27">
        <v>26</v>
      </c>
      <c r="AG45" s="19">
        <v>20</v>
      </c>
      <c r="AH45" s="20">
        <v>24</v>
      </c>
      <c r="AI45" s="21">
        <f t="shared" si="15"/>
        <v>291.20684294871796</v>
      </c>
    </row>
    <row r="46" spans="1:35" ht="9.75" customHeight="1" x14ac:dyDescent="0.25">
      <c r="A46" s="32" t="s">
        <v>312</v>
      </c>
      <c r="B46" s="18">
        <v>42.61</v>
      </c>
      <c r="C46" s="18">
        <v>41.86</v>
      </c>
      <c r="D46" s="18">
        <v>15.53</v>
      </c>
      <c r="E46" s="27">
        <v>26</v>
      </c>
      <c r="F46" s="19">
        <v>17</v>
      </c>
      <c r="G46" s="20">
        <v>26</v>
      </c>
      <c r="H46" s="21">
        <f t="shared" si="12"/>
        <v>315.23122171945698</v>
      </c>
      <c r="I46" s="16"/>
      <c r="J46" s="32" t="s">
        <v>312</v>
      </c>
      <c r="K46" s="18">
        <v>41.59</v>
      </c>
      <c r="L46" s="18">
        <v>43.25</v>
      </c>
      <c r="M46" s="18">
        <v>15.16</v>
      </c>
      <c r="N46" s="27">
        <v>26</v>
      </c>
      <c r="O46" s="19">
        <v>18</v>
      </c>
      <c r="P46" s="20">
        <v>26</v>
      </c>
      <c r="Q46" s="21">
        <f t="shared" si="13"/>
        <v>305.04893162393165</v>
      </c>
      <c r="R46" s="9"/>
      <c r="S46" s="32" t="s">
        <v>312</v>
      </c>
      <c r="T46" s="18">
        <v>40.619999999999997</v>
      </c>
      <c r="U46" s="18">
        <v>44.58</v>
      </c>
      <c r="V46" s="18">
        <v>14.8</v>
      </c>
      <c r="W46" s="27">
        <v>26</v>
      </c>
      <c r="X46" s="19">
        <v>19</v>
      </c>
      <c r="Y46" s="20">
        <v>26</v>
      </c>
      <c r="Z46" s="21">
        <f t="shared" si="14"/>
        <v>295.93846153846152</v>
      </c>
      <c r="AB46" s="32" t="s">
        <v>312</v>
      </c>
      <c r="AC46" s="18">
        <v>39.68</v>
      </c>
      <c r="AD46" s="18">
        <v>45.86</v>
      </c>
      <c r="AE46" s="18">
        <v>14.46</v>
      </c>
      <c r="AF46" s="27">
        <v>26</v>
      </c>
      <c r="AG46" s="19">
        <v>20</v>
      </c>
      <c r="AH46" s="20">
        <v>26</v>
      </c>
      <c r="AI46" s="21">
        <f t="shared" si="15"/>
        <v>287.73903846153843</v>
      </c>
    </row>
    <row r="47" spans="1:35" ht="9.75" customHeight="1" x14ac:dyDescent="0.25">
      <c r="A47" s="32" t="s">
        <v>313</v>
      </c>
      <c r="B47" s="18">
        <v>43.09</v>
      </c>
      <c r="C47" s="18">
        <v>42.33</v>
      </c>
      <c r="D47" s="18">
        <v>14.58</v>
      </c>
      <c r="E47" s="27">
        <v>26</v>
      </c>
      <c r="F47" s="19">
        <v>17</v>
      </c>
      <c r="G47" s="20">
        <v>28</v>
      </c>
      <c r="H47" s="21">
        <f t="shared" si="12"/>
        <v>311.73427601809948</v>
      </c>
      <c r="I47" s="16"/>
      <c r="J47" s="32" t="s">
        <v>313</v>
      </c>
      <c r="K47" s="18">
        <v>42.04</v>
      </c>
      <c r="L47" s="18">
        <v>43.73</v>
      </c>
      <c r="M47" s="18">
        <v>14.23</v>
      </c>
      <c r="N47" s="27">
        <v>26</v>
      </c>
      <c r="O47" s="19">
        <v>18</v>
      </c>
      <c r="P47" s="20">
        <v>28</v>
      </c>
      <c r="Q47" s="21">
        <f t="shared" si="13"/>
        <v>301.74626068376068</v>
      </c>
      <c r="R47" s="9"/>
      <c r="S47" s="32" t="s">
        <v>313</v>
      </c>
      <c r="T47" s="18">
        <v>41.05</v>
      </c>
      <c r="U47" s="18">
        <v>45.06</v>
      </c>
      <c r="V47" s="18">
        <v>13.89</v>
      </c>
      <c r="W47" s="27">
        <v>26</v>
      </c>
      <c r="X47" s="19">
        <v>19</v>
      </c>
      <c r="Y47" s="20">
        <v>28</v>
      </c>
      <c r="Z47" s="21">
        <f t="shared" si="14"/>
        <v>292.80961538461537</v>
      </c>
      <c r="AB47" s="32" t="s">
        <v>313</v>
      </c>
      <c r="AC47" s="18">
        <v>40.1</v>
      </c>
      <c r="AD47" s="18">
        <v>46.33</v>
      </c>
      <c r="AE47" s="18">
        <v>13.57</v>
      </c>
      <c r="AF47" s="27">
        <v>26</v>
      </c>
      <c r="AG47" s="19">
        <v>20</v>
      </c>
      <c r="AH47" s="20">
        <v>28</v>
      </c>
      <c r="AI47" s="21">
        <f t="shared" si="15"/>
        <v>284.76663461538459</v>
      </c>
    </row>
    <row r="48" spans="1:35" ht="9.75" customHeight="1" x14ac:dyDescent="0.25">
      <c r="A48" s="32" t="s">
        <v>314</v>
      </c>
      <c r="B48" s="18">
        <v>43.52</v>
      </c>
      <c r="C48" s="18">
        <v>42.74</v>
      </c>
      <c r="D48" s="18">
        <v>13.74</v>
      </c>
      <c r="E48" s="27">
        <v>26</v>
      </c>
      <c r="F48" s="19">
        <v>17</v>
      </c>
      <c r="G48" s="20">
        <v>30</v>
      </c>
      <c r="H48" s="21">
        <f t="shared" si="12"/>
        <v>308.7035897435897</v>
      </c>
      <c r="I48" s="16"/>
      <c r="J48" s="32" t="s">
        <v>314</v>
      </c>
      <c r="K48" s="18">
        <v>42.45</v>
      </c>
      <c r="L48" s="18">
        <v>44.15</v>
      </c>
      <c r="M48" s="18">
        <v>13.4</v>
      </c>
      <c r="N48" s="27">
        <v>26</v>
      </c>
      <c r="O48" s="19">
        <v>18</v>
      </c>
      <c r="P48" s="20">
        <v>30</v>
      </c>
      <c r="Q48" s="21">
        <f t="shared" si="13"/>
        <v>298.88394586894589</v>
      </c>
      <c r="R48" s="9"/>
      <c r="S48" s="32" t="s">
        <v>314</v>
      </c>
      <c r="T48" s="18">
        <v>41.43</v>
      </c>
      <c r="U48" s="18">
        <v>45.48</v>
      </c>
      <c r="V48" s="18">
        <v>13.09</v>
      </c>
      <c r="W48" s="27">
        <v>26</v>
      </c>
      <c r="X48" s="19">
        <v>19</v>
      </c>
      <c r="Y48" s="20">
        <v>30</v>
      </c>
      <c r="Z48" s="21">
        <f t="shared" si="14"/>
        <v>290.09794871794867</v>
      </c>
      <c r="AB48" s="32" t="s">
        <v>314</v>
      </c>
      <c r="AC48" s="18">
        <v>40.46</v>
      </c>
      <c r="AD48" s="18">
        <v>46.76</v>
      </c>
      <c r="AE48" s="18">
        <v>12.78</v>
      </c>
      <c r="AF48" s="27">
        <v>26</v>
      </c>
      <c r="AG48" s="19">
        <v>20</v>
      </c>
      <c r="AH48" s="20">
        <v>30</v>
      </c>
      <c r="AI48" s="21">
        <f t="shared" si="15"/>
        <v>282.19055128205127</v>
      </c>
    </row>
    <row r="49" spans="1:35" x14ac:dyDescent="0.25">
      <c r="A49" s="36"/>
      <c r="B49" s="23"/>
      <c r="C49" s="23"/>
      <c r="D49" s="23"/>
      <c r="E49" s="24"/>
      <c r="F49" s="24"/>
      <c r="G49" s="20"/>
      <c r="H49" s="23"/>
      <c r="I49" s="16"/>
      <c r="J49" s="36"/>
      <c r="K49" s="23"/>
      <c r="L49" s="23"/>
      <c r="M49" s="23"/>
      <c r="N49" s="24"/>
      <c r="O49" s="23"/>
      <c r="P49" s="20"/>
      <c r="Q49" s="23"/>
      <c r="R49" s="9"/>
      <c r="S49" s="36"/>
      <c r="T49" s="23"/>
      <c r="U49" s="23"/>
      <c r="V49" s="23"/>
      <c r="W49" s="24"/>
      <c r="X49" s="23"/>
      <c r="Y49" s="20"/>
      <c r="Z49" s="23"/>
      <c r="AB49" s="36"/>
      <c r="AC49" s="23"/>
      <c r="AD49" s="23"/>
      <c r="AE49" s="23"/>
      <c r="AF49" s="24"/>
      <c r="AG49" s="23"/>
      <c r="AH49" s="20"/>
      <c r="AI49" s="23"/>
    </row>
    <row r="50" spans="1:35" ht="9.75" customHeight="1" x14ac:dyDescent="0.25">
      <c r="A50" s="32" t="s">
        <v>315</v>
      </c>
      <c r="B50" s="18">
        <v>35.950000000000003</v>
      </c>
      <c r="C50" s="18">
        <v>32.6</v>
      </c>
      <c r="D50" s="18">
        <v>31.45</v>
      </c>
      <c r="E50" s="27">
        <v>24</v>
      </c>
      <c r="F50" s="19">
        <v>17</v>
      </c>
      <c r="G50" s="20">
        <v>10</v>
      </c>
      <c r="H50" s="21">
        <f t="shared" ref="H50:H59" si="16">59371.2/E50/F50+131.95+21639.1/G50/F50</f>
        <v>404.75647058823529</v>
      </c>
      <c r="I50" s="16"/>
      <c r="J50" s="32" t="s">
        <v>315</v>
      </c>
      <c r="K50" s="18">
        <v>35.28</v>
      </c>
      <c r="L50" s="18">
        <v>33.869999999999997</v>
      </c>
      <c r="M50" s="18">
        <v>30.85</v>
      </c>
      <c r="N50" s="27">
        <v>24</v>
      </c>
      <c r="O50" s="19">
        <v>18</v>
      </c>
      <c r="P50" s="20">
        <v>10</v>
      </c>
      <c r="Q50" s="21">
        <f t="shared" ref="Q50:Q59" si="17">59371.2/N50/O50+131.95+21639.1/P50/O50</f>
        <v>389.60055555555556</v>
      </c>
      <c r="R50" s="9"/>
      <c r="S50" s="32" t="s">
        <v>315</v>
      </c>
      <c r="T50" s="18">
        <v>34.630000000000003</v>
      </c>
      <c r="U50" s="18">
        <v>35.08</v>
      </c>
      <c r="V50" s="18">
        <v>30.29</v>
      </c>
      <c r="W50" s="27">
        <v>24</v>
      </c>
      <c r="X50" s="19">
        <v>19</v>
      </c>
      <c r="Y50" s="20">
        <v>10</v>
      </c>
      <c r="Z50" s="21">
        <f t="shared" ref="Z50:Z59" si="18">59371.2/W50/X50+131.95+21639.1/Y50/X50</f>
        <v>376.03999999999996</v>
      </c>
      <c r="AB50" s="32" t="s">
        <v>315</v>
      </c>
      <c r="AC50" s="18">
        <v>34</v>
      </c>
      <c r="AD50" s="18">
        <v>36.26</v>
      </c>
      <c r="AE50" s="18">
        <v>29.74</v>
      </c>
      <c r="AF50" s="27">
        <v>24</v>
      </c>
      <c r="AG50" s="19">
        <v>20</v>
      </c>
      <c r="AH50" s="20">
        <v>10</v>
      </c>
      <c r="AI50" s="21">
        <f t="shared" ref="AI50:AI59" si="19">59371.2/AF50/AG50+131.95+21639.1/AH50/AG50</f>
        <v>363.83549999999997</v>
      </c>
    </row>
    <row r="51" spans="1:35" ht="9.75" customHeight="1" x14ac:dyDescent="0.25">
      <c r="A51" s="32" t="s">
        <v>316</v>
      </c>
      <c r="B51" s="18">
        <v>37.94</v>
      </c>
      <c r="C51" s="18">
        <v>34.4</v>
      </c>
      <c r="D51" s="18">
        <v>27.66</v>
      </c>
      <c r="E51" s="27">
        <v>24</v>
      </c>
      <c r="F51" s="19">
        <v>17</v>
      </c>
      <c r="G51" s="20">
        <v>12</v>
      </c>
      <c r="H51" s="21">
        <f t="shared" si="16"/>
        <v>383.54166666666663</v>
      </c>
      <c r="I51" s="16"/>
      <c r="J51" s="32" t="s">
        <v>316</v>
      </c>
      <c r="K51" s="18">
        <v>37.19</v>
      </c>
      <c r="L51" s="18">
        <v>35.700000000000003</v>
      </c>
      <c r="M51" s="18">
        <v>27.11</v>
      </c>
      <c r="N51" s="27">
        <v>24</v>
      </c>
      <c r="O51" s="19">
        <v>18</v>
      </c>
      <c r="P51" s="20">
        <v>12</v>
      </c>
      <c r="Q51" s="21">
        <f t="shared" si="17"/>
        <v>369.56435185185182</v>
      </c>
      <c r="R51" s="9"/>
      <c r="S51" s="32" t="s">
        <v>316</v>
      </c>
      <c r="T51" s="18">
        <v>36.47</v>
      </c>
      <c r="U51" s="18">
        <v>36.950000000000003</v>
      </c>
      <c r="V51" s="18">
        <v>26.58</v>
      </c>
      <c r="W51" s="27">
        <v>24</v>
      </c>
      <c r="X51" s="19">
        <v>19</v>
      </c>
      <c r="Y51" s="20">
        <v>12</v>
      </c>
      <c r="Z51" s="21">
        <f t="shared" si="18"/>
        <v>357.05833333333328</v>
      </c>
      <c r="AB51" s="32" t="s">
        <v>316</v>
      </c>
      <c r="AC51" s="18">
        <v>35.770000000000003</v>
      </c>
      <c r="AD51" s="18">
        <v>38.159999999999997</v>
      </c>
      <c r="AE51" s="18">
        <v>26.07</v>
      </c>
      <c r="AF51" s="27">
        <v>24</v>
      </c>
      <c r="AG51" s="19">
        <v>20</v>
      </c>
      <c r="AH51" s="20">
        <v>12</v>
      </c>
      <c r="AI51" s="21">
        <f t="shared" si="19"/>
        <v>345.80291666666665</v>
      </c>
    </row>
    <row r="52" spans="1:35" ht="9.75" customHeight="1" x14ac:dyDescent="0.25">
      <c r="A52" s="32" t="s">
        <v>317</v>
      </c>
      <c r="B52" s="18">
        <v>39.5</v>
      </c>
      <c r="C52" s="18">
        <v>35.82</v>
      </c>
      <c r="D52" s="18">
        <v>24.68</v>
      </c>
      <c r="E52" s="27">
        <v>24</v>
      </c>
      <c r="F52" s="19">
        <v>17</v>
      </c>
      <c r="G52" s="20">
        <v>14</v>
      </c>
      <c r="H52" s="21">
        <f t="shared" si="16"/>
        <v>368.38823529411764</v>
      </c>
      <c r="I52" s="16"/>
      <c r="J52" s="32" t="s">
        <v>317</v>
      </c>
      <c r="K52" s="18">
        <v>38.69</v>
      </c>
      <c r="L52" s="18">
        <v>37.14</v>
      </c>
      <c r="M52" s="18">
        <v>24.17</v>
      </c>
      <c r="N52" s="27">
        <v>24</v>
      </c>
      <c r="O52" s="19">
        <v>18</v>
      </c>
      <c r="P52" s="20">
        <v>14</v>
      </c>
      <c r="Q52" s="21">
        <f t="shared" si="17"/>
        <v>355.25277777777774</v>
      </c>
      <c r="R52" s="9"/>
      <c r="S52" s="32" t="s">
        <v>317</v>
      </c>
      <c r="T52" s="18">
        <v>37.909999999999997</v>
      </c>
      <c r="U52" s="18">
        <v>38.409999999999997</v>
      </c>
      <c r="V52" s="18">
        <v>23.68</v>
      </c>
      <c r="W52" s="27">
        <v>24</v>
      </c>
      <c r="X52" s="19">
        <v>19</v>
      </c>
      <c r="Y52" s="20">
        <v>14</v>
      </c>
      <c r="Z52" s="21">
        <f t="shared" si="18"/>
        <v>343.5</v>
      </c>
      <c r="AB52" s="32" t="s">
        <v>317</v>
      </c>
      <c r="AC52" s="18">
        <v>37.159999999999997</v>
      </c>
      <c r="AD52" s="18">
        <v>39.630000000000003</v>
      </c>
      <c r="AE52" s="18">
        <v>23.21</v>
      </c>
      <c r="AF52" s="27">
        <v>24</v>
      </c>
      <c r="AG52" s="19">
        <v>20</v>
      </c>
      <c r="AH52" s="20">
        <v>14</v>
      </c>
      <c r="AI52" s="21">
        <f t="shared" si="19"/>
        <v>332.92250000000001</v>
      </c>
    </row>
    <row r="53" spans="1:35" ht="9.75" customHeight="1" x14ac:dyDescent="0.25">
      <c r="A53" s="32" t="s">
        <v>318</v>
      </c>
      <c r="B53" s="18">
        <v>40.76</v>
      </c>
      <c r="C53" s="18">
        <v>36.96</v>
      </c>
      <c r="D53" s="18">
        <v>22.28</v>
      </c>
      <c r="E53" s="27">
        <v>24</v>
      </c>
      <c r="F53" s="19">
        <v>17</v>
      </c>
      <c r="G53" s="20">
        <v>16</v>
      </c>
      <c r="H53" s="21">
        <f t="shared" si="16"/>
        <v>357.02316176470583</v>
      </c>
      <c r="I53" s="16"/>
      <c r="J53" s="32" t="s">
        <v>318</v>
      </c>
      <c r="K53" s="18">
        <v>39.89</v>
      </c>
      <c r="L53" s="18">
        <v>38.299999999999997</v>
      </c>
      <c r="M53" s="18">
        <v>21.81</v>
      </c>
      <c r="N53" s="27">
        <v>24</v>
      </c>
      <c r="O53" s="19">
        <v>18</v>
      </c>
      <c r="P53" s="20">
        <v>16</v>
      </c>
      <c r="Q53" s="21">
        <f t="shared" si="17"/>
        <v>344.51909722222223</v>
      </c>
      <c r="R53" s="9"/>
      <c r="S53" s="32" t="s">
        <v>318</v>
      </c>
      <c r="T53" s="18">
        <v>39.07</v>
      </c>
      <c r="U53" s="18">
        <v>39.58</v>
      </c>
      <c r="V53" s="18">
        <v>21.35</v>
      </c>
      <c r="W53" s="27">
        <v>24</v>
      </c>
      <c r="X53" s="19">
        <v>19</v>
      </c>
      <c r="Y53" s="20">
        <v>16</v>
      </c>
      <c r="Z53" s="21">
        <f t="shared" si="18"/>
        <v>333.33124999999995</v>
      </c>
      <c r="AB53" s="32" t="s">
        <v>318</v>
      </c>
      <c r="AC53" s="18">
        <v>38.26</v>
      </c>
      <c r="AD53" s="18">
        <v>40.82</v>
      </c>
      <c r="AE53" s="18">
        <v>20.92</v>
      </c>
      <c r="AF53" s="27">
        <v>24</v>
      </c>
      <c r="AG53" s="19">
        <v>20</v>
      </c>
      <c r="AH53" s="20">
        <v>16</v>
      </c>
      <c r="AI53" s="21">
        <f t="shared" si="19"/>
        <v>323.26218749999998</v>
      </c>
    </row>
    <row r="54" spans="1:35" ht="9.75" customHeight="1" x14ac:dyDescent="0.25">
      <c r="A54" s="32" t="s">
        <v>319</v>
      </c>
      <c r="B54" s="18">
        <v>41.8</v>
      </c>
      <c r="C54" s="18">
        <v>37.89</v>
      </c>
      <c r="D54" s="18">
        <v>20.309999999999999</v>
      </c>
      <c r="E54" s="27">
        <v>24</v>
      </c>
      <c r="F54" s="19">
        <v>17</v>
      </c>
      <c r="G54" s="20">
        <v>18</v>
      </c>
      <c r="H54" s="21">
        <f t="shared" si="16"/>
        <v>348.18366013071892</v>
      </c>
      <c r="I54" s="16"/>
      <c r="J54" s="32" t="s">
        <v>319</v>
      </c>
      <c r="K54" s="18">
        <v>40.880000000000003</v>
      </c>
      <c r="L54" s="18">
        <v>39.25</v>
      </c>
      <c r="M54" s="18">
        <v>19.87</v>
      </c>
      <c r="N54" s="27">
        <v>24</v>
      </c>
      <c r="O54" s="19">
        <v>18</v>
      </c>
      <c r="P54" s="20">
        <v>18</v>
      </c>
      <c r="Q54" s="21">
        <f t="shared" si="17"/>
        <v>336.17067901234566</v>
      </c>
      <c r="R54" s="9"/>
      <c r="S54" s="32" t="s">
        <v>319</v>
      </c>
      <c r="T54" s="18">
        <v>40.01</v>
      </c>
      <c r="U54" s="18">
        <v>40.549999999999997</v>
      </c>
      <c r="V54" s="18">
        <v>19.440000000000001</v>
      </c>
      <c r="W54" s="27">
        <v>24</v>
      </c>
      <c r="X54" s="19">
        <v>19</v>
      </c>
      <c r="Y54" s="20">
        <v>18</v>
      </c>
      <c r="Z54" s="21">
        <f t="shared" si="18"/>
        <v>325.42222222222222</v>
      </c>
      <c r="AB54" s="32" t="s">
        <v>319</v>
      </c>
      <c r="AC54" s="18">
        <v>39.18</v>
      </c>
      <c r="AD54" s="18">
        <v>41.79</v>
      </c>
      <c r="AE54" s="18">
        <v>19.03</v>
      </c>
      <c r="AF54" s="27">
        <v>24</v>
      </c>
      <c r="AG54" s="19">
        <v>20</v>
      </c>
      <c r="AH54" s="20">
        <v>18</v>
      </c>
      <c r="AI54" s="21">
        <f t="shared" si="19"/>
        <v>315.74861111111107</v>
      </c>
    </row>
    <row r="55" spans="1:35" ht="9.75" customHeight="1" x14ac:dyDescent="0.25">
      <c r="A55" s="32" t="s">
        <v>320</v>
      </c>
      <c r="B55" s="18">
        <v>42.66</v>
      </c>
      <c r="C55" s="18">
        <v>38.68</v>
      </c>
      <c r="D55" s="18">
        <v>18.66</v>
      </c>
      <c r="E55" s="27">
        <v>24</v>
      </c>
      <c r="F55" s="19">
        <v>17</v>
      </c>
      <c r="G55" s="20">
        <v>20</v>
      </c>
      <c r="H55" s="21">
        <f t="shared" si="16"/>
        <v>341.11205882352937</v>
      </c>
      <c r="I55" s="16"/>
      <c r="J55" s="32" t="s">
        <v>320</v>
      </c>
      <c r="K55" s="18">
        <v>41.72</v>
      </c>
      <c r="L55" s="18">
        <v>40.04</v>
      </c>
      <c r="M55" s="18">
        <v>18.239999999999998</v>
      </c>
      <c r="N55" s="27">
        <v>24</v>
      </c>
      <c r="O55" s="19">
        <v>18</v>
      </c>
      <c r="P55" s="20">
        <v>20</v>
      </c>
      <c r="Q55" s="21">
        <f t="shared" si="17"/>
        <v>329.49194444444441</v>
      </c>
      <c r="R55" s="9"/>
      <c r="S55" s="32" t="s">
        <v>320</v>
      </c>
      <c r="T55" s="18">
        <v>40.799999999999997</v>
      </c>
      <c r="U55" s="18">
        <v>41.35</v>
      </c>
      <c r="V55" s="18">
        <v>17.850000000000001</v>
      </c>
      <c r="W55" s="27">
        <v>24</v>
      </c>
      <c r="X55" s="19">
        <v>19</v>
      </c>
      <c r="Y55" s="20">
        <v>20</v>
      </c>
      <c r="Z55" s="21">
        <f t="shared" si="18"/>
        <v>319.09499999999997</v>
      </c>
      <c r="AB55" s="32" t="s">
        <v>320</v>
      </c>
      <c r="AC55" s="18">
        <v>39.94</v>
      </c>
      <c r="AD55" s="18">
        <v>42.6</v>
      </c>
      <c r="AE55" s="18">
        <v>17.46</v>
      </c>
      <c r="AF55" s="27">
        <v>24</v>
      </c>
      <c r="AG55" s="19">
        <v>20</v>
      </c>
      <c r="AH55" s="20">
        <v>20</v>
      </c>
      <c r="AI55" s="21">
        <f t="shared" si="19"/>
        <v>309.73775000000001</v>
      </c>
    </row>
    <row r="56" spans="1:35" ht="9.75" customHeight="1" x14ac:dyDescent="0.25">
      <c r="A56" s="32" t="s">
        <v>321</v>
      </c>
      <c r="B56" s="18">
        <v>44.03</v>
      </c>
      <c r="C56" s="18">
        <v>39.92</v>
      </c>
      <c r="D56" s="18">
        <v>16.05</v>
      </c>
      <c r="E56" s="27">
        <v>24</v>
      </c>
      <c r="F56" s="19">
        <v>17</v>
      </c>
      <c r="G56" s="20">
        <v>24</v>
      </c>
      <c r="H56" s="21">
        <f t="shared" si="16"/>
        <v>330.50465686274504</v>
      </c>
      <c r="I56" s="16"/>
      <c r="J56" s="32" t="s">
        <v>321</v>
      </c>
      <c r="K56" s="18">
        <v>43.02</v>
      </c>
      <c r="L56" s="18">
        <v>41.3</v>
      </c>
      <c r="M56" s="18">
        <v>15.68</v>
      </c>
      <c r="N56" s="27">
        <v>24</v>
      </c>
      <c r="O56" s="19">
        <v>18</v>
      </c>
      <c r="P56" s="20">
        <v>24</v>
      </c>
      <c r="Q56" s="21">
        <f t="shared" si="17"/>
        <v>319.47384259259258</v>
      </c>
      <c r="R56" s="9"/>
      <c r="S56" s="32" t="s">
        <v>321</v>
      </c>
      <c r="T56" s="18">
        <v>42.05</v>
      </c>
      <c r="U56" s="18">
        <v>42.62</v>
      </c>
      <c r="V56" s="18">
        <v>15.33</v>
      </c>
      <c r="W56" s="27">
        <v>24</v>
      </c>
      <c r="X56" s="19">
        <v>19</v>
      </c>
      <c r="Y56" s="20">
        <v>24</v>
      </c>
      <c r="Z56" s="21">
        <f t="shared" si="18"/>
        <v>309.60416666666663</v>
      </c>
      <c r="AB56" s="32" t="s">
        <v>321</v>
      </c>
      <c r="AC56" s="18">
        <v>41.13</v>
      </c>
      <c r="AD56" s="18">
        <v>43.88</v>
      </c>
      <c r="AE56" s="18">
        <v>14.99</v>
      </c>
      <c r="AF56" s="27">
        <v>24</v>
      </c>
      <c r="AG56" s="19">
        <v>20</v>
      </c>
      <c r="AH56" s="20">
        <v>24</v>
      </c>
      <c r="AI56" s="21">
        <f t="shared" si="19"/>
        <v>300.72145833333332</v>
      </c>
    </row>
    <row r="57" spans="1:35" ht="9.75" customHeight="1" x14ac:dyDescent="0.25">
      <c r="A57" s="32" t="s">
        <v>322</v>
      </c>
      <c r="B57" s="18">
        <v>44.58</v>
      </c>
      <c r="C57" s="18">
        <v>40.42</v>
      </c>
      <c r="D57" s="18">
        <v>15</v>
      </c>
      <c r="E57" s="27">
        <v>24</v>
      </c>
      <c r="F57" s="19">
        <v>17</v>
      </c>
      <c r="G57" s="20">
        <v>26</v>
      </c>
      <c r="H57" s="21">
        <f t="shared" si="16"/>
        <v>326.42488687782804</v>
      </c>
      <c r="I57" s="16"/>
      <c r="J57" s="32" t="s">
        <v>322</v>
      </c>
      <c r="K57" s="18">
        <v>43.55</v>
      </c>
      <c r="L57" s="18">
        <v>41.8</v>
      </c>
      <c r="M57" s="18">
        <v>14.65</v>
      </c>
      <c r="N57" s="27">
        <v>24</v>
      </c>
      <c r="O57" s="19">
        <v>18</v>
      </c>
      <c r="P57" s="20">
        <v>26</v>
      </c>
      <c r="Q57" s="21">
        <f t="shared" si="17"/>
        <v>315.6207264957265</v>
      </c>
      <c r="R57" s="9"/>
      <c r="S57" s="32" t="s">
        <v>322</v>
      </c>
      <c r="T57" s="18">
        <v>42.55</v>
      </c>
      <c r="U57" s="18">
        <v>43.13</v>
      </c>
      <c r="V57" s="18">
        <v>14.32</v>
      </c>
      <c r="W57" s="27">
        <v>24</v>
      </c>
      <c r="X57" s="19">
        <v>19</v>
      </c>
      <c r="Y57" s="20">
        <v>26</v>
      </c>
      <c r="Z57" s="21">
        <f t="shared" si="18"/>
        <v>305.95384615384614</v>
      </c>
      <c r="AB57" s="32" t="s">
        <v>322</v>
      </c>
      <c r="AC57" s="18">
        <v>41.61</v>
      </c>
      <c r="AD57" s="18">
        <v>44.39</v>
      </c>
      <c r="AE57" s="18">
        <v>14</v>
      </c>
      <c r="AF57" s="27">
        <v>24</v>
      </c>
      <c r="AG57" s="19">
        <v>20</v>
      </c>
      <c r="AH57" s="20">
        <v>26</v>
      </c>
      <c r="AI57" s="21">
        <f t="shared" si="19"/>
        <v>297.25365384615384</v>
      </c>
    </row>
    <row r="58" spans="1:35" ht="9.75" customHeight="1" x14ac:dyDescent="0.25">
      <c r="A58" s="32" t="s">
        <v>323</v>
      </c>
      <c r="B58" s="18">
        <v>45.06</v>
      </c>
      <c r="C58" s="18">
        <v>40.86</v>
      </c>
      <c r="D58" s="18">
        <v>14.08</v>
      </c>
      <c r="E58" s="27">
        <v>24</v>
      </c>
      <c r="F58" s="19">
        <v>17</v>
      </c>
      <c r="G58" s="20">
        <v>28</v>
      </c>
      <c r="H58" s="21">
        <f t="shared" si="16"/>
        <v>322.92794117647054</v>
      </c>
      <c r="I58" s="16"/>
      <c r="J58" s="32" t="s">
        <v>323</v>
      </c>
      <c r="K58" s="18">
        <v>44</v>
      </c>
      <c r="L58" s="18">
        <v>42.25</v>
      </c>
      <c r="M58" s="18">
        <v>13.75</v>
      </c>
      <c r="N58" s="27">
        <v>24</v>
      </c>
      <c r="O58" s="19">
        <v>18</v>
      </c>
      <c r="P58" s="20">
        <v>28</v>
      </c>
      <c r="Q58" s="21">
        <f t="shared" si="17"/>
        <v>312.31805555555553</v>
      </c>
      <c r="R58" s="9"/>
      <c r="S58" s="32" t="s">
        <v>323</v>
      </c>
      <c r="T58" s="18">
        <v>43</v>
      </c>
      <c r="U58" s="18">
        <v>43.57</v>
      </c>
      <c r="V58" s="18">
        <v>13.43</v>
      </c>
      <c r="W58" s="27">
        <v>24</v>
      </c>
      <c r="X58" s="19">
        <v>19</v>
      </c>
      <c r="Y58" s="20">
        <v>28</v>
      </c>
      <c r="Z58" s="21">
        <f t="shared" si="18"/>
        <v>302.82499999999999</v>
      </c>
      <c r="AB58" s="32" t="s">
        <v>323</v>
      </c>
      <c r="AC58" s="18">
        <v>42.03</v>
      </c>
      <c r="AD58" s="18">
        <v>44.84</v>
      </c>
      <c r="AE58" s="18">
        <v>13.13</v>
      </c>
      <c r="AF58" s="27">
        <v>24</v>
      </c>
      <c r="AG58" s="19">
        <v>20</v>
      </c>
      <c r="AH58" s="20">
        <v>28</v>
      </c>
      <c r="AI58" s="21">
        <f t="shared" si="19"/>
        <v>294.28125</v>
      </c>
    </row>
    <row r="59" spans="1:35" ht="9.75" customHeight="1" x14ac:dyDescent="0.25">
      <c r="A59" s="32" t="s">
        <v>324</v>
      </c>
      <c r="B59" s="18">
        <v>45.49</v>
      </c>
      <c r="C59" s="18">
        <v>41.25</v>
      </c>
      <c r="D59" s="18">
        <v>13.26</v>
      </c>
      <c r="E59" s="27">
        <v>24</v>
      </c>
      <c r="F59" s="19">
        <v>17</v>
      </c>
      <c r="G59" s="20">
        <v>30</v>
      </c>
      <c r="H59" s="21">
        <f t="shared" si="16"/>
        <v>319.89725490196076</v>
      </c>
      <c r="I59" s="16"/>
      <c r="J59" s="32" t="s">
        <v>324</v>
      </c>
      <c r="K59" s="18">
        <v>44.41</v>
      </c>
      <c r="L59" s="18">
        <v>42.64</v>
      </c>
      <c r="M59" s="18">
        <v>12.95</v>
      </c>
      <c r="N59" s="27">
        <v>24</v>
      </c>
      <c r="O59" s="19">
        <v>18</v>
      </c>
      <c r="P59" s="20">
        <v>30</v>
      </c>
      <c r="Q59" s="21">
        <f t="shared" si="17"/>
        <v>309.45574074074074</v>
      </c>
      <c r="R59" s="9"/>
      <c r="S59" s="32" t="s">
        <v>324</v>
      </c>
      <c r="T59" s="18">
        <v>43.39</v>
      </c>
      <c r="U59" s="18">
        <v>43.96</v>
      </c>
      <c r="V59" s="18">
        <v>12.65</v>
      </c>
      <c r="W59" s="27">
        <v>24</v>
      </c>
      <c r="X59" s="19">
        <v>19</v>
      </c>
      <c r="Y59" s="20">
        <v>30</v>
      </c>
      <c r="Z59" s="21">
        <f t="shared" si="18"/>
        <v>300.11333333333329</v>
      </c>
      <c r="AB59" s="32" t="s">
        <v>324</v>
      </c>
      <c r="AC59" s="18">
        <v>42.41</v>
      </c>
      <c r="AD59" s="18">
        <v>45.23</v>
      </c>
      <c r="AE59" s="18">
        <v>12.36</v>
      </c>
      <c r="AF59" s="27">
        <v>24</v>
      </c>
      <c r="AG59" s="19">
        <v>20</v>
      </c>
      <c r="AH59" s="20">
        <v>30</v>
      </c>
      <c r="AI59" s="21">
        <f t="shared" si="19"/>
        <v>291.70516666666663</v>
      </c>
    </row>
    <row r="60" spans="1:35" x14ac:dyDescent="0.25">
      <c r="B60" s="4"/>
      <c r="C60" s="4"/>
      <c r="D60" s="4"/>
      <c r="E60" s="4"/>
      <c r="F60" s="4"/>
      <c r="G60" s="4"/>
      <c r="H60" s="4"/>
      <c r="I60" s="4"/>
      <c r="K60" s="4"/>
      <c r="L60" s="4"/>
      <c r="M60" s="4"/>
      <c r="N60" s="4"/>
      <c r="O60" s="4"/>
      <c r="P60" s="4"/>
      <c r="Q60" s="4"/>
      <c r="R60" s="4"/>
      <c r="T60" s="4"/>
      <c r="U60" s="4"/>
      <c r="V60" s="4"/>
      <c r="W60" s="4"/>
      <c r="X60" s="4"/>
      <c r="Y60" s="4"/>
      <c r="Z60" s="4"/>
      <c r="AC60" s="4"/>
      <c r="AD60" s="4"/>
      <c r="AE60" s="4"/>
      <c r="AF60" s="4"/>
      <c r="AG60" s="4"/>
      <c r="AH60" s="4"/>
      <c r="AI60" s="4"/>
    </row>
    <row r="61" spans="1:35" x14ac:dyDescent="0.25">
      <c r="B61" s="4"/>
      <c r="C61" s="4"/>
      <c r="D61" s="4"/>
      <c r="E61" s="4"/>
      <c r="F61" s="4"/>
      <c r="G61" s="4"/>
      <c r="H61" s="4"/>
      <c r="I61" s="4"/>
      <c r="K61" s="4"/>
      <c r="L61" s="4"/>
      <c r="M61" s="4"/>
      <c r="N61" s="4"/>
      <c r="O61" s="4"/>
      <c r="P61" s="4"/>
      <c r="Q61" s="4"/>
      <c r="R61" s="4"/>
      <c r="T61" s="4"/>
      <c r="U61" s="4"/>
      <c r="V61" s="4"/>
      <c r="W61" s="4"/>
      <c r="X61" s="4"/>
      <c r="Y61" s="4"/>
      <c r="Z61" s="4"/>
      <c r="AC61" s="4"/>
      <c r="AD61" s="4"/>
      <c r="AE61" s="4"/>
      <c r="AF61" s="4"/>
      <c r="AG61" s="4"/>
      <c r="AH61" s="4"/>
      <c r="AI61" s="4"/>
    </row>
    <row r="62" spans="1:35" x14ac:dyDescent="0.25">
      <c r="B62" s="4"/>
      <c r="C62" s="4"/>
      <c r="D62" s="4"/>
      <c r="E62" s="4"/>
      <c r="F62" s="4"/>
      <c r="G62" s="4"/>
      <c r="H62" s="4"/>
      <c r="I62" s="4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  <c r="AC62" s="4"/>
      <c r="AD62" s="4"/>
      <c r="AE62" s="4"/>
      <c r="AF62" s="4"/>
      <c r="AG62" s="4"/>
      <c r="AH62" s="4"/>
      <c r="AI62" s="4"/>
    </row>
    <row r="63" spans="1:35" x14ac:dyDescent="0.25">
      <c r="B63" s="4"/>
      <c r="C63" s="4"/>
      <c r="D63" s="4"/>
      <c r="E63" s="4"/>
      <c r="F63" s="4"/>
      <c r="G63" s="4"/>
      <c r="H63" s="4"/>
      <c r="I63" s="4"/>
      <c r="K63" s="4"/>
      <c r="L63" s="4"/>
      <c r="M63" s="4"/>
      <c r="N63" s="4"/>
      <c r="O63" s="4"/>
      <c r="P63" s="4"/>
      <c r="Q63" s="4"/>
      <c r="R63" s="4"/>
      <c r="T63" s="4"/>
      <c r="U63" s="4"/>
      <c r="V63" s="4"/>
      <c r="W63" s="4"/>
      <c r="X63" s="4"/>
      <c r="Y63" s="4"/>
      <c r="Z63" s="4"/>
      <c r="AC63" s="4"/>
      <c r="AD63" s="4"/>
      <c r="AE63" s="4"/>
      <c r="AF63" s="4"/>
      <c r="AG63" s="4"/>
      <c r="AH63" s="4"/>
      <c r="AI63" s="4"/>
    </row>
    <row r="64" spans="1:35" x14ac:dyDescent="0.25">
      <c r="B64" s="4"/>
      <c r="C64" s="4"/>
      <c r="D64" s="4"/>
      <c r="E64" s="4"/>
      <c r="F64" s="4"/>
      <c r="G64" s="4"/>
      <c r="H64" s="4"/>
      <c r="I64" s="4"/>
      <c r="K64" s="4"/>
      <c r="L64" s="4"/>
      <c r="M64" s="4"/>
      <c r="N64" s="4"/>
      <c r="O64" s="4"/>
      <c r="P64" s="4"/>
      <c r="Q64" s="4"/>
      <c r="R64" s="4"/>
      <c r="T64" s="4"/>
      <c r="U64" s="4"/>
      <c r="V64" s="4"/>
      <c r="W64" s="4"/>
      <c r="X64" s="4"/>
      <c r="Y64" s="4"/>
      <c r="Z64" s="4"/>
      <c r="AC64" s="4"/>
      <c r="AD64" s="4"/>
      <c r="AE64" s="4"/>
      <c r="AF64" s="4"/>
      <c r="AG64" s="4"/>
      <c r="AH64" s="4"/>
      <c r="AI64" s="4"/>
    </row>
    <row r="65" spans="2:35" x14ac:dyDescent="0.25">
      <c r="B65" s="4"/>
      <c r="C65" s="4"/>
      <c r="D65" s="4"/>
      <c r="E65" s="4"/>
      <c r="F65" s="4"/>
      <c r="G65" s="4"/>
      <c r="H65" s="4"/>
      <c r="I65" s="4"/>
      <c r="K65" s="4"/>
      <c r="L65" s="4"/>
      <c r="M65" s="4"/>
      <c r="N65" s="4"/>
      <c r="O65" s="4"/>
      <c r="P65" s="4"/>
      <c r="Q65" s="4"/>
      <c r="R65" s="4"/>
      <c r="T65" s="4"/>
      <c r="U65" s="4"/>
      <c r="V65" s="4"/>
      <c r="W65" s="4"/>
      <c r="X65" s="4"/>
      <c r="Y65" s="4"/>
      <c r="Z65" s="4"/>
      <c r="AC65" s="4"/>
      <c r="AD65" s="4"/>
      <c r="AE65" s="4"/>
      <c r="AF65" s="4"/>
      <c r="AG65" s="4"/>
      <c r="AH65" s="4"/>
      <c r="AI65" s="4"/>
    </row>
    <row r="66" spans="2:35" x14ac:dyDescent="0.25">
      <c r="B66" s="4"/>
      <c r="C66" s="4"/>
      <c r="D66" s="4"/>
      <c r="E66" s="4"/>
      <c r="F66" s="4"/>
      <c r="G66" s="4"/>
      <c r="H66" s="4"/>
      <c r="I66" s="4"/>
      <c r="K66" s="4"/>
      <c r="L66" s="4"/>
      <c r="M66" s="4"/>
      <c r="N66" s="4"/>
      <c r="O66" s="4"/>
      <c r="P66" s="4"/>
      <c r="Q66" s="4"/>
      <c r="R66" s="4"/>
      <c r="T66" s="4"/>
      <c r="U66" s="4"/>
      <c r="V66" s="4"/>
      <c r="W66" s="4"/>
      <c r="X66" s="4"/>
      <c r="Y66" s="4"/>
      <c r="Z66" s="4"/>
      <c r="AC66" s="4"/>
      <c r="AD66" s="4"/>
      <c r="AE66" s="4"/>
      <c r="AF66" s="4"/>
      <c r="AG66" s="4"/>
      <c r="AH66" s="4"/>
      <c r="AI66" s="4"/>
    </row>
    <row r="67" spans="2:35" x14ac:dyDescent="0.25">
      <c r="B67" s="4"/>
      <c r="C67" s="4"/>
      <c r="D67" s="4"/>
      <c r="E67" s="4"/>
      <c r="F67" s="4"/>
      <c r="G67" s="4"/>
      <c r="H67" s="4"/>
      <c r="I67" s="4"/>
      <c r="K67" s="4"/>
      <c r="L67" s="4"/>
      <c r="M67" s="4"/>
      <c r="N67" s="4"/>
      <c r="O67" s="4"/>
      <c r="P67" s="4"/>
      <c r="Q67" s="4"/>
      <c r="R67" s="4"/>
      <c r="T67" s="4"/>
      <c r="U67" s="4"/>
      <c r="V67" s="4"/>
      <c r="W67" s="4"/>
      <c r="X67" s="4"/>
      <c r="Y67" s="4"/>
      <c r="Z67" s="4"/>
      <c r="AC67" s="4"/>
      <c r="AD67" s="4"/>
      <c r="AE67" s="4"/>
      <c r="AF67" s="4"/>
      <c r="AG67" s="4"/>
      <c r="AH67" s="4"/>
      <c r="AI67" s="4"/>
    </row>
    <row r="68" spans="2:35" x14ac:dyDescent="0.25">
      <c r="B68" s="4"/>
      <c r="C68" s="4"/>
      <c r="D68" s="4"/>
      <c r="E68" s="4"/>
      <c r="F68" s="4"/>
      <c r="G68" s="4"/>
      <c r="H68" s="4"/>
      <c r="I68" s="4"/>
      <c r="K68" s="4"/>
      <c r="L68" s="4"/>
      <c r="M68" s="4"/>
      <c r="N68" s="4"/>
      <c r="O68" s="4"/>
      <c r="P68" s="4"/>
      <c r="Q68" s="4"/>
      <c r="R68" s="4"/>
      <c r="T68" s="4"/>
      <c r="U68" s="4"/>
      <c r="V68" s="4"/>
      <c r="W68" s="4"/>
      <c r="X68" s="4"/>
      <c r="Y68" s="4"/>
      <c r="Z68" s="4"/>
      <c r="AC68" s="4"/>
      <c r="AD68" s="4"/>
      <c r="AE68" s="4"/>
      <c r="AF68" s="4"/>
      <c r="AG68" s="4"/>
      <c r="AH68" s="4"/>
      <c r="AI68" s="4"/>
    </row>
    <row r="69" spans="2:35" x14ac:dyDescent="0.25">
      <c r="B69" s="4"/>
      <c r="C69" s="4"/>
      <c r="D69" s="4"/>
      <c r="E69" s="4"/>
      <c r="F69" s="4"/>
      <c r="G69" s="4"/>
      <c r="H69" s="4"/>
      <c r="I69" s="4"/>
      <c r="K69" s="4"/>
      <c r="L69" s="4"/>
      <c r="M69" s="4"/>
      <c r="N69" s="4"/>
      <c r="O69" s="4"/>
      <c r="P69" s="4"/>
      <c r="Q69" s="4"/>
      <c r="R69" s="4"/>
      <c r="T69" s="4"/>
      <c r="U69" s="4"/>
      <c r="V69" s="4"/>
      <c r="W69" s="4"/>
      <c r="X69" s="4"/>
      <c r="Y69" s="4"/>
      <c r="Z69" s="4"/>
      <c r="AC69" s="4"/>
      <c r="AD69" s="4"/>
      <c r="AE69" s="4"/>
      <c r="AF69" s="4"/>
      <c r="AG69" s="4"/>
      <c r="AH69" s="4"/>
      <c r="AI69" s="4"/>
    </row>
    <row r="70" spans="2:35" x14ac:dyDescent="0.25">
      <c r="B70" s="4"/>
      <c r="C70" s="4"/>
      <c r="D70" s="4"/>
      <c r="E70" s="4"/>
      <c r="F70" s="4"/>
      <c r="G70" s="4"/>
      <c r="H70" s="4"/>
      <c r="I70" s="4"/>
      <c r="K70" s="4"/>
      <c r="L70" s="4"/>
      <c r="M70" s="4"/>
      <c r="N70" s="4"/>
      <c r="O70" s="4"/>
      <c r="P70" s="4"/>
      <c r="Q70" s="4"/>
      <c r="R70" s="4"/>
      <c r="T70" s="4"/>
      <c r="U70" s="4"/>
      <c r="V70" s="4"/>
      <c r="W70" s="4"/>
      <c r="X70" s="4"/>
      <c r="Y70" s="4"/>
      <c r="Z70" s="4"/>
      <c r="AC70" s="4"/>
      <c r="AD70" s="4"/>
      <c r="AE70" s="4"/>
      <c r="AF70" s="4"/>
      <c r="AG70" s="4"/>
      <c r="AH70" s="4"/>
      <c r="AI70" s="4"/>
    </row>
    <row r="71" spans="2:35" x14ac:dyDescent="0.25">
      <c r="B71" s="4"/>
      <c r="C71" s="4"/>
      <c r="D71" s="4"/>
      <c r="E71" s="4"/>
      <c r="F71" s="4"/>
      <c r="G71" s="4"/>
      <c r="H71" s="4"/>
      <c r="I71" s="4"/>
      <c r="K71" s="4"/>
      <c r="L71" s="4"/>
      <c r="M71" s="4"/>
      <c r="N71" s="4"/>
      <c r="O71" s="4"/>
      <c r="P71" s="4"/>
      <c r="Q71" s="4"/>
      <c r="R71" s="4"/>
      <c r="T71" s="4"/>
      <c r="U71" s="4"/>
      <c r="V71" s="4"/>
      <c r="W71" s="4"/>
      <c r="X71" s="4"/>
      <c r="Y71" s="4"/>
      <c r="Z71" s="4"/>
      <c r="AC71" s="4"/>
      <c r="AD71" s="4"/>
      <c r="AE71" s="4"/>
      <c r="AF71" s="4"/>
      <c r="AG71" s="4"/>
      <c r="AH71" s="4"/>
      <c r="AI71" s="4"/>
    </row>
    <row r="72" spans="2:35" x14ac:dyDescent="0.25">
      <c r="B72" s="4"/>
      <c r="C72" s="4"/>
      <c r="D72" s="4"/>
      <c r="E72" s="4"/>
      <c r="F72" s="4"/>
      <c r="G72" s="4"/>
      <c r="H72" s="4"/>
      <c r="I72" s="4"/>
      <c r="K72" s="4"/>
      <c r="L72" s="4"/>
      <c r="M72" s="4"/>
      <c r="N72" s="4"/>
      <c r="O72" s="4"/>
      <c r="P72" s="4"/>
      <c r="Q72" s="4"/>
      <c r="R72" s="4"/>
      <c r="T72" s="4"/>
      <c r="U72" s="4"/>
      <c r="V72" s="4"/>
      <c r="W72" s="4"/>
      <c r="X72" s="4"/>
      <c r="Y72" s="4"/>
      <c r="Z72" s="4"/>
      <c r="AC72" s="4"/>
      <c r="AD72" s="4"/>
      <c r="AE72" s="4"/>
      <c r="AF72" s="4"/>
      <c r="AG72" s="4"/>
      <c r="AH72" s="4"/>
      <c r="AI72" s="4"/>
    </row>
    <row r="73" spans="2:35" x14ac:dyDescent="0.25">
      <c r="B73" s="4"/>
      <c r="C73" s="4"/>
      <c r="D73" s="4"/>
      <c r="E73" s="4"/>
      <c r="F73" s="4"/>
      <c r="G73" s="4"/>
      <c r="H73" s="4"/>
      <c r="I73" s="4"/>
      <c r="K73" s="4"/>
      <c r="L73" s="4"/>
      <c r="M73" s="4"/>
      <c r="N73" s="4"/>
      <c r="O73" s="4"/>
      <c r="P73" s="4"/>
      <c r="Q73" s="4"/>
      <c r="R73" s="4"/>
      <c r="T73" s="4"/>
      <c r="U73" s="4"/>
      <c r="V73" s="4"/>
      <c r="W73" s="4"/>
      <c r="X73" s="4"/>
      <c r="Y73" s="4"/>
      <c r="Z73" s="4"/>
      <c r="AC73" s="4"/>
      <c r="AD73" s="4"/>
      <c r="AE73" s="4"/>
      <c r="AF73" s="4"/>
      <c r="AG73" s="4"/>
      <c r="AH73" s="4"/>
      <c r="AI73" s="4"/>
    </row>
    <row r="74" spans="2:35" x14ac:dyDescent="0.25">
      <c r="B74" s="4"/>
      <c r="C74" s="4"/>
      <c r="D74" s="4"/>
      <c r="E74" s="4"/>
      <c r="F74" s="4"/>
      <c r="G74" s="4"/>
      <c r="H74" s="4"/>
      <c r="I74" s="4"/>
      <c r="K74" s="4"/>
      <c r="L74" s="4"/>
      <c r="M74" s="4"/>
      <c r="N74" s="4"/>
      <c r="O74" s="4"/>
      <c r="P74" s="4"/>
      <c r="Q74" s="4"/>
      <c r="R74" s="4"/>
      <c r="T74" s="4"/>
      <c r="U74" s="4"/>
      <c r="V74" s="4"/>
      <c r="W74" s="4"/>
      <c r="X74" s="4"/>
      <c r="Y74" s="4"/>
      <c r="Z74" s="4"/>
      <c r="AC74" s="4"/>
      <c r="AD74" s="4"/>
      <c r="AE74" s="4"/>
      <c r="AF74" s="4"/>
      <c r="AG74" s="4"/>
      <c r="AH74" s="4"/>
      <c r="AI74" s="4"/>
    </row>
    <row r="75" spans="2:35" x14ac:dyDescent="0.25">
      <c r="B75" s="4"/>
      <c r="C75" s="4"/>
      <c r="D75" s="4"/>
      <c r="E75" s="4"/>
      <c r="F75" s="4"/>
      <c r="G75" s="4"/>
      <c r="H75" s="4"/>
      <c r="I75" s="4"/>
      <c r="K75" s="4"/>
      <c r="L75" s="4"/>
      <c r="M75" s="4"/>
      <c r="N75" s="4"/>
      <c r="O75" s="4"/>
      <c r="P75" s="4"/>
      <c r="Q75" s="4"/>
      <c r="R75" s="4"/>
      <c r="T75" s="4"/>
      <c r="U75" s="4"/>
      <c r="V75" s="4"/>
      <c r="W75" s="4"/>
      <c r="X75" s="4"/>
      <c r="Y75" s="4"/>
      <c r="Z75" s="4"/>
      <c r="AC75" s="4"/>
      <c r="AD75" s="4"/>
      <c r="AE75" s="4"/>
      <c r="AF75" s="4"/>
      <c r="AG75" s="4"/>
      <c r="AH75" s="4"/>
      <c r="AI75" s="4"/>
    </row>
    <row r="76" spans="2:35" x14ac:dyDescent="0.25">
      <c r="B76" s="4"/>
      <c r="C76" s="4"/>
      <c r="D76" s="4"/>
      <c r="E76" s="4"/>
      <c r="F76" s="4"/>
      <c r="G76" s="4"/>
      <c r="H76" s="4"/>
      <c r="I76" s="4"/>
      <c r="K76" s="4"/>
      <c r="L76" s="4"/>
      <c r="M76" s="4"/>
      <c r="N76" s="4"/>
      <c r="O76" s="4"/>
      <c r="P76" s="4"/>
      <c r="Q76" s="4"/>
      <c r="R76" s="4"/>
      <c r="T76" s="4"/>
      <c r="U76" s="4"/>
      <c r="V76" s="4"/>
      <c r="W76" s="4"/>
      <c r="X76" s="4"/>
      <c r="Y76" s="4"/>
      <c r="Z76" s="4"/>
      <c r="AC76" s="4"/>
      <c r="AD76" s="4"/>
      <c r="AE76" s="4"/>
      <c r="AF76" s="4"/>
      <c r="AG76" s="4"/>
      <c r="AH76" s="4"/>
      <c r="AI76" s="4"/>
    </row>
    <row r="77" spans="2:35" x14ac:dyDescent="0.25">
      <c r="B77" s="4"/>
      <c r="C77" s="4"/>
      <c r="D77" s="4"/>
      <c r="E77" s="4"/>
      <c r="F77" s="4"/>
      <c r="G77" s="4"/>
      <c r="H77" s="4"/>
      <c r="I77" s="4"/>
      <c r="K77" s="4"/>
      <c r="L77" s="4"/>
      <c r="M77" s="4"/>
      <c r="N77" s="4"/>
      <c r="O77" s="4"/>
      <c r="P77" s="4"/>
      <c r="Q77" s="4"/>
      <c r="R77" s="4"/>
      <c r="T77" s="4"/>
      <c r="U77" s="4"/>
      <c r="V77" s="4"/>
      <c r="W77" s="4"/>
      <c r="X77" s="4"/>
      <c r="Y77" s="4"/>
      <c r="Z77" s="4"/>
      <c r="AC77" s="4"/>
      <c r="AD77" s="4"/>
      <c r="AE77" s="4"/>
      <c r="AF77" s="4"/>
      <c r="AG77" s="4"/>
      <c r="AH77" s="4"/>
      <c r="AI77" s="4"/>
    </row>
    <row r="78" spans="2:35" x14ac:dyDescent="0.25">
      <c r="B78" s="4"/>
      <c r="C78" s="4"/>
      <c r="D78" s="4"/>
      <c r="E78" s="4"/>
      <c r="F78" s="4"/>
      <c r="G78" s="4"/>
      <c r="H78" s="4"/>
      <c r="I78" s="4"/>
      <c r="K78" s="4"/>
      <c r="L78" s="4"/>
      <c r="M78" s="4"/>
      <c r="N78" s="4"/>
      <c r="O78" s="4"/>
      <c r="P78" s="4"/>
      <c r="Q78" s="4"/>
      <c r="R78" s="4"/>
      <c r="T78" s="4"/>
      <c r="U78" s="4"/>
      <c r="V78" s="4"/>
      <c r="W78" s="4"/>
      <c r="X78" s="4"/>
      <c r="Y78" s="4"/>
      <c r="Z78" s="4"/>
      <c r="AC78" s="4"/>
      <c r="AD78" s="4"/>
      <c r="AE78" s="4"/>
      <c r="AF78" s="4"/>
      <c r="AG78" s="4"/>
      <c r="AH78" s="4"/>
      <c r="AI78" s="4"/>
    </row>
    <row r="79" spans="2:35" x14ac:dyDescent="0.25">
      <c r="B79" s="4"/>
      <c r="C79" s="4"/>
      <c r="D79" s="4"/>
      <c r="E79" s="4"/>
      <c r="F79" s="4"/>
      <c r="G79" s="4"/>
      <c r="H79" s="4"/>
      <c r="I79" s="4"/>
      <c r="K79" s="4"/>
      <c r="L79" s="4"/>
      <c r="M79" s="4"/>
      <c r="N79" s="4"/>
      <c r="O79" s="4"/>
      <c r="P79" s="4"/>
      <c r="Q79" s="4"/>
      <c r="R79" s="4"/>
      <c r="T79" s="4"/>
      <c r="U79" s="4"/>
      <c r="V79" s="4"/>
      <c r="W79" s="4"/>
      <c r="X79" s="4"/>
      <c r="Y79" s="4"/>
      <c r="Z79" s="4"/>
      <c r="AC79" s="4"/>
      <c r="AD79" s="4"/>
      <c r="AE79" s="4"/>
      <c r="AF79" s="4"/>
      <c r="AG79" s="4"/>
      <c r="AH79" s="4"/>
      <c r="AI79" s="4"/>
    </row>
    <row r="80" spans="2:35" x14ac:dyDescent="0.25">
      <c r="B80" s="4"/>
      <c r="C80" s="4"/>
      <c r="D80" s="4"/>
      <c r="E80" s="4"/>
      <c r="F80" s="4"/>
      <c r="G80" s="4"/>
      <c r="H80" s="4"/>
      <c r="I80" s="4"/>
      <c r="K80" s="4"/>
      <c r="L80" s="4"/>
      <c r="M80" s="4"/>
      <c r="N80" s="4"/>
      <c r="O80" s="4"/>
      <c r="P80" s="4"/>
      <c r="Q80" s="4"/>
      <c r="R80" s="4"/>
      <c r="T80" s="4"/>
      <c r="U80" s="4"/>
      <c r="V80" s="4"/>
      <c r="W80" s="4"/>
      <c r="X80" s="4"/>
      <c r="Y80" s="4"/>
      <c r="Z80" s="4"/>
      <c r="AC80" s="4"/>
      <c r="AD80" s="4"/>
      <c r="AE80" s="4"/>
      <c r="AF80" s="4"/>
      <c r="AG80" s="4"/>
      <c r="AH80" s="4"/>
      <c r="AI80" s="4"/>
    </row>
    <row r="81" spans="2:35" x14ac:dyDescent="0.25">
      <c r="B81" s="4"/>
      <c r="C81" s="4"/>
      <c r="D81" s="4"/>
      <c r="E81" s="4"/>
      <c r="F81" s="4"/>
      <c r="G81" s="4"/>
      <c r="H81" s="4"/>
      <c r="I81" s="4"/>
      <c r="K81" s="4"/>
      <c r="L81" s="4"/>
      <c r="M81" s="4"/>
      <c r="N81" s="4"/>
      <c r="O81" s="4"/>
      <c r="P81" s="4"/>
      <c r="Q81" s="4"/>
      <c r="R81" s="4"/>
      <c r="T81" s="4"/>
      <c r="U81" s="4"/>
      <c r="V81" s="4"/>
      <c r="W81" s="4"/>
      <c r="X81" s="4"/>
      <c r="Y81" s="4"/>
      <c r="Z81" s="4"/>
      <c r="AC81" s="4"/>
      <c r="AD81" s="4"/>
      <c r="AE81" s="4"/>
      <c r="AF81" s="4"/>
      <c r="AG81" s="4"/>
      <c r="AH81" s="4"/>
      <c r="AI81" s="4"/>
    </row>
    <row r="82" spans="2:35" x14ac:dyDescent="0.25">
      <c r="B82" s="4"/>
      <c r="C82" s="4"/>
      <c r="D82" s="4"/>
      <c r="E82" s="4"/>
      <c r="F82" s="4"/>
      <c r="G82" s="4"/>
      <c r="H82" s="4"/>
      <c r="I82" s="4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  <c r="AC82" s="4"/>
      <c r="AD82" s="4"/>
      <c r="AE82" s="4"/>
      <c r="AF82" s="4"/>
      <c r="AG82" s="4"/>
      <c r="AH82" s="4"/>
      <c r="AI82" s="4"/>
    </row>
    <row r="83" spans="2:35" x14ac:dyDescent="0.25">
      <c r="B83" s="4"/>
      <c r="C83" s="4"/>
      <c r="D83" s="4"/>
      <c r="E83" s="4"/>
      <c r="F83" s="4"/>
      <c r="G83" s="4"/>
      <c r="H83" s="4"/>
      <c r="I83" s="4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  <c r="AC83" s="4"/>
      <c r="AD83" s="4"/>
      <c r="AE83" s="4"/>
      <c r="AF83" s="4"/>
      <c r="AG83" s="4"/>
      <c r="AH83" s="4"/>
      <c r="AI83" s="4"/>
    </row>
    <row r="84" spans="2:35" x14ac:dyDescent="0.25">
      <c r="B84" s="4"/>
      <c r="C84" s="4"/>
      <c r="D84" s="4"/>
      <c r="E84" s="4"/>
      <c r="F84" s="4"/>
      <c r="G84" s="4"/>
      <c r="H84" s="4"/>
      <c r="I84" s="4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  <c r="AC84" s="4"/>
      <c r="AD84" s="4"/>
      <c r="AE84" s="4"/>
      <c r="AF84" s="4"/>
      <c r="AG84" s="4"/>
      <c r="AH84" s="4"/>
      <c r="AI84" s="4"/>
    </row>
    <row r="85" spans="2:35" x14ac:dyDescent="0.25">
      <c r="B85" s="4"/>
      <c r="C85" s="4"/>
      <c r="D85" s="4"/>
      <c r="E85" s="4"/>
      <c r="F85" s="4"/>
      <c r="G85" s="4"/>
      <c r="H85" s="4"/>
      <c r="I85" s="4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  <c r="AC85" s="4"/>
      <c r="AD85" s="4"/>
      <c r="AE85" s="4"/>
      <c r="AF85" s="4"/>
      <c r="AG85" s="4"/>
      <c r="AH85" s="4"/>
      <c r="AI85" s="4"/>
    </row>
    <row r="86" spans="2:35" x14ac:dyDescent="0.25">
      <c r="B86" s="4"/>
      <c r="C86" s="4"/>
      <c r="D86" s="4"/>
      <c r="E86" s="4"/>
      <c r="F86" s="4"/>
      <c r="G86" s="4"/>
      <c r="H86" s="4"/>
      <c r="I86" s="4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  <c r="AC86" s="4"/>
      <c r="AD86" s="4"/>
      <c r="AE86" s="4"/>
      <c r="AF86" s="4"/>
      <c r="AG86" s="4"/>
      <c r="AH86" s="4"/>
      <c r="AI86" s="4"/>
    </row>
    <row r="87" spans="2:35" x14ac:dyDescent="0.25">
      <c r="B87" s="4"/>
      <c r="C87" s="4"/>
      <c r="D87" s="4"/>
      <c r="E87" s="4"/>
      <c r="F87" s="4"/>
      <c r="G87" s="4"/>
      <c r="H87" s="4"/>
      <c r="I87" s="4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  <c r="AC87" s="4"/>
      <c r="AD87" s="4"/>
      <c r="AE87" s="4"/>
      <c r="AF87" s="4"/>
      <c r="AG87" s="4"/>
      <c r="AH87" s="4"/>
      <c r="AI87" s="4"/>
    </row>
    <row r="88" spans="2:35" x14ac:dyDescent="0.25">
      <c r="B88" s="4"/>
      <c r="C88" s="4"/>
      <c r="D88" s="4"/>
      <c r="E88" s="4"/>
      <c r="F88" s="4"/>
      <c r="G88" s="4"/>
      <c r="H88" s="4"/>
      <c r="I88" s="4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  <c r="AC88" s="4"/>
      <c r="AD88" s="4"/>
      <c r="AE88" s="4"/>
      <c r="AF88" s="4"/>
      <c r="AG88" s="4"/>
      <c r="AH88" s="4"/>
      <c r="AI88" s="4"/>
    </row>
    <row r="89" spans="2:35" x14ac:dyDescent="0.25">
      <c r="B89" s="4"/>
      <c r="C89" s="4"/>
      <c r="D89" s="4"/>
      <c r="E89" s="4"/>
      <c r="F89" s="4"/>
      <c r="G89" s="4"/>
      <c r="H89" s="4"/>
      <c r="I89" s="4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  <c r="AC89" s="4"/>
      <c r="AD89" s="4"/>
      <c r="AE89" s="4"/>
      <c r="AF89" s="4"/>
      <c r="AG89" s="4"/>
      <c r="AH89" s="4"/>
      <c r="AI89" s="4"/>
    </row>
    <row r="90" spans="2:35" x14ac:dyDescent="0.25">
      <c r="B90" s="4"/>
      <c r="C90" s="4"/>
      <c r="D90" s="4"/>
      <c r="E90" s="4"/>
      <c r="F90" s="4"/>
      <c r="G90" s="4"/>
      <c r="H90" s="4"/>
      <c r="I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  <c r="AC90" s="4"/>
      <c r="AD90" s="4"/>
      <c r="AE90" s="4"/>
      <c r="AF90" s="4"/>
      <c r="AG90" s="4"/>
      <c r="AH90" s="4"/>
      <c r="AI90" s="4"/>
    </row>
    <row r="91" spans="2:35" x14ac:dyDescent="0.25">
      <c r="B91" s="4"/>
      <c r="C91" s="4"/>
      <c r="D91" s="4"/>
      <c r="E91" s="4"/>
      <c r="F91" s="4"/>
      <c r="G91" s="4"/>
      <c r="H91" s="4"/>
      <c r="I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  <c r="AC91" s="4"/>
      <c r="AD91" s="4"/>
      <c r="AE91" s="4"/>
      <c r="AF91" s="4"/>
      <c r="AG91" s="4"/>
      <c r="AH91" s="4"/>
      <c r="AI91" s="4"/>
    </row>
    <row r="92" spans="2:35" x14ac:dyDescent="0.25">
      <c r="B92" s="4"/>
      <c r="C92" s="4"/>
      <c r="D92" s="4"/>
      <c r="E92" s="4"/>
      <c r="F92" s="4"/>
      <c r="G92" s="4"/>
      <c r="H92" s="4"/>
      <c r="I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  <c r="AC92" s="4"/>
      <c r="AD92" s="4"/>
      <c r="AE92" s="4"/>
      <c r="AF92" s="4"/>
      <c r="AG92" s="4"/>
      <c r="AH92" s="4"/>
      <c r="AI92" s="4"/>
    </row>
    <row r="93" spans="2:35" x14ac:dyDescent="0.25">
      <c r="B93" s="4"/>
      <c r="C93" s="4"/>
      <c r="D93" s="4"/>
      <c r="E93" s="4"/>
      <c r="F93" s="4"/>
      <c r="G93" s="4"/>
      <c r="H93" s="4"/>
      <c r="I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  <c r="AC93" s="4"/>
      <c r="AD93" s="4"/>
      <c r="AE93" s="4"/>
      <c r="AF93" s="4"/>
      <c r="AG93" s="4"/>
      <c r="AH93" s="4"/>
      <c r="AI93" s="4"/>
    </row>
    <row r="94" spans="2:35" x14ac:dyDescent="0.25">
      <c r="B94" s="4"/>
      <c r="C94" s="4"/>
      <c r="D94" s="4"/>
      <c r="E94" s="4"/>
      <c r="F94" s="4"/>
      <c r="G94" s="4"/>
      <c r="H94" s="4"/>
      <c r="I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  <c r="AC94" s="4"/>
      <c r="AD94" s="4"/>
      <c r="AE94" s="4"/>
      <c r="AF94" s="4"/>
      <c r="AG94" s="4"/>
      <c r="AH94" s="4"/>
      <c r="AI94" s="4"/>
    </row>
    <row r="95" spans="2:35" x14ac:dyDescent="0.25">
      <c r="B95" s="4"/>
      <c r="C95" s="4"/>
      <c r="D95" s="4"/>
      <c r="E95" s="4"/>
      <c r="F95" s="4"/>
      <c r="G95" s="4"/>
      <c r="H95" s="4"/>
      <c r="I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  <c r="AC95" s="4"/>
      <c r="AD95" s="4"/>
      <c r="AE95" s="4"/>
      <c r="AF95" s="4"/>
      <c r="AG95" s="4"/>
      <c r="AH95" s="4"/>
      <c r="AI95" s="4"/>
    </row>
    <row r="96" spans="2:35" x14ac:dyDescent="0.25"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  <c r="AC96" s="4"/>
      <c r="AD96" s="4"/>
      <c r="AE96" s="4"/>
      <c r="AF96" s="4"/>
      <c r="AG96" s="4"/>
      <c r="AH96" s="4"/>
      <c r="AI96" s="4"/>
    </row>
    <row r="97" spans="2:35" x14ac:dyDescent="0.25">
      <c r="B97" s="4"/>
      <c r="C97" s="4"/>
      <c r="D97" s="4"/>
      <c r="E97" s="4"/>
      <c r="F97" s="4"/>
      <c r="G97" s="4"/>
      <c r="H97" s="4"/>
      <c r="I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  <c r="AC97" s="4"/>
      <c r="AD97" s="4"/>
      <c r="AE97" s="4"/>
      <c r="AF97" s="4"/>
      <c r="AG97" s="4"/>
      <c r="AH97" s="4"/>
      <c r="AI97" s="4"/>
    </row>
    <row r="98" spans="2:35" x14ac:dyDescent="0.25">
      <c r="B98" s="4"/>
      <c r="C98" s="4"/>
      <c r="D98" s="4"/>
      <c r="E98" s="4"/>
      <c r="F98" s="4"/>
      <c r="G98" s="4"/>
      <c r="H98" s="4"/>
      <c r="I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  <c r="AC98" s="4"/>
      <c r="AD98" s="4"/>
      <c r="AE98" s="4"/>
      <c r="AF98" s="4"/>
      <c r="AG98" s="4"/>
      <c r="AH98" s="4"/>
      <c r="AI98" s="4"/>
    </row>
    <row r="99" spans="2:35" x14ac:dyDescent="0.25">
      <c r="B99" s="4"/>
      <c r="C99" s="4"/>
      <c r="D99" s="4"/>
      <c r="E99" s="4"/>
      <c r="F99" s="4"/>
      <c r="G99" s="4"/>
      <c r="H99" s="4"/>
      <c r="I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  <c r="AC99" s="4"/>
      <c r="AD99" s="4"/>
      <c r="AE99" s="4"/>
      <c r="AF99" s="4"/>
      <c r="AG99" s="4"/>
      <c r="AH99" s="4"/>
      <c r="AI99" s="4"/>
    </row>
    <row r="100" spans="2:35" x14ac:dyDescent="0.25"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  <c r="AC100" s="4"/>
      <c r="AD100" s="4"/>
      <c r="AE100" s="4"/>
      <c r="AF100" s="4"/>
      <c r="AG100" s="4"/>
      <c r="AH100" s="4"/>
      <c r="AI100" s="4"/>
    </row>
  </sheetData>
  <mergeCells count="5">
    <mergeCell ref="A1:AI1"/>
    <mergeCell ref="B2:D2"/>
    <mergeCell ref="K2:M2"/>
    <mergeCell ref="T2:V2"/>
    <mergeCell ref="AC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70DN POLY ÜÇ İPLİKLER</vt:lpstr>
      <vt:lpstr>90DN POLY ÜÇ İPLİKLER</vt:lpstr>
      <vt:lpstr>ARA İPLİK 36-1 ÜÇ İPLİKLER</vt:lpstr>
      <vt:lpstr>ARA İPLİK 30-1 ÜÇ İPLİKLER</vt:lpstr>
      <vt:lpstr>ARA İPLİK 20-1 ÜÇİPLİKLER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2022-11-08T08:49:41Z</dcterms:created>
  <dcterms:modified xsi:type="dcterms:W3CDTF">2022-11-08T08:54:04Z</dcterms:modified>
</cp:coreProperties>
</file>